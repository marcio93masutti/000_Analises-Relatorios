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oogle Drive\000_Projetos\"/>
    </mc:Choice>
  </mc:AlternateContent>
  <bookViews>
    <workbookView xWindow="120" yWindow="75" windowWidth="21075" windowHeight="8265" tabRatio="737" activeTab="1"/>
  </bookViews>
  <sheets>
    <sheet name="ProjecaoAreas" sheetId="4" r:id="rId1"/>
    <sheet name="ResumoCusto" sheetId="5" r:id="rId2"/>
    <sheet name="Resultado" sheetId="7" r:id="rId3"/>
    <sheet name="ComposicaoCusto" sheetId="8" r:id="rId4"/>
    <sheet name="Folha Pgto" sheetId="6" r:id="rId5"/>
    <sheet name="Pedidos" sheetId="1" r:id="rId6"/>
    <sheet name="Frete" sheetId="9" r:id="rId7"/>
    <sheet name="Gerencial" sheetId="10" r:id="rId8"/>
    <sheet name="NotasEntrada" sheetId="3" r:id="rId9"/>
  </sheets>
  <externalReferences>
    <externalReference r:id="rId10"/>
  </externalReferences>
  <definedNames>
    <definedName name="_xlnm._FilterDatabase" localSheetId="0" hidden="1">ProjecaoAreas!$H$6:$L$46</definedName>
    <definedName name="_xlnm.Print_Area" localSheetId="0">ProjecaoAreas!$H$6:$L$46</definedName>
    <definedName name="GM_PEDIDOS_2017_FIM" localSheetId="5" hidden="1">Pedidos!$A$7:$O$134</definedName>
    <definedName name="padrão__GM_CONV_NOTAS_ENTRADA" localSheetId="8" hidden="1">NotasEntrada!$A$3:$K$6036</definedName>
  </definedNames>
  <calcPr calcId="152511" calcMode="autoNoTable"/>
</workbook>
</file>

<file path=xl/calcChain.xml><?xml version="1.0" encoding="utf-8"?>
<calcChain xmlns="http://schemas.openxmlformats.org/spreadsheetml/2006/main">
  <c r="D77" i="7" l="1"/>
  <c r="O237" i="5" a="1"/>
  <c r="N237" i="5" a="1"/>
  <c r="M237" i="5" a="1"/>
  <c r="L237" i="5" a="1"/>
  <c r="K237" i="5" a="1"/>
  <c r="J237" i="5" a="1"/>
  <c r="I237" i="5" a="1"/>
  <c r="H237" i="5" a="1"/>
  <c r="G237" i="5" a="1"/>
  <c r="F237" i="5" a="1"/>
  <c r="E237" i="5" a="1"/>
  <c r="J241" i="5" l="1" a="1"/>
  <c r="N241" i="5" a="1"/>
  <c r="K241" i="5" a="1"/>
  <c r="O241" i="5" a="1"/>
  <c r="H241" i="5" a="1"/>
  <c r="I241" i="5" a="1"/>
  <c r="M241" i="5" a="1"/>
  <c r="E187" i="5" a="1"/>
  <c r="E187" i="5" s="1"/>
  <c r="E181" i="5" a="1"/>
  <c r="E181" i="5" s="1"/>
  <c r="P241" i="5" l="1" a="1"/>
  <c r="L241" i="5" a="1"/>
  <c r="G241" i="5" a="1"/>
  <c r="F241" i="5" a="1"/>
  <c r="I36" i="9"/>
  <c r="I37" i="9"/>
  <c r="I38" i="9"/>
  <c r="I39" i="9"/>
  <c r="I40" i="9"/>
  <c r="I41" i="9"/>
  <c r="I42" i="9"/>
  <c r="H42" i="9"/>
  <c r="H41" i="9"/>
  <c r="H40" i="9"/>
  <c r="H39" i="9"/>
  <c r="H38" i="9"/>
  <c r="H37" i="9"/>
  <c r="H36" i="9"/>
  <c r="H35" i="9"/>
  <c r="K20" i="9"/>
  <c r="C37" i="9" s="1"/>
  <c r="O11" i="9"/>
  <c r="P11" i="9" s="1"/>
  <c r="N11" i="9"/>
  <c r="O10" i="9"/>
  <c r="N10" i="9"/>
  <c r="O9" i="9"/>
  <c r="P9" i="9" s="1"/>
  <c r="N9" i="9"/>
  <c r="O8" i="9"/>
  <c r="O13" i="9" s="1"/>
  <c r="N8" i="9"/>
  <c r="P10" i="9" l="1"/>
  <c r="P8" i="9"/>
  <c r="M6" i="1" l="1"/>
  <c r="L6" i="1"/>
  <c r="J6" i="1"/>
  <c r="M4" i="1" a="1"/>
  <c r="M4" i="1" s="1"/>
  <c r="L4" i="1" a="1"/>
  <c r="L4" i="1" s="1"/>
  <c r="M3" i="1" a="1"/>
  <c r="M3" i="1" s="1"/>
  <c r="L3" i="1" a="1"/>
  <c r="L3" i="1" s="1"/>
  <c r="P50" i="7"/>
  <c r="Q58" i="7"/>
  <c r="S58" i="7"/>
  <c r="U58" i="7"/>
  <c r="F59" i="8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R8" i="1"/>
  <c r="R10" i="1"/>
  <c r="R11" i="1"/>
  <c r="R17" i="1"/>
  <c r="R18" i="1"/>
  <c r="R20" i="1"/>
  <c r="R21" i="1"/>
  <c r="R22" i="1"/>
  <c r="R23" i="1"/>
  <c r="R24" i="1"/>
  <c r="R26" i="1"/>
  <c r="R28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L2" i="1" a="1"/>
  <c r="L2" i="1" s="1"/>
  <c r="L1" i="1" a="1"/>
  <c r="L1" i="1" s="1"/>
  <c r="G33" i="8" a="1"/>
  <c r="H33" i="8" a="1"/>
  <c r="I33" i="8" a="1"/>
  <c r="J33" i="8" a="1"/>
  <c r="K33" i="8" a="1"/>
  <c r="L33" i="8" a="1"/>
  <c r="M33" i="8" a="1"/>
  <c r="N33" i="8" a="1"/>
  <c r="O33" i="8" a="1"/>
  <c r="B50" i="7"/>
  <c r="O233" i="5" a="1"/>
  <c r="N233" i="5" a="1"/>
  <c r="M233" i="5" a="1"/>
  <c r="L233" i="5" a="1"/>
  <c r="K233" i="5" a="1"/>
  <c r="J233" i="5" a="1"/>
  <c r="I233" i="5" a="1"/>
  <c r="H233" i="5" a="1"/>
  <c r="G233" i="5" a="1"/>
  <c r="F233" i="5" a="1"/>
  <c r="E233" i="5" a="1"/>
  <c r="O228" i="5" a="1"/>
  <c r="N228" i="5" a="1"/>
  <c r="M228" i="5" a="1"/>
  <c r="L228" i="5" a="1"/>
  <c r="K228" i="5" a="1"/>
  <c r="J228" i="5" a="1"/>
  <c r="I228" i="5" a="1"/>
  <c r="H228" i="5" a="1"/>
  <c r="G228" i="5" a="1"/>
  <c r="F228" i="5" a="1"/>
  <c r="E228" i="5" a="1"/>
  <c r="O223" i="5" a="1"/>
  <c r="N223" i="5" a="1"/>
  <c r="M223" i="5" a="1"/>
  <c r="L223" i="5" a="1"/>
  <c r="K223" i="5" a="1"/>
  <c r="J223" i="5" a="1"/>
  <c r="I223" i="5" a="1"/>
  <c r="H223" i="5" a="1"/>
  <c r="G223" i="5" a="1"/>
  <c r="F223" i="5" a="1"/>
  <c r="E223" i="5" a="1"/>
  <c r="O218" i="5" a="1"/>
  <c r="N218" i="5" a="1"/>
  <c r="M218" i="5" a="1"/>
  <c r="L218" i="5" a="1"/>
  <c r="K218" i="5" a="1"/>
  <c r="J218" i="5" a="1"/>
  <c r="I218" i="5" a="1"/>
  <c r="H218" i="5" a="1"/>
  <c r="G218" i="5" a="1"/>
  <c r="F218" i="5" a="1"/>
  <c r="E218" i="5" a="1"/>
  <c r="O213" i="5" a="1"/>
  <c r="N213" i="5" a="1"/>
  <c r="M213" i="5" a="1"/>
  <c r="L213" i="5" a="1"/>
  <c r="K213" i="5" a="1"/>
  <c r="J213" i="5" a="1"/>
  <c r="I213" i="5" a="1"/>
  <c r="H213" i="5" a="1"/>
  <c r="G213" i="5" a="1"/>
  <c r="F213" i="5" a="1"/>
  <c r="E213" i="5" a="1"/>
  <c r="O208" i="5" a="1"/>
  <c r="N208" i="5" a="1"/>
  <c r="M208" i="5" a="1"/>
  <c r="L208" i="5" a="1"/>
  <c r="K208" i="5" a="1"/>
  <c r="J208" i="5" a="1"/>
  <c r="I208" i="5" a="1"/>
  <c r="H208" i="5" a="1"/>
  <c r="G208" i="5" a="1"/>
  <c r="F208" i="5" a="1"/>
  <c r="G203" i="5" a="1"/>
  <c r="H203" i="5" a="1"/>
  <c r="I203" i="5" a="1"/>
  <c r="J203" i="5" a="1"/>
  <c r="K203" i="5" a="1"/>
  <c r="L203" i="5" a="1"/>
  <c r="M203" i="5" a="1"/>
  <c r="N203" i="5" a="1"/>
  <c r="O203" i="5" a="1"/>
  <c r="F203" i="5" a="1"/>
  <c r="G198" i="5" a="1"/>
  <c r="H198" i="5" a="1"/>
  <c r="I198" i="5" a="1"/>
  <c r="J198" i="5" a="1"/>
  <c r="K198" i="5" a="1"/>
  <c r="L198" i="5" a="1"/>
  <c r="M198" i="5" a="1"/>
  <c r="N198" i="5" a="1"/>
  <c r="O198" i="5" a="1"/>
  <c r="F198" i="5" a="1"/>
  <c r="F112" i="5" a="1"/>
  <c r="F112" i="5" s="1"/>
  <c r="F236" i="5" s="1"/>
  <c r="L106" i="5" a="1"/>
  <c r="L106" i="5" s="1"/>
  <c r="F106" i="5" a="1"/>
  <c r="F106" i="5" s="1"/>
  <c r="F100" i="5" a="1"/>
  <c r="F100" i="5" s="1"/>
  <c r="Q6" i="1" l="1"/>
  <c r="N3" i="1"/>
  <c r="P23" i="8" a="1"/>
  <c r="L112" i="5" a="1"/>
  <c r="L112" i="5" s="1"/>
  <c r="L236" i="5" s="1"/>
  <c r="I112" i="5" a="1"/>
  <c r="I112" i="5" s="1"/>
  <c r="I236" i="5" s="1"/>
  <c r="G112" i="5" a="1"/>
  <c r="G112" i="5" s="1"/>
  <c r="G236" i="5" s="1"/>
  <c r="G106" i="5" a="1"/>
  <c r="G106" i="5" s="1"/>
  <c r="I106" i="5" a="1"/>
  <c r="I106" i="5" s="1"/>
  <c r="G100" i="5" a="1"/>
  <c r="G100" i="5" s="1"/>
  <c r="L100" i="5" a="1"/>
  <c r="L100" i="5" s="1"/>
  <c r="I100" i="5" a="1"/>
  <c r="I100" i="5" s="1"/>
  <c r="J24" i="8" l="1" a="1"/>
  <c r="P24" i="8" a="1"/>
  <c r="O24" i="8" a="1"/>
  <c r="M24" i="8" a="1"/>
  <c r="K24" i="8" a="1"/>
  <c r="I24" i="8" a="1"/>
  <c r="G24" i="8" a="1"/>
  <c r="Q23" i="8" a="1"/>
  <c r="L24" i="8" a="1"/>
  <c r="N24" i="8" a="1"/>
  <c r="H24" i="8" a="1"/>
  <c r="P189" i="5" a="1"/>
  <c r="P188" i="5" a="1"/>
  <c r="P183" i="5" a="1"/>
  <c r="P182" i="5" a="1"/>
  <c r="O48" i="8" l="1" a="1"/>
  <c r="N48" i="8" a="1"/>
  <c r="M48" i="8" a="1"/>
  <c r="L48" i="8" a="1"/>
  <c r="K48" i="8" a="1"/>
  <c r="J48" i="8" a="1"/>
  <c r="I48" i="8" a="1"/>
  <c r="H48" i="8" a="1"/>
  <c r="G48" i="8" a="1"/>
  <c r="F48" i="8" a="1"/>
  <c r="O45" i="8" a="1"/>
  <c r="N45" i="8" a="1"/>
  <c r="M45" i="8" a="1"/>
  <c r="L45" i="8" a="1"/>
  <c r="K45" i="8" a="1"/>
  <c r="J45" i="8" a="1"/>
  <c r="I45" i="8" a="1"/>
  <c r="H45" i="8" a="1"/>
  <c r="G45" i="8" a="1"/>
  <c r="F45" i="8" a="1"/>
  <c r="O42" i="8" a="1"/>
  <c r="N42" i="8" a="1"/>
  <c r="M42" i="8" a="1"/>
  <c r="L42" i="8" a="1"/>
  <c r="K42" i="8" a="1"/>
  <c r="J42" i="8" a="1"/>
  <c r="I42" i="8" a="1"/>
  <c r="H42" i="8" a="1"/>
  <c r="G42" i="8" a="1"/>
  <c r="F42" i="8" a="1"/>
  <c r="O39" i="8" a="1"/>
  <c r="N39" i="8" a="1"/>
  <c r="M39" i="8" a="1"/>
  <c r="L39" i="8" a="1"/>
  <c r="K39" i="8" a="1"/>
  <c r="J39" i="8" a="1"/>
  <c r="I39" i="8" a="1"/>
  <c r="H39" i="8" a="1"/>
  <c r="G39" i="8" a="1"/>
  <c r="F39" i="8" a="1"/>
  <c r="O36" i="8" a="1"/>
  <c r="N36" i="8" a="1"/>
  <c r="M36" i="8" a="1"/>
  <c r="L36" i="8" a="1"/>
  <c r="K36" i="8" a="1"/>
  <c r="J36" i="8" a="1"/>
  <c r="I36" i="8" a="1"/>
  <c r="H36" i="8" a="1"/>
  <c r="G36" i="8" a="1"/>
  <c r="F36" i="8" a="1"/>
  <c r="F33" i="8" a="1"/>
  <c r="P21" i="8" a="1"/>
  <c r="P20" i="8" a="1"/>
  <c r="I20" i="8" a="1"/>
  <c r="H20" i="8" a="1"/>
  <c r="P19" i="8" a="1"/>
  <c r="P17" i="8" a="1"/>
  <c r="P16" i="8" a="1"/>
  <c r="M16" i="8" a="1"/>
  <c r="K16" i="8" a="1"/>
  <c r="J16" i="8" a="1"/>
  <c r="H16" i="8" a="1"/>
  <c r="F16" i="8" a="1"/>
  <c r="Q15" i="8" a="1"/>
  <c r="P15" i="8" a="1"/>
  <c r="P13" i="8" a="1"/>
  <c r="P11" i="8" a="1"/>
  <c r="B6" i="8"/>
  <c r="J99" i="7"/>
  <c r="J97" i="7"/>
  <c r="AB95" i="7"/>
  <c r="Z100" i="7" s="1"/>
  <c r="R95" i="7"/>
  <c r="R93" i="7"/>
  <c r="J91" i="7"/>
  <c r="D91" i="7"/>
  <c r="AB90" i="7"/>
  <c r="Z93" i="7" s="1"/>
  <c r="D89" i="7"/>
  <c r="R87" i="7"/>
  <c r="R85" i="7"/>
  <c r="J89" i="7"/>
  <c r="R81" i="7"/>
  <c r="J77" i="7"/>
  <c r="J83" i="7"/>
  <c r="J73" i="7"/>
  <c r="R77" i="7"/>
  <c r="V50" i="7"/>
  <c r="F50" i="7"/>
  <c r="J50" i="7" s="1"/>
  <c r="W38" i="7" a="1"/>
  <c r="J38" i="7"/>
  <c r="W19" i="7"/>
  <c r="B7" i="7"/>
  <c r="D83" i="7" l="1"/>
  <c r="L77" i="7"/>
  <c r="J85" i="7"/>
  <c r="I16" i="8" a="1"/>
  <c r="N16" i="8" a="1"/>
  <c r="F20" i="8" a="1"/>
  <c r="N20" i="8" a="1"/>
  <c r="K20" i="8" a="1"/>
  <c r="W44" i="7" a="1"/>
  <c r="J58" i="7" a="1"/>
  <c r="L18" i="8" a="1"/>
  <c r="I18" i="8" a="1"/>
  <c r="K18" i="8" a="1"/>
  <c r="F18" i="8" a="1"/>
  <c r="O18" i="8" a="1"/>
  <c r="J18" i="8" a="1"/>
  <c r="G18" i="8" a="1"/>
  <c r="N18" i="8" a="1"/>
  <c r="P18" i="8" a="1"/>
  <c r="M18" i="8" a="1"/>
  <c r="H18" i="8" a="1"/>
  <c r="Q17" i="8" a="1"/>
  <c r="O22" i="8" a="1"/>
  <c r="J22" i="8" a="1"/>
  <c r="P22" i="8" a="1"/>
  <c r="M22" i="8" a="1"/>
  <c r="H22" i="8" a="1"/>
  <c r="Q21" i="8" a="1"/>
  <c r="G22" i="8" a="1"/>
  <c r="P27" i="8" a="1"/>
  <c r="L22" i="8" a="1"/>
  <c r="I22" i="8" a="1"/>
  <c r="N22" i="8" a="1"/>
  <c r="K22" i="8" a="1"/>
  <c r="F22" i="8" a="1"/>
  <c r="P45" i="8" a="1"/>
  <c r="N50" i="7"/>
  <c r="W50" i="7" s="1"/>
  <c r="I12" i="8" a="1"/>
  <c r="Q11" i="8" a="1"/>
  <c r="M12" i="8" a="1"/>
  <c r="N12" i="8" a="1"/>
  <c r="P12" i="8" a="1"/>
  <c r="K12" i="8" a="1"/>
  <c r="G12" i="8" a="1"/>
  <c r="O12" i="8" a="1"/>
  <c r="L12" i="8" a="1"/>
  <c r="J12" i="8" a="1"/>
  <c r="H12" i="8" a="1"/>
  <c r="F12" i="8" a="1"/>
  <c r="D81" i="7"/>
  <c r="G14" i="8" a="1"/>
  <c r="J14" i="8" a="1"/>
  <c r="O14" i="8" a="1"/>
  <c r="P36" i="8" a="1"/>
  <c r="P42" i="8" a="1"/>
  <c r="P48" i="8" a="1"/>
  <c r="J81" i="7"/>
  <c r="H14" i="8" a="1"/>
  <c r="R79" i="7"/>
  <c r="K14" i="8" a="1"/>
  <c r="L20" i="8" a="1"/>
  <c r="P33" i="8" a="1"/>
  <c r="I14" i="8" a="1"/>
  <c r="L14" i="8" a="1"/>
  <c r="G16" i="8" a="1"/>
  <c r="L16" i="8" a="1"/>
  <c r="Q19" i="8" a="1"/>
  <c r="J20" i="8" a="1"/>
  <c r="M20" i="8" a="1"/>
  <c r="Q13" i="8" a="1"/>
  <c r="M14" i="8" a="1"/>
  <c r="P14" i="8" a="1"/>
  <c r="F14" i="8" a="1"/>
  <c r="G20" i="8" a="1"/>
  <c r="K8" i="4"/>
  <c r="K9" i="4"/>
  <c r="K10" i="4"/>
  <c r="E13" i="4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E15" i="4" s="1"/>
  <c r="K40" i="4"/>
  <c r="K41" i="4"/>
  <c r="E34" i="4" s="1"/>
  <c r="K42" i="4"/>
  <c r="E35" i="4" s="1"/>
  <c r="K43" i="4"/>
  <c r="E36" i="4" s="1"/>
  <c r="K44" i="4"/>
  <c r="K45" i="4"/>
  <c r="B247" i="5"/>
  <c r="E208" i="5" a="1"/>
  <c r="E198" i="5" a="1"/>
  <c r="E203" i="5" a="1"/>
  <c r="B7" i="5"/>
  <c r="J12" i="4"/>
  <c r="D9" i="4" s="1"/>
  <c r="J7" i="4"/>
  <c r="J11" i="4"/>
  <c r="K11" i="4" s="1"/>
  <c r="D38" i="4"/>
  <c r="D37" i="4"/>
  <c r="D36" i="4"/>
  <c r="D35" i="4"/>
  <c r="D34" i="4"/>
  <c r="D33" i="4"/>
  <c r="D32" i="4"/>
  <c r="D31" i="4"/>
  <c r="D30" i="4"/>
  <c r="D29" i="4"/>
  <c r="D17" i="4"/>
  <c r="E12" i="4"/>
  <c r="E16" i="4"/>
  <c r="D16" i="4"/>
  <c r="D15" i="4"/>
  <c r="D14" i="4"/>
  <c r="D13" i="4"/>
  <c r="B13" i="7" s="1"/>
  <c r="D12" i="4"/>
  <c r="D11" i="4"/>
  <c r="B32" i="7" s="1"/>
  <c r="D10" i="4"/>
  <c r="P8" i="1"/>
  <c r="P9" i="1"/>
  <c r="R9" i="1" s="1"/>
  <c r="P10" i="1"/>
  <c r="P11" i="1"/>
  <c r="P12" i="1"/>
  <c r="R12" i="1" s="1"/>
  <c r="P13" i="1"/>
  <c r="R13" i="1" s="1"/>
  <c r="P14" i="1"/>
  <c r="R14" i="1" s="1"/>
  <c r="P15" i="1"/>
  <c r="R15" i="1" s="1"/>
  <c r="P16" i="1"/>
  <c r="R16" i="1" s="1"/>
  <c r="P17" i="1"/>
  <c r="P18" i="1"/>
  <c r="P19" i="1"/>
  <c r="R19" i="1" s="1"/>
  <c r="P20" i="1"/>
  <c r="P21" i="1"/>
  <c r="P22" i="1"/>
  <c r="P23" i="1"/>
  <c r="P24" i="1"/>
  <c r="P25" i="1"/>
  <c r="R25" i="1" s="1"/>
  <c r="P26" i="1"/>
  <c r="P27" i="1"/>
  <c r="R27" i="1" s="1"/>
  <c r="P28" i="1"/>
  <c r="P29" i="1"/>
  <c r="R29" i="1" s="1"/>
  <c r="P30" i="1"/>
  <c r="R30" i="1" s="1"/>
  <c r="P31" i="1"/>
  <c r="R31" i="1" s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R70" i="1" s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K7" i="4" l="1"/>
  <c r="I35" i="9"/>
  <c r="E166" i="5" a="1"/>
  <c r="E166" i="5" s="1"/>
  <c r="E139" i="5" a="1"/>
  <c r="E139" i="5" s="1"/>
  <c r="E82" i="5" a="1"/>
  <c r="E82" i="5" s="1"/>
  <c r="E160" i="5" a="1"/>
  <c r="E160" i="5" s="1"/>
  <c r="E133" i="5" a="1"/>
  <c r="E133" i="5" s="1"/>
  <c r="E109" i="5" a="1"/>
  <c r="E109" i="5" s="1"/>
  <c r="E233" i="5" s="1"/>
  <c r="B56" i="7" s="1"/>
  <c r="E97" i="5" a="1"/>
  <c r="E97" i="5" s="1"/>
  <c r="E73" i="5" a="1"/>
  <c r="E73" i="5" s="1"/>
  <c r="E154" i="5" a="1"/>
  <c r="E154" i="5" s="1"/>
  <c r="E124" i="5" a="1"/>
  <c r="E124" i="5" s="1"/>
  <c r="E103" i="5" a="1"/>
  <c r="E103" i="5" s="1"/>
  <c r="E67" i="5" a="1"/>
  <c r="E67" i="5" s="1"/>
  <c r="E172" i="5" a="1"/>
  <c r="E172" i="5" s="1"/>
  <c r="E148" i="5" a="1"/>
  <c r="E148" i="5" s="1"/>
  <c r="E118" i="5" a="1"/>
  <c r="E118" i="5" s="1"/>
  <c r="E88" i="5" a="1"/>
  <c r="E88" i="5" s="1"/>
  <c r="E52" i="5" a="1"/>
  <c r="E52" i="5" s="1"/>
  <c r="E28" i="5" a="1"/>
  <c r="E28" i="5" s="1"/>
  <c r="E213" i="5" s="1"/>
  <c r="E17" i="8" s="1"/>
  <c r="E46" i="5" a="1"/>
  <c r="E46" i="5" s="1"/>
  <c r="E22" i="5" a="1"/>
  <c r="E22" i="5" s="1"/>
  <c r="E40" i="5" a="1"/>
  <c r="E40" i="5" s="1"/>
  <c r="E61" i="5" a="1"/>
  <c r="E61" i="5" s="1"/>
  <c r="E34" i="5" a="1"/>
  <c r="E34" i="5" s="1"/>
  <c r="E223" i="5" s="1"/>
  <c r="E21" i="8" s="1"/>
  <c r="E16" i="5" a="1"/>
  <c r="E16" i="5" s="1"/>
  <c r="I14" i="9"/>
  <c r="K14" i="9" s="1"/>
  <c r="C29" i="9" s="1"/>
  <c r="F32" i="7"/>
  <c r="J32" i="7" s="1"/>
  <c r="I26" i="9"/>
  <c r="B19" i="7"/>
  <c r="F19" i="7" s="1"/>
  <c r="J19" i="7" s="1"/>
  <c r="F13" i="7"/>
  <c r="R6" i="1"/>
  <c r="P6" i="1"/>
  <c r="M2" i="1" a="1"/>
  <c r="M2" i="1" s="1"/>
  <c r="M1" i="1" a="1"/>
  <c r="M1" i="1" s="1"/>
  <c r="N1" i="1" s="1"/>
  <c r="K27" i="8" a="1"/>
  <c r="L179" i="5" a="1"/>
  <c r="L179" i="5" s="1"/>
  <c r="O179" i="5" a="1"/>
  <c r="O179" i="5" s="1"/>
  <c r="K179" i="5" a="1"/>
  <c r="K179" i="5" s="1"/>
  <c r="H179" i="5" a="1"/>
  <c r="H179" i="5" s="1"/>
  <c r="N179" i="5" a="1"/>
  <c r="N179" i="5" s="1"/>
  <c r="J179" i="5" a="1"/>
  <c r="J179" i="5" s="1"/>
  <c r="G179" i="5" a="1"/>
  <c r="G179" i="5" s="1"/>
  <c r="M179" i="5" a="1"/>
  <c r="M179" i="5" s="1"/>
  <c r="F179" i="5" a="1"/>
  <c r="F179" i="5" s="1"/>
  <c r="O146" i="5" a="1"/>
  <c r="O146" i="5" s="1"/>
  <c r="K146" i="5" a="1"/>
  <c r="K146" i="5" s="1"/>
  <c r="H146" i="5" a="1"/>
  <c r="H146" i="5" s="1"/>
  <c r="N146" i="5" a="1"/>
  <c r="N146" i="5" s="1"/>
  <c r="J146" i="5" a="1"/>
  <c r="J146" i="5" s="1"/>
  <c r="G146" i="5" a="1"/>
  <c r="G146" i="5" s="1"/>
  <c r="M146" i="5" a="1"/>
  <c r="M146" i="5" s="1"/>
  <c r="F146" i="5" a="1"/>
  <c r="F146" i="5" s="1"/>
  <c r="L146" i="5" a="1"/>
  <c r="L146" i="5" s="1"/>
  <c r="O131" i="5" a="1"/>
  <c r="O131" i="5" s="1"/>
  <c r="J131" i="5" a="1"/>
  <c r="J131" i="5" s="1"/>
  <c r="G131" i="5" a="1"/>
  <c r="G131" i="5" s="1"/>
  <c r="N131" i="5" a="1"/>
  <c r="N131" i="5" s="1"/>
  <c r="H131" i="5" a="1"/>
  <c r="H131" i="5" s="1"/>
  <c r="L131" i="5" a="1"/>
  <c r="L131" i="5" s="1"/>
  <c r="F131" i="5" a="1"/>
  <c r="F131" i="5" s="1"/>
  <c r="K131" i="5" a="1"/>
  <c r="K131" i="5" s="1"/>
  <c r="M131" i="5" a="1"/>
  <c r="M131" i="5" s="1"/>
  <c r="L116" i="5" a="1"/>
  <c r="L116" i="5" s="1"/>
  <c r="H116" i="5" a="1"/>
  <c r="H116" i="5" s="1"/>
  <c r="G111" i="5" a="1"/>
  <c r="G111" i="5" s="1"/>
  <c r="G235" i="5" s="1"/>
  <c r="L95" i="5" a="1"/>
  <c r="L95" i="5" s="1"/>
  <c r="H95" i="5" a="1"/>
  <c r="H95" i="5" s="1"/>
  <c r="L80" i="5" a="1"/>
  <c r="L80" i="5" s="1"/>
  <c r="H80" i="5" a="1"/>
  <c r="H80" i="5" s="1"/>
  <c r="H59" i="5" a="1"/>
  <c r="H59" i="5" s="1"/>
  <c r="L59" i="5" a="1"/>
  <c r="L59" i="5" s="1"/>
  <c r="F59" i="5" a="1"/>
  <c r="F59" i="5" s="1"/>
  <c r="J14" i="5" a="1"/>
  <c r="J14" i="5" s="1"/>
  <c r="N14" i="5" a="1"/>
  <c r="N14" i="5" s="1"/>
  <c r="G14" i="5" a="1"/>
  <c r="G14" i="5" s="1"/>
  <c r="O14" i="5" a="1"/>
  <c r="O14" i="5" s="1"/>
  <c r="N116" i="5" a="1"/>
  <c r="N116" i="5" s="1"/>
  <c r="F116" i="5" a="1"/>
  <c r="F116" i="5" s="1"/>
  <c r="I105" i="5" a="1"/>
  <c r="I105" i="5" s="1"/>
  <c r="N95" i="5" a="1"/>
  <c r="N95" i="5" s="1"/>
  <c r="J95" i="5" a="1"/>
  <c r="J95" i="5" s="1"/>
  <c r="F95" i="5" a="1"/>
  <c r="F95" i="5" s="1"/>
  <c r="J80" i="5" a="1"/>
  <c r="J80" i="5" s="1"/>
  <c r="J59" i="5" a="1"/>
  <c r="J59" i="5" s="1"/>
  <c r="H14" i="5" a="1"/>
  <c r="H14" i="5" s="1"/>
  <c r="I99" i="5" a="1"/>
  <c r="I99" i="5" s="1"/>
  <c r="K59" i="5" a="1"/>
  <c r="K59" i="5" s="1"/>
  <c r="O116" i="5" a="1"/>
  <c r="O116" i="5" s="1"/>
  <c r="K116" i="5" a="1"/>
  <c r="K116" i="5" s="1"/>
  <c r="G116" i="5" a="1"/>
  <c r="G116" i="5" s="1"/>
  <c r="O95" i="5" a="1"/>
  <c r="O95" i="5" s="1"/>
  <c r="K95" i="5" a="1"/>
  <c r="K95" i="5" s="1"/>
  <c r="G95" i="5" a="1"/>
  <c r="G95" i="5" s="1"/>
  <c r="O80" i="5" a="1"/>
  <c r="O80" i="5" s="1"/>
  <c r="K80" i="5" a="1"/>
  <c r="K80" i="5" s="1"/>
  <c r="G80" i="5" a="1"/>
  <c r="G80" i="5" s="1"/>
  <c r="M59" i="5" a="1"/>
  <c r="M59" i="5" s="1"/>
  <c r="K14" i="5" a="1"/>
  <c r="K14" i="5" s="1"/>
  <c r="J116" i="5" a="1"/>
  <c r="J116" i="5" s="1"/>
  <c r="L111" i="5" a="1"/>
  <c r="L111" i="5" s="1"/>
  <c r="L235" i="5" s="1"/>
  <c r="G99" i="5" a="1"/>
  <c r="G99" i="5" s="1"/>
  <c r="N80" i="5" a="1"/>
  <c r="N80" i="5" s="1"/>
  <c r="F80" i="5" a="1"/>
  <c r="F80" i="5" s="1"/>
  <c r="N59" i="5" a="1"/>
  <c r="N59" i="5" s="1"/>
  <c r="L14" i="5" a="1"/>
  <c r="L14" i="5" s="1"/>
  <c r="M116" i="5" a="1"/>
  <c r="M116" i="5" s="1"/>
  <c r="F111" i="5" a="1"/>
  <c r="F111" i="5" s="1"/>
  <c r="F235" i="5" s="1"/>
  <c r="G105" i="5" a="1"/>
  <c r="G105" i="5" s="1"/>
  <c r="M95" i="5" a="1"/>
  <c r="M95" i="5" s="1"/>
  <c r="M80" i="5" a="1"/>
  <c r="M80" i="5" s="1"/>
  <c r="G59" i="5" a="1"/>
  <c r="G59" i="5" s="1"/>
  <c r="O59" i="5" a="1"/>
  <c r="O59" i="5" s="1"/>
  <c r="M14" i="5" a="1"/>
  <c r="M14" i="5" s="1"/>
  <c r="L110" i="5" a="1"/>
  <c r="L110" i="5" s="1"/>
  <c r="L234" i="5" s="1"/>
  <c r="L105" i="5" a="1"/>
  <c r="L105" i="5" s="1"/>
  <c r="I98" i="5" a="1"/>
  <c r="I98" i="5" s="1"/>
  <c r="F98" i="5" a="1"/>
  <c r="F98" i="5" s="1"/>
  <c r="I104" i="5" a="1"/>
  <c r="I104" i="5" s="1"/>
  <c r="L104" i="5" a="1"/>
  <c r="L104" i="5" s="1"/>
  <c r="F99" i="5" a="1"/>
  <c r="F99" i="5" s="1"/>
  <c r="I110" i="5" a="1"/>
  <c r="I110" i="5" s="1"/>
  <c r="I234" i="5" s="1"/>
  <c r="F105" i="5" a="1"/>
  <c r="F105" i="5" s="1"/>
  <c r="I111" i="5" a="1"/>
  <c r="I111" i="5" s="1"/>
  <c r="I235" i="5" s="1"/>
  <c r="G110" i="5" a="1"/>
  <c r="G110" i="5" s="1"/>
  <c r="G234" i="5" s="1"/>
  <c r="G104" i="5" a="1"/>
  <c r="G104" i="5" s="1"/>
  <c r="G98" i="5" a="1"/>
  <c r="G98" i="5" s="1"/>
  <c r="F104" i="5" a="1"/>
  <c r="F104" i="5" s="1"/>
  <c r="L99" i="5" a="1"/>
  <c r="L99" i="5" s="1"/>
  <c r="F110" i="5" a="1"/>
  <c r="F110" i="5" s="1"/>
  <c r="F234" i="5" s="1"/>
  <c r="L98" i="5" a="1"/>
  <c r="L98" i="5" s="1"/>
  <c r="L31" i="4"/>
  <c r="E38" i="4"/>
  <c r="L34" i="4"/>
  <c r="L28" i="4"/>
  <c r="L24" i="4"/>
  <c r="L20" i="4"/>
  <c r="M27" i="8" a="1"/>
  <c r="L14" i="4"/>
  <c r="G27" i="8" a="1"/>
  <c r="I27" i="8" a="1"/>
  <c r="O27" i="8" a="1"/>
  <c r="J27" i="8" a="1"/>
  <c r="H27" i="8" a="1"/>
  <c r="F27" i="8" a="1"/>
  <c r="N27" i="8" a="1"/>
  <c r="L27" i="8" a="1"/>
  <c r="K12" i="4"/>
  <c r="L16" i="4"/>
  <c r="L37" i="4"/>
  <c r="L40" i="4"/>
  <c r="L17" i="4"/>
  <c r="L21" i="4"/>
  <c r="L45" i="4"/>
  <c r="L36" i="4"/>
  <c r="L25" i="4"/>
  <c r="L23" i="4"/>
  <c r="L32" i="4"/>
  <c r="L39" i="4"/>
  <c r="L35" i="4"/>
  <c r="L27" i="4"/>
  <c r="L19" i="4"/>
  <c r="L15" i="4"/>
  <c r="L38" i="4"/>
  <c r="L30" i="4"/>
  <c r="L22" i="4"/>
  <c r="L18" i="4"/>
  <c r="E32" i="4"/>
  <c r="L44" i="4"/>
  <c r="E17" i="4"/>
  <c r="E10" i="4"/>
  <c r="E30" i="4"/>
  <c r="E14" i="4"/>
  <c r="E7" i="4"/>
  <c r="E37" i="4"/>
  <c r="E33" i="4"/>
  <c r="D7" i="4"/>
  <c r="E11" i="4"/>
  <c r="E29" i="4"/>
  <c r="D28" i="4"/>
  <c r="E31" i="4"/>
  <c r="D8" i="4"/>
  <c r="E8" i="4"/>
  <c r="E228" i="5" l="1"/>
  <c r="B44" i="7" s="1"/>
  <c r="F44" i="7" s="1"/>
  <c r="E237" i="5"/>
  <c r="E198" i="5"/>
  <c r="E11" i="8" s="1"/>
  <c r="E208" i="5"/>
  <c r="E15" i="8" s="1"/>
  <c r="B25" i="7"/>
  <c r="F25" i="7" s="1"/>
  <c r="J26" i="7" s="1"/>
  <c r="E203" i="5"/>
  <c r="E13" i="8" s="1"/>
  <c r="E218" i="5"/>
  <c r="E19" i="8" s="1"/>
  <c r="B38" i="7"/>
  <c r="F38" i="7" s="1"/>
  <c r="I18" i="9" s="1"/>
  <c r="K18" i="9" s="1"/>
  <c r="C35" i="9" s="1"/>
  <c r="E23" i="8"/>
  <c r="L7" i="4"/>
  <c r="I43" i="9"/>
  <c r="I12" i="9"/>
  <c r="K12" i="9" s="1"/>
  <c r="J25" i="7"/>
  <c r="I28" i="9"/>
  <c r="J28" i="9" s="1"/>
  <c r="E116" i="5" a="1"/>
  <c r="E116" i="5" s="1"/>
  <c r="E179" i="5" a="1"/>
  <c r="E179" i="5" s="1"/>
  <c r="E146" i="5" a="1"/>
  <c r="E146" i="5" s="1"/>
  <c r="J13" i="7"/>
  <c r="I16" i="9"/>
  <c r="K16" i="9" s="1"/>
  <c r="F58" i="8"/>
  <c r="R8" i="7"/>
  <c r="N192" i="5"/>
  <c r="H192" i="5"/>
  <c r="K192" i="5"/>
  <c r="L192" i="5"/>
  <c r="G192" i="5"/>
  <c r="O192" i="5"/>
  <c r="M192" i="5"/>
  <c r="J192" i="5"/>
  <c r="P173" i="5" a="1"/>
  <c r="P161" i="5" a="1"/>
  <c r="O166" i="5" a="1"/>
  <c r="O172" i="5" a="1"/>
  <c r="O160" i="5" a="1"/>
  <c r="I172" i="5" a="1"/>
  <c r="I160" i="5" a="1"/>
  <c r="I166" i="5" a="1"/>
  <c r="M172" i="5" a="1"/>
  <c r="M166" i="5" a="1"/>
  <c r="M160" i="5" a="1"/>
  <c r="N160" i="5" a="1"/>
  <c r="N166" i="5" a="1"/>
  <c r="N172" i="5" a="1"/>
  <c r="K166" i="5" a="1"/>
  <c r="K172" i="5" a="1"/>
  <c r="K160" i="5" a="1"/>
  <c r="P167" i="5" a="1"/>
  <c r="L172" i="5" a="1"/>
  <c r="L160" i="5" a="1"/>
  <c r="L166" i="5" a="1"/>
  <c r="G172" i="5" a="1"/>
  <c r="G160" i="5" a="1"/>
  <c r="G166" i="5" a="1"/>
  <c r="P155" i="5" a="1"/>
  <c r="P149" i="5" a="1"/>
  <c r="F160" i="5" a="1"/>
  <c r="F166" i="5" a="1"/>
  <c r="F172" i="5" a="1"/>
  <c r="J172" i="5" a="1"/>
  <c r="J160" i="5" a="1"/>
  <c r="J166" i="5" a="1"/>
  <c r="H160" i="5" a="1"/>
  <c r="H166" i="5" a="1"/>
  <c r="H172" i="5" a="1"/>
  <c r="P150" i="5" a="1"/>
  <c r="P174" i="5" a="1"/>
  <c r="P162" i="5" a="1"/>
  <c r="P168" i="5" a="1"/>
  <c r="P156" i="5" a="1"/>
  <c r="H133" i="5" a="1"/>
  <c r="H139" i="5" a="1"/>
  <c r="F148" i="5" a="1"/>
  <c r="F154" i="5" a="1"/>
  <c r="J148" i="5" a="1"/>
  <c r="J154" i="5" a="1"/>
  <c r="G97" i="5" a="1"/>
  <c r="G97" i="5" s="1"/>
  <c r="G103" i="5" a="1"/>
  <c r="F133" i="5" a="1"/>
  <c r="F139" i="5" a="1"/>
  <c r="P140" i="5" a="1"/>
  <c r="I148" i="5" a="1"/>
  <c r="I154" i="5" a="1"/>
  <c r="F97" i="5" a="1"/>
  <c r="F97" i="5" s="1"/>
  <c r="F103" i="5" a="1"/>
  <c r="F109" i="5" a="1"/>
  <c r="F109" i="5" s="1"/>
  <c r="F233" i="5" s="1"/>
  <c r="L109" i="5" a="1"/>
  <c r="L109" i="5" s="1"/>
  <c r="L233" i="5" s="1"/>
  <c r="L103" i="5" a="1"/>
  <c r="L97" i="5" a="1"/>
  <c r="M133" i="5" a="1"/>
  <c r="M139" i="5" a="1"/>
  <c r="L133" i="5" a="1"/>
  <c r="L139" i="5" a="1"/>
  <c r="J133" i="5" a="1"/>
  <c r="J139" i="5" a="1"/>
  <c r="G148" i="5" a="1"/>
  <c r="G154" i="5" a="1"/>
  <c r="K133" i="5" a="1"/>
  <c r="K139" i="5" a="1"/>
  <c r="O133" i="5" a="1"/>
  <c r="O139" i="5" a="1"/>
  <c r="H148" i="5" a="1"/>
  <c r="H154" i="5" a="1"/>
  <c r="N133" i="5" a="1"/>
  <c r="N139" i="5" a="1"/>
  <c r="M154" i="5" a="1"/>
  <c r="M148" i="5" a="1"/>
  <c r="N148" i="5" a="1"/>
  <c r="N154" i="5" a="1"/>
  <c r="K148" i="5" a="1"/>
  <c r="K154" i="5" a="1"/>
  <c r="I103" i="5" a="1"/>
  <c r="I109" i="5" a="1"/>
  <c r="I133" i="5" a="1"/>
  <c r="I139" i="5" a="1"/>
  <c r="G133" i="5" a="1"/>
  <c r="G139" i="5" a="1"/>
  <c r="P141" i="5" a="1"/>
  <c r="L148" i="5" a="1"/>
  <c r="L154" i="5" a="1"/>
  <c r="P134" i="5" a="1"/>
  <c r="P135" i="5" a="1"/>
  <c r="O148" i="5" a="1"/>
  <c r="O154" i="5" a="1"/>
  <c r="E131" i="5" a="1"/>
  <c r="E131" i="5" s="1"/>
  <c r="G109" i="5" a="1"/>
  <c r="G109" i="5" s="1"/>
  <c r="G233" i="5" s="1"/>
  <c r="G103" i="5"/>
  <c r="F103" i="5"/>
  <c r="L103" i="5"/>
  <c r="L97" i="5"/>
  <c r="I97" i="5" a="1"/>
  <c r="E59" i="5" a="1"/>
  <c r="E59" i="5" s="1"/>
  <c r="E80" i="5" a="1"/>
  <c r="E80" i="5" s="1"/>
  <c r="E95" i="5" a="1"/>
  <c r="E95" i="5" s="1"/>
  <c r="L8" i="4"/>
  <c r="L12" i="4"/>
  <c r="L13" i="4"/>
  <c r="D39" i="4"/>
  <c r="E14" i="5" a="1"/>
  <c r="E14" i="5" s="1"/>
  <c r="K227" i="5" a="1"/>
  <c r="L11" i="4"/>
  <c r="L10" i="4"/>
  <c r="L9" i="4"/>
  <c r="D18" i="4"/>
  <c r="E9" i="4"/>
  <c r="E18" i="4" s="1"/>
  <c r="F8" i="4" s="1"/>
  <c r="K46" i="4"/>
  <c r="E28" i="4"/>
  <c r="I34" i="5" l="1"/>
  <c r="L16" i="9"/>
  <c r="E244" i="5"/>
  <c r="J36" i="9"/>
  <c r="K36" i="9" s="1"/>
  <c r="C9" i="9" s="1"/>
  <c r="I59" i="5" s="1"/>
  <c r="P59" i="5" s="1"/>
  <c r="Q59" i="5" s="1"/>
  <c r="J39" i="9"/>
  <c r="J43" i="9"/>
  <c r="K43" i="9" s="1"/>
  <c r="J38" i="9"/>
  <c r="K38" i="9" s="1"/>
  <c r="C11" i="9" s="1"/>
  <c r="I95" i="5" s="1"/>
  <c r="J37" i="9"/>
  <c r="J40" i="9"/>
  <c r="K40" i="9" s="1"/>
  <c r="C13" i="9" s="1"/>
  <c r="I131" i="5" s="1"/>
  <c r="P131" i="5" s="1"/>
  <c r="Q131" i="5" s="1"/>
  <c r="J41" i="9"/>
  <c r="K41" i="9" s="1"/>
  <c r="J42" i="9"/>
  <c r="E26" i="8"/>
  <c r="J35" i="9"/>
  <c r="K35" i="9" s="1"/>
  <c r="I22" i="9"/>
  <c r="K22" i="9" s="1"/>
  <c r="C33" i="9" s="1"/>
  <c r="J44" i="7"/>
  <c r="D61" i="7" s="1"/>
  <c r="N132" i="5" a="1"/>
  <c r="N132" i="5" s="1"/>
  <c r="N134" i="5" s="1" a="1"/>
  <c r="N134" i="5" s="1"/>
  <c r="H159" i="5" a="1"/>
  <c r="H159" i="5" s="1"/>
  <c r="H160" i="5" s="1"/>
  <c r="K39" i="9"/>
  <c r="C12" i="9" s="1"/>
  <c r="I116" i="5" s="1"/>
  <c r="P116" i="5" s="1"/>
  <c r="Q116" i="5" s="1"/>
  <c r="M159" i="5" a="1"/>
  <c r="M159" i="5" s="1"/>
  <c r="M162" i="5" s="1" a="1"/>
  <c r="M162" i="5" s="1"/>
  <c r="I138" i="5" a="1"/>
  <c r="I138" i="5" s="1"/>
  <c r="I141" i="5" s="1" a="1"/>
  <c r="I141" i="5" s="1"/>
  <c r="G153" i="5" a="1"/>
  <c r="G153" i="5" s="1"/>
  <c r="G155" i="5" s="1" a="1"/>
  <c r="G155" i="5" s="1"/>
  <c r="J26" i="9"/>
  <c r="K26" i="9" s="1"/>
  <c r="M163" i="5" a="1"/>
  <c r="M163" i="5" s="1"/>
  <c r="G180" i="5" a="1"/>
  <c r="G180" i="5" s="1"/>
  <c r="H171" i="5" a="1"/>
  <c r="H171" i="5" s="1"/>
  <c r="H172" i="5" s="1"/>
  <c r="N159" i="5" a="1"/>
  <c r="N159" i="5" s="1"/>
  <c r="I153" i="5" a="1"/>
  <c r="I153" i="5" s="1"/>
  <c r="L138" i="5" a="1"/>
  <c r="L138" i="5" s="1"/>
  <c r="L139" i="5" s="1"/>
  <c r="O132" i="5" a="1"/>
  <c r="O132" i="5" s="1"/>
  <c r="L147" i="5" a="1"/>
  <c r="L147" i="5" s="1"/>
  <c r="L148" i="5" s="1"/>
  <c r="G138" i="5" a="1"/>
  <c r="G138" i="5" s="1"/>
  <c r="G139" i="5" s="1"/>
  <c r="O186" i="5" a="1"/>
  <c r="O186" i="5" s="1"/>
  <c r="N171" i="5" a="1"/>
  <c r="N171" i="5" s="1"/>
  <c r="N172" i="5" s="1"/>
  <c r="L159" i="5" a="1"/>
  <c r="L159" i="5" s="1"/>
  <c r="N138" i="5" a="1"/>
  <c r="N138" i="5" s="1"/>
  <c r="F186" i="5" a="1"/>
  <c r="F186" i="5" s="1"/>
  <c r="O159" i="5" a="1"/>
  <c r="O159" i="5" s="1"/>
  <c r="J147" i="5" a="1"/>
  <c r="J147" i="5" s="1"/>
  <c r="J148" i="5" s="1"/>
  <c r="J165" i="5" a="1"/>
  <c r="J165" i="5" s="1"/>
  <c r="J180" i="5" a="1"/>
  <c r="J180" i="5" s="1"/>
  <c r="N147" i="5" a="1"/>
  <c r="N147" i="5" s="1"/>
  <c r="N148" i="5" s="1"/>
  <c r="K165" i="5" a="1"/>
  <c r="K165" i="5" s="1"/>
  <c r="K166" i="5" s="1"/>
  <c r="K147" i="5" a="1"/>
  <c r="K147" i="5" s="1"/>
  <c r="K148" i="5" s="1"/>
  <c r="L132" i="5" a="1"/>
  <c r="L132" i="5" s="1"/>
  <c r="L133" i="5" s="1"/>
  <c r="K180" i="5" a="1"/>
  <c r="K180" i="5" s="1"/>
  <c r="O165" i="5" a="1"/>
  <c r="O165" i="5" s="1"/>
  <c r="O166" i="5" s="1"/>
  <c r="J159" i="5" a="1"/>
  <c r="J159" i="5" s="1"/>
  <c r="J160" i="5" s="1"/>
  <c r="G147" i="5" a="1"/>
  <c r="G147" i="5" s="1"/>
  <c r="H138" i="5" a="1"/>
  <c r="H138" i="5" s="1"/>
  <c r="H139" i="5" s="1"/>
  <c r="L153" i="5" a="1"/>
  <c r="L153" i="5" s="1"/>
  <c r="L154" i="5" s="1"/>
  <c r="F147" i="5" a="1"/>
  <c r="F147" i="5" s="1"/>
  <c r="F148" i="5" s="1"/>
  <c r="H132" i="5" a="1"/>
  <c r="H132" i="5" s="1"/>
  <c r="K186" i="5" a="1"/>
  <c r="K186" i="5" s="1"/>
  <c r="J171" i="5" a="1"/>
  <c r="J171" i="5" s="1"/>
  <c r="O153" i="5" a="1"/>
  <c r="O153" i="5" s="1"/>
  <c r="F138" i="5" a="1"/>
  <c r="F138" i="5" s="1"/>
  <c r="N180" i="5" a="1"/>
  <c r="N180" i="5" s="1"/>
  <c r="G159" i="5" a="1"/>
  <c r="G159" i="5" s="1"/>
  <c r="G160" i="5" s="1"/>
  <c r="M138" i="5" a="1"/>
  <c r="M138" i="5" s="1"/>
  <c r="M139" i="5" s="1"/>
  <c r="H180" i="5" a="1"/>
  <c r="H180" i="5" s="1"/>
  <c r="K171" i="5" a="1"/>
  <c r="K171" i="5" s="1"/>
  <c r="F165" i="5" a="1"/>
  <c r="F165" i="5" s="1"/>
  <c r="F171" i="5" a="1"/>
  <c r="F171" i="5" s="1"/>
  <c r="J138" i="5" a="1"/>
  <c r="J138" i="5" s="1"/>
  <c r="J139" i="5" s="1"/>
  <c r="O180" i="5" a="1"/>
  <c r="O180" i="5" s="1"/>
  <c r="G132" i="5" a="1"/>
  <c r="G132" i="5" s="1"/>
  <c r="G133" i="5" s="1"/>
  <c r="G186" i="5" a="1"/>
  <c r="G186" i="5" s="1"/>
  <c r="I186" i="5" a="1"/>
  <c r="I186" i="5" s="1"/>
  <c r="L171" i="5" a="1"/>
  <c r="L171" i="5" s="1"/>
  <c r="L172" i="5" s="1"/>
  <c r="G165" i="5" a="1"/>
  <c r="G165" i="5" s="1"/>
  <c r="M153" i="5" a="1"/>
  <c r="M153" i="5" s="1"/>
  <c r="M154" i="5" s="1"/>
  <c r="O147" i="5" a="1"/>
  <c r="O147" i="5" s="1"/>
  <c r="O148" i="5" s="1"/>
  <c r="K132" i="5" a="1"/>
  <c r="K132" i="5" s="1"/>
  <c r="K133" i="5" s="1"/>
  <c r="H147" i="5" a="1"/>
  <c r="H147" i="5" s="1"/>
  <c r="H148" i="5" s="1"/>
  <c r="K138" i="5" a="1"/>
  <c r="K138" i="5" s="1"/>
  <c r="K139" i="5" s="1"/>
  <c r="F132" i="5" a="1"/>
  <c r="F132" i="5" s="1"/>
  <c r="M180" i="5" a="1"/>
  <c r="M180" i="5" s="1"/>
  <c r="I165" i="5" a="1"/>
  <c r="I165" i="5" s="1"/>
  <c r="I147" i="5" a="1"/>
  <c r="I147" i="5" s="1"/>
  <c r="N186" i="5" a="1"/>
  <c r="N186" i="5" s="1"/>
  <c r="L165" i="5" a="1"/>
  <c r="L165" i="5" s="1"/>
  <c r="F153" i="5" a="1"/>
  <c r="F153" i="5" s="1"/>
  <c r="F154" i="5" s="1"/>
  <c r="L186" i="5" a="1"/>
  <c r="L186" i="5" s="1"/>
  <c r="F180" i="5" a="1"/>
  <c r="F180" i="5" s="1"/>
  <c r="N165" i="5" a="1"/>
  <c r="N165" i="5" s="1"/>
  <c r="N166" i="5" s="1"/>
  <c r="I159" i="5" a="1"/>
  <c r="I159" i="5" s="1"/>
  <c r="K153" i="5" a="1"/>
  <c r="K153" i="5" s="1"/>
  <c r="K154" i="5" s="1"/>
  <c r="J186" i="5" a="1"/>
  <c r="J186" i="5" s="1"/>
  <c r="K159" i="5" a="1"/>
  <c r="K159" i="5" s="1"/>
  <c r="J132" i="5" a="1"/>
  <c r="J132" i="5" s="1"/>
  <c r="H186" i="5" a="1"/>
  <c r="H186" i="5" s="1"/>
  <c r="O171" i="5" a="1"/>
  <c r="O171" i="5" s="1"/>
  <c r="I180" i="5" a="1"/>
  <c r="I180" i="5" s="1"/>
  <c r="M147" i="5" a="1"/>
  <c r="M147" i="5" s="1"/>
  <c r="M148" i="5" s="1"/>
  <c r="J153" i="5" a="1"/>
  <c r="J153" i="5" s="1"/>
  <c r="J154" i="5" s="1"/>
  <c r="I171" i="5" a="1"/>
  <c r="I171" i="5" s="1"/>
  <c r="M186" i="5" a="1"/>
  <c r="M186" i="5" s="1"/>
  <c r="F159" i="5" a="1"/>
  <c r="F159" i="5" s="1"/>
  <c r="H153" i="5" a="1"/>
  <c r="H153" i="5" s="1"/>
  <c r="O138" i="5" a="1"/>
  <c r="O138" i="5" s="1"/>
  <c r="G171" i="5" a="1"/>
  <c r="G171" i="5" s="1"/>
  <c r="G172" i="5" s="1"/>
  <c r="I132" i="5" a="1"/>
  <c r="I132" i="5" s="1"/>
  <c r="I133" i="5" s="1"/>
  <c r="L180" i="5" a="1"/>
  <c r="L180" i="5" s="1"/>
  <c r="M132" i="5" a="1"/>
  <c r="M132" i="5" s="1"/>
  <c r="M133" i="5" s="1"/>
  <c r="N153" i="5" a="1"/>
  <c r="N153" i="5" s="1"/>
  <c r="N154" i="5" s="1"/>
  <c r="M165" i="5" a="1"/>
  <c r="M165" i="5" s="1"/>
  <c r="M166" i="5" s="1"/>
  <c r="H165" i="5" a="1"/>
  <c r="H165" i="5" s="1"/>
  <c r="M171" i="5" a="1"/>
  <c r="M171" i="5" s="1"/>
  <c r="C31" i="9"/>
  <c r="D60" i="7"/>
  <c r="C27" i="9"/>
  <c r="K37" i="9"/>
  <c r="C10" i="9" s="1"/>
  <c r="I80" i="5" s="1"/>
  <c r="P80" i="5" s="1"/>
  <c r="Q80" i="5" s="1"/>
  <c r="K42" i="9"/>
  <c r="C18" i="9" s="1"/>
  <c r="I179" i="5" s="1"/>
  <c r="P179" i="5" s="1"/>
  <c r="Q179" i="5" s="1"/>
  <c r="E192" i="5"/>
  <c r="M117" i="5" a="1"/>
  <c r="M117" i="5" s="1"/>
  <c r="I117" i="5" a="1"/>
  <c r="I117" i="5" s="1"/>
  <c r="N123" i="5" a="1"/>
  <c r="N123" i="5" s="1"/>
  <c r="G123" i="5" a="1"/>
  <c r="G123" i="5" s="1"/>
  <c r="L117" i="5" a="1"/>
  <c r="L117" i="5" s="1"/>
  <c r="L123" i="5" a="1"/>
  <c r="L123" i="5" s="1"/>
  <c r="M123" i="5" a="1"/>
  <c r="M123" i="5" s="1"/>
  <c r="O117" i="5" a="1"/>
  <c r="O117" i="5" s="1"/>
  <c r="G117" i="5" a="1"/>
  <c r="G117" i="5" s="1"/>
  <c r="K123" i="5" a="1"/>
  <c r="K123" i="5" s="1"/>
  <c r="J117" i="5" a="1"/>
  <c r="J117" i="5" s="1"/>
  <c r="F123" i="5" a="1"/>
  <c r="F123" i="5" s="1"/>
  <c r="O123" i="5" a="1"/>
  <c r="O123" i="5" s="1"/>
  <c r="F117" i="5" a="1"/>
  <c r="F117" i="5" s="1"/>
  <c r="H117" i="5" a="1"/>
  <c r="H117" i="5" s="1"/>
  <c r="K117" i="5" a="1"/>
  <c r="K117" i="5" s="1"/>
  <c r="J123" i="5" a="1"/>
  <c r="J123" i="5" s="1"/>
  <c r="N117" i="5" a="1"/>
  <c r="N117" i="5" s="1"/>
  <c r="H123" i="5" a="1"/>
  <c r="H123" i="5" s="1"/>
  <c r="I123" i="5" a="1"/>
  <c r="I123" i="5" s="1"/>
  <c r="J108" i="5" a="1"/>
  <c r="J108" i="5" s="1"/>
  <c r="J111" i="5" s="1" a="1"/>
  <c r="J111" i="5" s="1"/>
  <c r="J235" i="5" s="1"/>
  <c r="N66" i="5" a="1"/>
  <c r="N66" i="5" s="1"/>
  <c r="O81" i="5" a="1"/>
  <c r="O81" i="5" s="1"/>
  <c r="I66" i="5" a="1"/>
  <c r="I66" i="5" s="1"/>
  <c r="L60" i="5" a="1"/>
  <c r="L60" i="5" s="1"/>
  <c r="F87" i="5" a="1"/>
  <c r="F87" i="5" s="1"/>
  <c r="O102" i="5" a="1"/>
  <c r="O102" i="5" s="1"/>
  <c r="H96" i="5" a="1"/>
  <c r="H96" i="5" s="1"/>
  <c r="O87" i="5" a="1"/>
  <c r="O87" i="5" s="1"/>
  <c r="K66" i="5" a="1"/>
  <c r="K66" i="5" s="1"/>
  <c r="M108" i="5" a="1"/>
  <c r="M108" i="5" s="1"/>
  <c r="F81" i="5" a="1"/>
  <c r="F81" i="5" s="1"/>
  <c r="O60" i="5" a="1"/>
  <c r="O60" i="5" s="1"/>
  <c r="L81" i="5" a="1"/>
  <c r="L81" i="5" s="1"/>
  <c r="K81" i="5" a="1"/>
  <c r="K81" i="5" s="1"/>
  <c r="N96" i="5" a="1"/>
  <c r="N96" i="5" s="1"/>
  <c r="O108" i="5" a="1"/>
  <c r="O108" i="5" s="1"/>
  <c r="H60" i="5" a="1"/>
  <c r="H60" i="5" s="1"/>
  <c r="J87" i="5" a="1"/>
  <c r="J87" i="5" s="1"/>
  <c r="O51" i="5" a="1"/>
  <c r="O51" i="5" s="1"/>
  <c r="O53" i="5" s="1" a="1"/>
  <c r="O53" i="5" s="1"/>
  <c r="O238" i="5" s="1"/>
  <c r="G87" i="5" a="1"/>
  <c r="G87" i="5" s="1"/>
  <c r="H87" i="5" a="1"/>
  <c r="H87" i="5" s="1"/>
  <c r="I60" i="5" a="1"/>
  <c r="I60" i="5" s="1"/>
  <c r="H72" i="5" a="1"/>
  <c r="H72" i="5" s="1"/>
  <c r="G81" i="5" a="1"/>
  <c r="G81" i="5" s="1"/>
  <c r="N102" i="5" a="1"/>
  <c r="N102" i="5" s="1"/>
  <c r="J96" i="5" a="1"/>
  <c r="J96" i="5" s="1"/>
  <c r="N72" i="5" a="1"/>
  <c r="N72" i="5" s="1"/>
  <c r="K96" i="5" a="1"/>
  <c r="K96" i="5" s="1"/>
  <c r="K72" i="5" a="1"/>
  <c r="K72" i="5" s="1"/>
  <c r="L87" i="5" a="1"/>
  <c r="L87" i="5" s="1"/>
  <c r="H66" i="5" a="1"/>
  <c r="H66" i="5" s="1"/>
  <c r="N81" i="5" a="1"/>
  <c r="N81" i="5" s="1"/>
  <c r="N87" i="5" a="1"/>
  <c r="N87" i="5" s="1"/>
  <c r="N108" i="5" a="1"/>
  <c r="N108" i="5" s="1"/>
  <c r="J72" i="5" a="1"/>
  <c r="J72" i="5" s="1"/>
  <c r="O96" i="5" a="1"/>
  <c r="O96" i="5" s="1"/>
  <c r="M87" i="5" a="1"/>
  <c r="M87" i="5" s="1"/>
  <c r="K108" i="5" a="1"/>
  <c r="K108" i="5" s="1"/>
  <c r="J66" i="5" a="1"/>
  <c r="J66" i="5" s="1"/>
  <c r="I72" i="5" a="1"/>
  <c r="I72" i="5" s="1"/>
  <c r="M81" i="5" a="1"/>
  <c r="M81" i="5" s="1"/>
  <c r="H102" i="5" a="1"/>
  <c r="H102" i="5" s="1"/>
  <c r="M60" i="5" a="1"/>
  <c r="M60" i="5" s="1"/>
  <c r="O66" i="5" a="1"/>
  <c r="O66" i="5" s="1"/>
  <c r="J102" i="5" a="1"/>
  <c r="J102" i="5" s="1"/>
  <c r="F72" i="5" a="1"/>
  <c r="F72" i="5" s="1"/>
  <c r="G72" i="5" a="1"/>
  <c r="G72" i="5" s="1"/>
  <c r="H81" i="5" a="1"/>
  <c r="H81" i="5" s="1"/>
  <c r="M72" i="5" a="1"/>
  <c r="M72" i="5" s="1"/>
  <c r="G60" i="5" a="1"/>
  <c r="G60" i="5" s="1"/>
  <c r="N60" i="5" a="1"/>
  <c r="N60" i="5" s="1"/>
  <c r="M66" i="5" a="1"/>
  <c r="M66" i="5" s="1"/>
  <c r="K87" i="5" a="1"/>
  <c r="K87" i="5" s="1"/>
  <c r="F66" i="5" a="1"/>
  <c r="F66" i="5" s="1"/>
  <c r="M102" i="5" a="1"/>
  <c r="M102" i="5" s="1"/>
  <c r="G66" i="5" a="1"/>
  <c r="G66" i="5" s="1"/>
  <c r="L72" i="5" a="1"/>
  <c r="L72" i="5" s="1"/>
  <c r="I87" i="5" a="1"/>
  <c r="I87" i="5" s="1"/>
  <c r="H108" i="5" a="1"/>
  <c r="H108" i="5" s="1"/>
  <c r="K60" i="5" a="1"/>
  <c r="K60" i="5" s="1"/>
  <c r="I81" i="5" a="1"/>
  <c r="I81" i="5" s="1"/>
  <c r="J60" i="5" a="1"/>
  <c r="J60" i="5" s="1"/>
  <c r="O72" i="5" a="1"/>
  <c r="O72" i="5" s="1"/>
  <c r="F60" i="5" a="1"/>
  <c r="F60" i="5" s="1"/>
  <c r="L66" i="5" a="1"/>
  <c r="L66" i="5" s="1"/>
  <c r="J81" i="5" a="1"/>
  <c r="J81" i="5" s="1"/>
  <c r="K102" i="5" a="1"/>
  <c r="K102" i="5" s="1"/>
  <c r="M96" i="5" a="1"/>
  <c r="M96" i="5" s="1"/>
  <c r="F15" i="5" a="1"/>
  <c r="F15" i="5" s="1"/>
  <c r="M21" i="5" a="1"/>
  <c r="M21" i="5" s="1"/>
  <c r="F33" i="5" a="1"/>
  <c r="F33" i="5" s="1"/>
  <c r="K39" i="5" a="1"/>
  <c r="K39" i="5" s="1"/>
  <c r="H51" i="5" a="1"/>
  <c r="H51" i="5" s="1"/>
  <c r="O15" i="5" a="1"/>
  <c r="O15" i="5" s="1"/>
  <c r="F27" i="5" a="1"/>
  <c r="F27" i="5" s="1"/>
  <c r="K33" i="5" a="1"/>
  <c r="K33" i="5" s="1"/>
  <c r="G21" i="5" a="1"/>
  <c r="G21" i="5" s="1"/>
  <c r="K27" i="5" a="1"/>
  <c r="K27" i="5" s="1"/>
  <c r="N45" i="5" a="1"/>
  <c r="N45" i="5" s="1"/>
  <c r="L27" i="5" a="1"/>
  <c r="L27" i="5" s="1"/>
  <c r="J39" i="5" a="1"/>
  <c r="J39" i="5" s="1"/>
  <c r="O45" i="5" a="1"/>
  <c r="O45" i="5" s="1"/>
  <c r="L15" i="5" a="1"/>
  <c r="L15" i="5" s="1"/>
  <c r="F21" i="5" a="1"/>
  <c r="F21" i="5" s="1"/>
  <c r="J33" i="5" a="1"/>
  <c r="J33" i="5" s="1"/>
  <c r="O39" i="5" a="1"/>
  <c r="O39" i="5" s="1"/>
  <c r="L51" i="5" a="1"/>
  <c r="L51" i="5" s="1"/>
  <c r="G15" i="5" a="1"/>
  <c r="G15" i="5" s="1"/>
  <c r="J27" i="5" a="1"/>
  <c r="J27" i="5" s="1"/>
  <c r="O33" i="5" a="1"/>
  <c r="O33" i="5" s="1"/>
  <c r="M45" i="5" a="1"/>
  <c r="M45" i="5" s="1"/>
  <c r="K21" i="5" a="1"/>
  <c r="K21" i="5" s="1"/>
  <c r="O27" i="5" a="1"/>
  <c r="O27" i="5" s="1"/>
  <c r="M39" i="5" a="1"/>
  <c r="M39" i="5" s="1"/>
  <c r="F51" i="5" a="1"/>
  <c r="F51" i="5" s="1"/>
  <c r="H21" i="5" a="1"/>
  <c r="H21" i="5" s="1"/>
  <c r="N39" i="5" a="1"/>
  <c r="N39" i="5" s="1"/>
  <c r="G51" i="5" a="1"/>
  <c r="G51" i="5" s="1"/>
  <c r="H15" i="5" a="1"/>
  <c r="H15" i="5" s="1"/>
  <c r="N33" i="5" a="1"/>
  <c r="N33" i="5" s="1"/>
  <c r="H45" i="5" a="1"/>
  <c r="H45" i="5" s="1"/>
  <c r="J21" i="5" a="1"/>
  <c r="J21" i="5" s="1"/>
  <c r="N27" i="5" a="1"/>
  <c r="N27" i="5" s="1"/>
  <c r="H39" i="5" a="1"/>
  <c r="H39" i="5" s="1"/>
  <c r="K15" i="5" a="1"/>
  <c r="K15" i="5" s="1"/>
  <c r="O21" i="5" a="1"/>
  <c r="O21" i="5" s="1"/>
  <c r="H33" i="5" a="1"/>
  <c r="H33" i="5" s="1"/>
  <c r="F45" i="5" a="1"/>
  <c r="F45" i="5" s="1"/>
  <c r="J51" i="5" a="1"/>
  <c r="J51" i="5" s="1"/>
  <c r="L21" i="5" a="1"/>
  <c r="L21" i="5" s="1"/>
  <c r="M33" i="5" a="1"/>
  <c r="M33" i="5" s="1"/>
  <c r="G45" i="5" a="1"/>
  <c r="G45" i="5" s="1"/>
  <c r="K51" i="5" a="1"/>
  <c r="K51" i="5" s="1"/>
  <c r="M15" i="5" a="1"/>
  <c r="M15" i="5" s="1"/>
  <c r="M27" i="5" a="1"/>
  <c r="M27" i="5" s="1"/>
  <c r="G39" i="5" a="1"/>
  <c r="G39" i="5" s="1"/>
  <c r="L45" i="5" a="1"/>
  <c r="L45" i="5" s="1"/>
  <c r="N21" i="5" a="1"/>
  <c r="N21" i="5" s="1"/>
  <c r="G33" i="5" a="1"/>
  <c r="G33" i="5" s="1"/>
  <c r="L39" i="5" a="1"/>
  <c r="L39" i="5" s="1"/>
  <c r="M51" i="5" a="1"/>
  <c r="M51" i="5" s="1"/>
  <c r="J15" i="5" a="1"/>
  <c r="J15" i="5" s="1"/>
  <c r="G27" i="5" a="1"/>
  <c r="G27" i="5" s="1"/>
  <c r="L33" i="5" a="1"/>
  <c r="L33" i="5" s="1"/>
  <c r="J45" i="5" a="1"/>
  <c r="J45" i="5" s="1"/>
  <c r="N51" i="5" a="1"/>
  <c r="N51" i="5" s="1"/>
  <c r="N15" i="5" a="1"/>
  <c r="N15" i="5" s="1"/>
  <c r="H27" i="5" a="1"/>
  <c r="H27" i="5" s="1"/>
  <c r="F39" i="5" a="1"/>
  <c r="F39" i="5" s="1"/>
  <c r="K45" i="5" a="1"/>
  <c r="K45" i="5" s="1"/>
  <c r="L227" i="5" a="1"/>
  <c r="H227" i="5" a="1"/>
  <c r="N227" i="5" a="1"/>
  <c r="O227" i="5" a="1"/>
  <c r="J227" i="5" a="1"/>
  <c r="P227" i="5" a="1"/>
  <c r="G227" i="5" a="1"/>
  <c r="I227" i="5" a="1"/>
  <c r="F227" i="5" a="1"/>
  <c r="M227" i="5" a="1"/>
  <c r="F11" i="4"/>
  <c r="F7" i="4"/>
  <c r="F15" i="4"/>
  <c r="F17" i="4"/>
  <c r="F16" i="4"/>
  <c r="F18" i="4"/>
  <c r="F10" i="4"/>
  <c r="F13" i="4"/>
  <c r="F14" i="4"/>
  <c r="F9" i="4"/>
  <c r="F12" i="4"/>
  <c r="E39" i="4"/>
  <c r="F28" i="4" s="1"/>
  <c r="M228" i="5" l="1"/>
  <c r="M23" i="8" s="1"/>
  <c r="M51" i="8" s="1"/>
  <c r="M52" i="8" s="1"/>
  <c r="N228" i="5"/>
  <c r="N23" i="8" s="1"/>
  <c r="N51" i="8" s="1"/>
  <c r="N52" i="8" s="1"/>
  <c r="O228" i="5"/>
  <c r="O23" i="8" s="1"/>
  <c r="O51" i="8" s="1"/>
  <c r="K228" i="5"/>
  <c r="K23" i="8" s="1"/>
  <c r="K51" i="8" s="1"/>
  <c r="K52" i="8" s="1"/>
  <c r="I103" i="5"/>
  <c r="P95" i="5"/>
  <c r="Q95" i="5" s="1"/>
  <c r="I109" i="5"/>
  <c r="I233" i="5" s="1"/>
  <c r="I97" i="5"/>
  <c r="N133" i="5"/>
  <c r="I140" i="5" a="1"/>
  <c r="I140" i="5" s="1"/>
  <c r="I139" i="5"/>
  <c r="H163" i="5" a="1"/>
  <c r="H163" i="5" s="1"/>
  <c r="I142" i="5" a="1"/>
  <c r="I142" i="5" s="1"/>
  <c r="J58" i="7"/>
  <c r="R71" i="7" s="1"/>
  <c r="G154" i="5"/>
  <c r="N135" i="5" a="1"/>
  <c r="N135" i="5" s="1"/>
  <c r="C17" i="9"/>
  <c r="I146" i="5" s="1"/>
  <c r="P146" i="5" s="1"/>
  <c r="Q146" i="5" s="1"/>
  <c r="K23" i="9"/>
  <c r="G156" i="5" a="1"/>
  <c r="G156" i="5" s="1"/>
  <c r="N136" i="5" a="1"/>
  <c r="N136" i="5" s="1"/>
  <c r="M161" i="5" a="1"/>
  <c r="M161" i="5" s="1"/>
  <c r="H162" i="5" a="1"/>
  <c r="H162" i="5" s="1"/>
  <c r="M160" i="5"/>
  <c r="G157" i="5" a="1"/>
  <c r="G157" i="5" s="1"/>
  <c r="H161" i="5" a="1"/>
  <c r="H161" i="5" s="1"/>
  <c r="D75" i="7"/>
  <c r="O142" i="5" a="1"/>
  <c r="O142" i="5" s="1"/>
  <c r="O141" i="5" a="1"/>
  <c r="O141" i="5" s="1"/>
  <c r="O140" i="5" a="1"/>
  <c r="O140" i="5" s="1"/>
  <c r="O139" i="5"/>
  <c r="N190" i="5" a="1"/>
  <c r="N190" i="5" s="1"/>
  <c r="N188" i="5" a="1"/>
  <c r="N188" i="5" s="1"/>
  <c r="N189" i="5" a="1"/>
  <c r="N189" i="5" s="1"/>
  <c r="N187" i="5"/>
  <c r="I190" i="5" a="1"/>
  <c r="I190" i="5" s="1"/>
  <c r="I189" i="5" a="1"/>
  <c r="I189" i="5" s="1"/>
  <c r="I188" i="5" a="1"/>
  <c r="I188" i="5" s="1"/>
  <c r="I187" i="5"/>
  <c r="G151" i="5" a="1"/>
  <c r="G151" i="5" s="1"/>
  <c r="G149" i="5" a="1"/>
  <c r="G149" i="5" s="1"/>
  <c r="G150" i="5" a="1"/>
  <c r="G150" i="5" s="1"/>
  <c r="J184" i="5" a="1"/>
  <c r="J184" i="5" s="1"/>
  <c r="J183" i="5" a="1"/>
  <c r="J183" i="5" s="1"/>
  <c r="J182" i="5" a="1"/>
  <c r="J182" i="5" s="1"/>
  <c r="J181" i="5"/>
  <c r="O190" i="5" a="1"/>
  <c r="O190" i="5" s="1"/>
  <c r="O188" i="5" a="1"/>
  <c r="O188" i="5" s="1"/>
  <c r="O189" i="5" a="1"/>
  <c r="O189" i="5" s="1"/>
  <c r="O187" i="5"/>
  <c r="G184" i="5" a="1"/>
  <c r="G184" i="5" s="1"/>
  <c r="G182" i="5" a="1"/>
  <c r="G182" i="5" s="1"/>
  <c r="G183" i="5" a="1"/>
  <c r="G183" i="5" s="1"/>
  <c r="G181" i="5"/>
  <c r="M175" i="5" a="1"/>
  <c r="M175" i="5" s="1"/>
  <c r="M174" i="5" a="1"/>
  <c r="M174" i="5" s="1"/>
  <c r="M173" i="5" a="1"/>
  <c r="M173" i="5" s="1"/>
  <c r="M172" i="5"/>
  <c r="H157" i="5" a="1"/>
  <c r="H157" i="5" s="1"/>
  <c r="H156" i="5" a="1"/>
  <c r="H156" i="5" s="1"/>
  <c r="H155" i="5" a="1"/>
  <c r="H155" i="5" s="1"/>
  <c r="J157" i="5" a="1"/>
  <c r="J157" i="5" s="1"/>
  <c r="J155" i="5" a="1"/>
  <c r="J155" i="5" s="1"/>
  <c r="J156" i="5" a="1"/>
  <c r="J156" i="5" s="1"/>
  <c r="H190" i="5" a="1"/>
  <c r="H190" i="5" s="1"/>
  <c r="H188" i="5" a="1"/>
  <c r="H188" i="5" s="1"/>
  <c r="H189" i="5" a="1"/>
  <c r="H189" i="5" s="1"/>
  <c r="H187" i="5"/>
  <c r="K157" i="5" a="1"/>
  <c r="K157" i="5" s="1"/>
  <c r="K156" i="5" a="1"/>
  <c r="K156" i="5" s="1"/>
  <c r="K155" i="5" a="1"/>
  <c r="K155" i="5" s="1"/>
  <c r="L190" i="5" a="1"/>
  <c r="L190" i="5" s="1"/>
  <c r="L188" i="5" a="1"/>
  <c r="L188" i="5" s="1"/>
  <c r="L189" i="5" a="1"/>
  <c r="L189" i="5" s="1"/>
  <c r="L187" i="5"/>
  <c r="I151" i="5" a="1"/>
  <c r="I151" i="5" s="1"/>
  <c r="I150" i="5" a="1"/>
  <c r="I150" i="5" s="1"/>
  <c r="I149" i="5" a="1"/>
  <c r="I149" i="5" s="1"/>
  <c r="K142" i="5" a="1"/>
  <c r="K142" i="5" s="1"/>
  <c r="K140" i="5" a="1"/>
  <c r="K140" i="5" s="1"/>
  <c r="K141" i="5" a="1"/>
  <c r="K141" i="5" s="1"/>
  <c r="M157" i="5" a="1"/>
  <c r="M157" i="5" s="1"/>
  <c r="M155" i="5" a="1"/>
  <c r="M155" i="5" s="1"/>
  <c r="M156" i="5" a="1"/>
  <c r="M156" i="5" s="1"/>
  <c r="G190" i="5" a="1"/>
  <c r="G190" i="5" s="1"/>
  <c r="G189" i="5" a="1"/>
  <c r="G189" i="5" s="1"/>
  <c r="G188" i="5" a="1"/>
  <c r="G188" i="5" s="1"/>
  <c r="G187" i="5"/>
  <c r="F175" i="5" a="1"/>
  <c r="F175" i="5" s="1"/>
  <c r="F173" i="5" a="1"/>
  <c r="F173" i="5" s="1"/>
  <c r="F174" i="5" a="1"/>
  <c r="F174" i="5" s="1"/>
  <c r="F172" i="5"/>
  <c r="M142" i="5" a="1"/>
  <c r="M142" i="5" s="1"/>
  <c r="M141" i="5" a="1"/>
  <c r="M141" i="5" s="1"/>
  <c r="M140" i="5" a="1"/>
  <c r="M140" i="5" s="1"/>
  <c r="O157" i="5" a="1"/>
  <c r="O157" i="5" s="1"/>
  <c r="O155" i="5" a="1"/>
  <c r="O155" i="5" s="1"/>
  <c r="O156" i="5" a="1"/>
  <c r="O156" i="5" s="1"/>
  <c r="F151" i="5" a="1"/>
  <c r="F151" i="5" s="1"/>
  <c r="F149" i="5" a="1"/>
  <c r="F149" i="5" s="1"/>
  <c r="F150" i="5" a="1"/>
  <c r="F150" i="5" s="1"/>
  <c r="J163" i="5" a="1"/>
  <c r="J163" i="5" s="1"/>
  <c r="J161" i="5" a="1"/>
  <c r="J161" i="5" s="1"/>
  <c r="J162" i="5" a="1"/>
  <c r="J162" i="5" s="1"/>
  <c r="K151" i="5" a="1"/>
  <c r="K151" i="5" s="1"/>
  <c r="K150" i="5" a="1"/>
  <c r="K150" i="5" s="1"/>
  <c r="K149" i="5" a="1"/>
  <c r="K149" i="5" s="1"/>
  <c r="J169" i="5" a="1"/>
  <c r="J169" i="5" s="1"/>
  <c r="J231" i="5" s="1"/>
  <c r="J168" i="5" a="1"/>
  <c r="J168" i="5" s="1"/>
  <c r="J230" i="5" s="1"/>
  <c r="J167" i="5" a="1"/>
  <c r="J167" i="5" s="1"/>
  <c r="J229" i="5" s="1"/>
  <c r="J166" i="5"/>
  <c r="N142" i="5" a="1"/>
  <c r="N142" i="5" s="1"/>
  <c r="N140" i="5" a="1"/>
  <c r="N140" i="5" s="1"/>
  <c r="N141" i="5" a="1"/>
  <c r="N141" i="5" s="1"/>
  <c r="N139" i="5"/>
  <c r="G142" i="5" a="1"/>
  <c r="G142" i="5" s="1"/>
  <c r="G140" i="5" a="1"/>
  <c r="G140" i="5" s="1"/>
  <c r="G141" i="5" a="1"/>
  <c r="G141" i="5" s="1"/>
  <c r="I157" i="5" a="1"/>
  <c r="I157" i="5" s="1"/>
  <c r="I156" i="5" a="1"/>
  <c r="I156" i="5" s="1"/>
  <c r="I155" i="5" a="1"/>
  <c r="I155" i="5" s="1"/>
  <c r="I175" i="5" a="1"/>
  <c r="I175" i="5" s="1"/>
  <c r="I173" i="5" a="1"/>
  <c r="I173" i="5" s="1"/>
  <c r="I174" i="5" a="1"/>
  <c r="I174" i="5" s="1"/>
  <c r="F184" i="5" a="1"/>
  <c r="F184" i="5" s="1"/>
  <c r="F183" i="5" a="1"/>
  <c r="F183" i="5" s="1"/>
  <c r="F182" i="5" a="1"/>
  <c r="F182" i="5" s="1"/>
  <c r="F181" i="5"/>
  <c r="J142" i="5" a="1"/>
  <c r="J142" i="5" s="1"/>
  <c r="J140" i="5" a="1"/>
  <c r="J140" i="5" s="1"/>
  <c r="J141" i="5" a="1"/>
  <c r="J141" i="5" s="1"/>
  <c r="H136" i="5" a="1"/>
  <c r="H136" i="5" s="1"/>
  <c r="H135" i="5" a="1"/>
  <c r="H135" i="5" s="1"/>
  <c r="H134" i="5" a="1"/>
  <c r="H134" i="5" s="1"/>
  <c r="L136" i="5" a="1"/>
  <c r="L136" i="5" s="1"/>
  <c r="L135" i="5" a="1"/>
  <c r="L135" i="5" s="1"/>
  <c r="L134" i="5" a="1"/>
  <c r="L134" i="5" s="1"/>
  <c r="F190" i="5" a="1"/>
  <c r="F190" i="5" s="1"/>
  <c r="F188" i="5" a="1"/>
  <c r="F188" i="5" s="1"/>
  <c r="F189" i="5" a="1"/>
  <c r="F189" i="5" s="1"/>
  <c r="F187" i="5"/>
  <c r="L142" i="5" a="1"/>
  <c r="L142" i="5" s="1"/>
  <c r="L141" i="5" a="1"/>
  <c r="L141" i="5" s="1"/>
  <c r="L140" i="5" a="1"/>
  <c r="L140" i="5" s="1"/>
  <c r="H133" i="5"/>
  <c r="H169" i="5" a="1"/>
  <c r="H169" i="5" s="1"/>
  <c r="H231" i="5" s="1"/>
  <c r="H167" i="5" a="1"/>
  <c r="H167" i="5" s="1"/>
  <c r="H229" i="5" s="1"/>
  <c r="H168" i="5" a="1"/>
  <c r="H168" i="5" s="1"/>
  <c r="H230" i="5" s="1"/>
  <c r="M169" i="5" a="1"/>
  <c r="M169" i="5" s="1"/>
  <c r="M231" i="5" s="1"/>
  <c r="M168" i="5" a="1"/>
  <c r="M168" i="5" s="1"/>
  <c r="M230" i="5" s="1"/>
  <c r="M167" i="5" a="1"/>
  <c r="M167" i="5" s="1"/>
  <c r="M229" i="5" s="1"/>
  <c r="M136" i="5" a="1"/>
  <c r="M136" i="5" s="1"/>
  <c r="M134" i="5" a="1"/>
  <c r="M134" i="5" s="1"/>
  <c r="M135" i="5" a="1"/>
  <c r="M135" i="5" s="1"/>
  <c r="G175" i="5" a="1"/>
  <c r="G175" i="5" s="1"/>
  <c r="G174" i="5" a="1"/>
  <c r="G174" i="5" s="1"/>
  <c r="G173" i="5" a="1"/>
  <c r="G173" i="5" s="1"/>
  <c r="G148" i="5"/>
  <c r="F163" i="5" a="1"/>
  <c r="F163" i="5" s="1"/>
  <c r="F161" i="5" a="1"/>
  <c r="F161" i="5" s="1"/>
  <c r="F162" i="5" a="1"/>
  <c r="F162" i="5" s="1"/>
  <c r="M151" i="5" a="1"/>
  <c r="M151" i="5" s="1"/>
  <c r="M150" i="5" a="1"/>
  <c r="M150" i="5" s="1"/>
  <c r="M149" i="5" a="1"/>
  <c r="M149" i="5" s="1"/>
  <c r="J136" i="5" a="1"/>
  <c r="J136" i="5" s="1"/>
  <c r="J134" i="5" a="1"/>
  <c r="J134" i="5" s="1"/>
  <c r="J135" i="5" a="1"/>
  <c r="J135" i="5" s="1"/>
  <c r="I163" i="5" a="1"/>
  <c r="I163" i="5" s="1"/>
  <c r="I161" i="5" a="1"/>
  <c r="I161" i="5" s="1"/>
  <c r="I162" i="5" a="1"/>
  <c r="I162" i="5" s="1"/>
  <c r="F157" i="5" a="1"/>
  <c r="F157" i="5" s="1"/>
  <c r="F156" i="5" a="1"/>
  <c r="F156" i="5" s="1"/>
  <c r="F155" i="5" a="1"/>
  <c r="F155" i="5" s="1"/>
  <c r="I169" i="5" a="1"/>
  <c r="I169" i="5" s="1"/>
  <c r="I231" i="5" s="1"/>
  <c r="I167" i="5" a="1"/>
  <c r="I167" i="5" s="1"/>
  <c r="I229" i="5" s="1"/>
  <c r="I168" i="5" a="1"/>
  <c r="I168" i="5" s="1"/>
  <c r="I230" i="5" s="1"/>
  <c r="H151" i="5" a="1"/>
  <c r="H151" i="5" s="1"/>
  <c r="H149" i="5" a="1"/>
  <c r="H149" i="5" s="1"/>
  <c r="H150" i="5" a="1"/>
  <c r="H150" i="5" s="1"/>
  <c r="G169" i="5" a="1"/>
  <c r="G169" i="5" s="1"/>
  <c r="G231" i="5" s="1"/>
  <c r="G168" i="5" a="1"/>
  <c r="G168" i="5" s="1"/>
  <c r="G230" i="5" s="1"/>
  <c r="G167" i="5" a="1"/>
  <c r="G167" i="5" s="1"/>
  <c r="G229" i="5" s="1"/>
  <c r="G166" i="5"/>
  <c r="G136" i="5" a="1"/>
  <c r="G136" i="5" s="1"/>
  <c r="G134" i="5" a="1"/>
  <c r="G134" i="5" s="1"/>
  <c r="G135" i="5" a="1"/>
  <c r="G135" i="5" s="1"/>
  <c r="F169" i="5" a="1"/>
  <c r="F169" i="5" s="1"/>
  <c r="F168" i="5" a="1"/>
  <c r="F168" i="5" s="1"/>
  <c r="F167" i="5" a="1"/>
  <c r="F167" i="5" s="1"/>
  <c r="F166" i="5"/>
  <c r="G163" i="5" a="1"/>
  <c r="G163" i="5" s="1"/>
  <c r="G162" i="5" a="1"/>
  <c r="G162" i="5" s="1"/>
  <c r="G161" i="5" a="1"/>
  <c r="G161" i="5" s="1"/>
  <c r="J175" i="5" a="1"/>
  <c r="J175" i="5" s="1"/>
  <c r="J173" i="5" a="1"/>
  <c r="J173" i="5" s="1"/>
  <c r="J174" i="5" a="1"/>
  <c r="J174" i="5" s="1"/>
  <c r="L157" i="5" a="1"/>
  <c r="L157" i="5" s="1"/>
  <c r="L156" i="5" a="1"/>
  <c r="L156" i="5" s="1"/>
  <c r="L155" i="5" a="1"/>
  <c r="L155" i="5" s="1"/>
  <c r="O169" i="5" a="1"/>
  <c r="O169" i="5" s="1"/>
  <c r="O231" i="5" s="1"/>
  <c r="O168" i="5" a="1"/>
  <c r="O168" i="5" s="1"/>
  <c r="O230" i="5" s="1"/>
  <c r="O167" i="5" a="1"/>
  <c r="O167" i="5" s="1"/>
  <c r="O229" i="5" s="1"/>
  <c r="K169" i="5" a="1"/>
  <c r="K169" i="5" s="1"/>
  <c r="K231" i="5" s="1"/>
  <c r="K167" i="5" a="1"/>
  <c r="K167" i="5" s="1"/>
  <c r="K229" i="5" s="1"/>
  <c r="K168" i="5" a="1"/>
  <c r="K168" i="5" s="1"/>
  <c r="K230" i="5" s="1"/>
  <c r="J151" i="5" a="1"/>
  <c r="J151" i="5" s="1"/>
  <c r="J149" i="5" a="1"/>
  <c r="J149" i="5" s="1"/>
  <c r="J150" i="5" a="1"/>
  <c r="J150" i="5" s="1"/>
  <c r="L163" i="5" a="1"/>
  <c r="L163" i="5" s="1"/>
  <c r="L162" i="5" a="1"/>
  <c r="L162" i="5" s="1"/>
  <c r="L161" i="5" a="1"/>
  <c r="L161" i="5" s="1"/>
  <c r="L160" i="5"/>
  <c r="L151" i="5" a="1"/>
  <c r="L151" i="5" s="1"/>
  <c r="L150" i="5" a="1"/>
  <c r="L150" i="5" s="1"/>
  <c r="L149" i="5" a="1"/>
  <c r="L149" i="5" s="1"/>
  <c r="N163" i="5" a="1"/>
  <c r="N163" i="5" s="1"/>
  <c r="N161" i="5" a="1"/>
  <c r="N161" i="5" s="1"/>
  <c r="N162" i="5" a="1"/>
  <c r="N162" i="5" s="1"/>
  <c r="N160" i="5"/>
  <c r="J172" i="5"/>
  <c r="I136" i="5" a="1"/>
  <c r="I136" i="5" s="1"/>
  <c r="I134" i="5" a="1"/>
  <c r="I134" i="5" s="1"/>
  <c r="I135" i="5" a="1"/>
  <c r="I135" i="5" s="1"/>
  <c r="O175" i="5" a="1"/>
  <c r="O175" i="5" s="1"/>
  <c r="O174" i="5" a="1"/>
  <c r="O174" i="5" s="1"/>
  <c r="O173" i="5" a="1"/>
  <c r="O173" i="5" s="1"/>
  <c r="O172" i="5"/>
  <c r="J190" i="5" a="1"/>
  <c r="J190" i="5" s="1"/>
  <c r="J189" i="5" a="1"/>
  <c r="J189" i="5" s="1"/>
  <c r="J188" i="5" a="1"/>
  <c r="J188" i="5" s="1"/>
  <c r="J187" i="5"/>
  <c r="F136" i="5" a="1"/>
  <c r="F136" i="5" s="1"/>
  <c r="F135" i="5" a="1"/>
  <c r="F135" i="5" s="1"/>
  <c r="F134" i="5" a="1"/>
  <c r="F134" i="5" s="1"/>
  <c r="O151" i="5" a="1"/>
  <c r="O151" i="5" s="1"/>
  <c r="O149" i="5" a="1"/>
  <c r="O149" i="5" s="1"/>
  <c r="O150" i="5" a="1"/>
  <c r="O150" i="5" s="1"/>
  <c r="H184" i="5" a="1"/>
  <c r="H184" i="5" s="1"/>
  <c r="H182" i="5" a="1"/>
  <c r="H182" i="5" s="1"/>
  <c r="H183" i="5" a="1"/>
  <c r="H183" i="5" s="1"/>
  <c r="H181" i="5"/>
  <c r="F142" i="5" a="1"/>
  <c r="F142" i="5" s="1"/>
  <c r="F141" i="5" a="1"/>
  <c r="F141" i="5" s="1"/>
  <c r="F140" i="5" a="1"/>
  <c r="F140" i="5" s="1"/>
  <c r="F139" i="5"/>
  <c r="C38" i="9"/>
  <c r="D31" i="9" s="1"/>
  <c r="J133" i="5"/>
  <c r="F133" i="5"/>
  <c r="H154" i="5"/>
  <c r="F160" i="5"/>
  <c r="K28" i="9"/>
  <c r="C8" i="9"/>
  <c r="N157" i="5" a="1"/>
  <c r="N157" i="5" s="1"/>
  <c r="N155" i="5" a="1"/>
  <c r="N155" i="5" s="1"/>
  <c r="N156" i="5" a="1"/>
  <c r="N156" i="5" s="1"/>
  <c r="L184" i="5" a="1"/>
  <c r="L184" i="5" s="1"/>
  <c r="L182" i="5" a="1"/>
  <c r="L182" i="5" s="1"/>
  <c r="L183" i="5" a="1"/>
  <c r="L183" i="5" s="1"/>
  <c r="L181" i="5"/>
  <c r="O154" i="5"/>
  <c r="M190" i="5" a="1"/>
  <c r="M190" i="5" s="1"/>
  <c r="M189" i="5" a="1"/>
  <c r="M189" i="5" s="1"/>
  <c r="M188" i="5" a="1"/>
  <c r="M188" i="5" s="1"/>
  <c r="M187" i="5"/>
  <c r="I184" i="5" a="1"/>
  <c r="I184" i="5" s="1"/>
  <c r="I182" i="5" a="1"/>
  <c r="I182" i="5" s="1"/>
  <c r="I183" i="5" a="1"/>
  <c r="I183" i="5" s="1"/>
  <c r="I181" i="5"/>
  <c r="K163" i="5" a="1"/>
  <c r="K163" i="5" s="1"/>
  <c r="K162" i="5" a="1"/>
  <c r="K162" i="5" s="1"/>
  <c r="K161" i="5" a="1"/>
  <c r="K161" i="5" s="1"/>
  <c r="K160" i="5"/>
  <c r="N169" i="5" a="1"/>
  <c r="N169" i="5" s="1"/>
  <c r="N231" i="5" s="1"/>
  <c r="N168" i="5" a="1"/>
  <c r="N168" i="5" s="1"/>
  <c r="N230" i="5" s="1"/>
  <c r="N167" i="5" a="1"/>
  <c r="N167" i="5" s="1"/>
  <c r="N229" i="5" s="1"/>
  <c r="L169" i="5" a="1"/>
  <c r="L169" i="5" s="1"/>
  <c r="L231" i="5" s="1"/>
  <c r="L168" i="5" a="1"/>
  <c r="L168" i="5" s="1"/>
  <c r="L230" i="5" s="1"/>
  <c r="L167" i="5" a="1"/>
  <c r="L167" i="5" s="1"/>
  <c r="L229" i="5" s="1"/>
  <c r="L166" i="5"/>
  <c r="M184" i="5" a="1"/>
  <c r="M184" i="5" s="1"/>
  <c r="M182" i="5" a="1"/>
  <c r="M182" i="5" s="1"/>
  <c r="M183" i="5" a="1"/>
  <c r="M183" i="5" s="1"/>
  <c r="M181" i="5"/>
  <c r="K136" i="5" a="1"/>
  <c r="K136" i="5" s="1"/>
  <c r="K134" i="5" a="1"/>
  <c r="K134" i="5" s="1"/>
  <c r="K135" i="5" a="1"/>
  <c r="K135" i="5" s="1"/>
  <c r="L175" i="5" a="1"/>
  <c r="L175" i="5" s="1"/>
  <c r="L174" i="5" a="1"/>
  <c r="L174" i="5" s="1"/>
  <c r="L173" i="5" a="1"/>
  <c r="L173" i="5" s="1"/>
  <c r="O184" i="5" a="1"/>
  <c r="O184" i="5" s="1"/>
  <c r="O183" i="5" a="1"/>
  <c r="O183" i="5" s="1"/>
  <c r="O182" i="5" a="1"/>
  <c r="O182" i="5" s="1"/>
  <c r="O181" i="5"/>
  <c r="K175" i="5" a="1"/>
  <c r="K175" i="5" s="1"/>
  <c r="K173" i="5" a="1"/>
  <c r="K173" i="5" s="1"/>
  <c r="K174" i="5" a="1"/>
  <c r="K174" i="5" s="1"/>
  <c r="K172" i="5"/>
  <c r="N184" i="5" a="1"/>
  <c r="N184" i="5" s="1"/>
  <c r="N183" i="5" a="1"/>
  <c r="N183" i="5" s="1"/>
  <c r="N182" i="5" a="1"/>
  <c r="N182" i="5" s="1"/>
  <c r="N181" i="5"/>
  <c r="K190" i="5" a="1"/>
  <c r="K190" i="5" s="1"/>
  <c r="K189" i="5" a="1"/>
  <c r="K189" i="5" s="1"/>
  <c r="K188" i="5" a="1"/>
  <c r="K188" i="5" s="1"/>
  <c r="K187" i="5"/>
  <c r="H142" i="5" a="1"/>
  <c r="H142" i="5" s="1"/>
  <c r="H140" i="5" a="1"/>
  <c r="H140" i="5" s="1"/>
  <c r="H141" i="5" a="1"/>
  <c r="H141" i="5" s="1"/>
  <c r="K184" i="5" a="1"/>
  <c r="K184" i="5" s="1"/>
  <c r="K182" i="5" a="1"/>
  <c r="K182" i="5" s="1"/>
  <c r="K183" i="5" a="1"/>
  <c r="K183" i="5" s="1"/>
  <c r="K181" i="5"/>
  <c r="N151" i="5" a="1"/>
  <c r="N151" i="5" s="1"/>
  <c r="N150" i="5" a="1"/>
  <c r="N150" i="5" s="1"/>
  <c r="N149" i="5" a="1"/>
  <c r="N149" i="5" s="1"/>
  <c r="O163" i="5" a="1"/>
  <c r="O163" i="5" s="1"/>
  <c r="O161" i="5" a="1"/>
  <c r="O161" i="5" s="1"/>
  <c r="O162" i="5" a="1"/>
  <c r="O162" i="5" s="1"/>
  <c r="O160" i="5"/>
  <c r="N175" i="5" a="1"/>
  <c r="N175" i="5" s="1"/>
  <c r="N174" i="5" a="1"/>
  <c r="N174" i="5" s="1"/>
  <c r="N173" i="5" a="1"/>
  <c r="N173" i="5" s="1"/>
  <c r="O136" i="5" a="1"/>
  <c r="O136" i="5" s="1"/>
  <c r="O135" i="5" a="1"/>
  <c r="O135" i="5" s="1"/>
  <c r="O134" i="5" a="1"/>
  <c r="O134" i="5" s="1"/>
  <c r="O133" i="5"/>
  <c r="H175" i="5" a="1"/>
  <c r="H175" i="5" s="1"/>
  <c r="H174" i="5" a="1"/>
  <c r="H174" i="5" s="1"/>
  <c r="H173" i="5" a="1"/>
  <c r="H173" i="5" s="1"/>
  <c r="H166" i="5"/>
  <c r="O52" i="8"/>
  <c r="F24" i="8" a="1"/>
  <c r="J109" i="5" a="1"/>
  <c r="K121" i="5" a="1"/>
  <c r="K121" i="5" s="1"/>
  <c r="K120" i="5" a="1"/>
  <c r="K120" i="5" s="1"/>
  <c r="K119" i="5" a="1"/>
  <c r="K119" i="5" s="1"/>
  <c r="K118" i="5"/>
  <c r="J121" i="5" a="1"/>
  <c r="J121" i="5" s="1"/>
  <c r="J120" i="5" a="1"/>
  <c r="J120" i="5" s="1"/>
  <c r="J119" i="5" a="1"/>
  <c r="J119" i="5" s="1"/>
  <c r="J118" i="5"/>
  <c r="N121" i="5" a="1"/>
  <c r="N121" i="5" s="1"/>
  <c r="N119" i="5" a="1"/>
  <c r="N119" i="5" s="1"/>
  <c r="N120" i="5" a="1"/>
  <c r="N120" i="5" s="1"/>
  <c r="N118" i="5"/>
  <c r="F121" i="5" a="1"/>
  <c r="F121" i="5" s="1"/>
  <c r="F119" i="5" a="1"/>
  <c r="F119" i="5" s="1"/>
  <c r="F120" i="5" a="1"/>
  <c r="F120" i="5" s="1"/>
  <c r="F118" i="5"/>
  <c r="O121" i="5" a="1"/>
  <c r="O121" i="5" s="1"/>
  <c r="O119" i="5" a="1"/>
  <c r="O119" i="5" s="1"/>
  <c r="O120" i="5" a="1"/>
  <c r="O120" i="5" s="1"/>
  <c r="O118" i="5"/>
  <c r="O127" i="5" a="1"/>
  <c r="O127" i="5" s="1"/>
  <c r="O125" i="5" a="1"/>
  <c r="O125" i="5" s="1"/>
  <c r="O126" i="5" a="1"/>
  <c r="O126" i="5" s="1"/>
  <c r="O124" i="5"/>
  <c r="K127" i="5" a="1"/>
  <c r="K127" i="5" s="1"/>
  <c r="K125" i="5" a="1"/>
  <c r="K125" i="5" s="1"/>
  <c r="K126" i="5" a="1"/>
  <c r="K126" i="5" s="1"/>
  <c r="K124" i="5"/>
  <c r="M127" i="5" a="1"/>
  <c r="M127" i="5" s="1"/>
  <c r="M125" i="5" a="1"/>
  <c r="M125" i="5" s="1"/>
  <c r="M126" i="5" a="1"/>
  <c r="M126" i="5" s="1"/>
  <c r="M124" i="5"/>
  <c r="G127" i="5" a="1"/>
  <c r="G127" i="5" s="1"/>
  <c r="G125" i="5" a="1"/>
  <c r="G125" i="5" s="1"/>
  <c r="G126" i="5" a="1"/>
  <c r="G126" i="5" s="1"/>
  <c r="G124" i="5"/>
  <c r="I127" i="5" a="1"/>
  <c r="I127" i="5" s="1"/>
  <c r="I126" i="5" a="1"/>
  <c r="I126" i="5" s="1"/>
  <c r="I125" i="5" a="1"/>
  <c r="I125" i="5" s="1"/>
  <c r="I124" i="5"/>
  <c r="F127" i="5" a="1"/>
  <c r="F127" i="5" s="1"/>
  <c r="F125" i="5" a="1"/>
  <c r="F125" i="5" s="1"/>
  <c r="F126" i="5" a="1"/>
  <c r="F126" i="5" s="1"/>
  <c r="F124" i="5"/>
  <c r="L127" i="5" a="1"/>
  <c r="L127" i="5" s="1"/>
  <c r="L125" i="5" a="1"/>
  <c r="L125" i="5" s="1"/>
  <c r="L126" i="5" a="1"/>
  <c r="L126" i="5" s="1"/>
  <c r="L124" i="5"/>
  <c r="N127" i="5" a="1"/>
  <c r="N127" i="5" s="1"/>
  <c r="N126" i="5" a="1"/>
  <c r="N126" i="5" s="1"/>
  <c r="N125" i="5" a="1"/>
  <c r="N125" i="5" s="1"/>
  <c r="N124" i="5"/>
  <c r="M121" i="5" a="1"/>
  <c r="M121" i="5" s="1"/>
  <c r="M120" i="5" a="1"/>
  <c r="M120" i="5" s="1"/>
  <c r="M119" i="5" a="1"/>
  <c r="M119" i="5" s="1"/>
  <c r="M118" i="5"/>
  <c r="H127" i="5" a="1"/>
  <c r="H127" i="5" s="1"/>
  <c r="H126" i="5" a="1"/>
  <c r="H126" i="5" s="1"/>
  <c r="H125" i="5" a="1"/>
  <c r="H125" i="5" s="1"/>
  <c r="H124" i="5"/>
  <c r="J127" i="5" a="1"/>
  <c r="J127" i="5" s="1"/>
  <c r="J126" i="5" a="1"/>
  <c r="J126" i="5" s="1"/>
  <c r="J125" i="5" a="1"/>
  <c r="J125" i="5" s="1"/>
  <c r="J124" i="5"/>
  <c r="H121" i="5" a="1"/>
  <c r="H121" i="5" s="1"/>
  <c r="H120" i="5" a="1"/>
  <c r="H120" i="5" s="1"/>
  <c r="H119" i="5" a="1"/>
  <c r="H119" i="5" s="1"/>
  <c r="H118" i="5"/>
  <c r="G121" i="5" a="1"/>
  <c r="G121" i="5" s="1"/>
  <c r="G119" i="5" a="1"/>
  <c r="G119" i="5" s="1"/>
  <c r="P119" i="5" s="1" a="1"/>
  <c r="G120" i="5" a="1"/>
  <c r="G120" i="5" s="1"/>
  <c r="G118" i="5"/>
  <c r="L121" i="5" a="1"/>
  <c r="L121" i="5" s="1"/>
  <c r="L120" i="5" a="1"/>
  <c r="L120" i="5" s="1"/>
  <c r="L119" i="5" a="1"/>
  <c r="L119" i="5" s="1"/>
  <c r="L118" i="5"/>
  <c r="I121" i="5" a="1"/>
  <c r="I121" i="5" s="1"/>
  <c r="I120" i="5" a="1"/>
  <c r="I120" i="5" s="1"/>
  <c r="I119" i="5" a="1"/>
  <c r="I119" i="5" s="1"/>
  <c r="I118" i="5"/>
  <c r="J112" i="5" a="1"/>
  <c r="J112" i="5" s="1"/>
  <c r="J236" i="5" s="1"/>
  <c r="J109" i="5"/>
  <c r="J233" i="5" s="1"/>
  <c r="J110" i="5" a="1"/>
  <c r="J110" i="5" s="1"/>
  <c r="J234" i="5" s="1"/>
  <c r="O55" i="5" a="1"/>
  <c r="O55" i="5" s="1"/>
  <c r="O240" i="5" s="1"/>
  <c r="O74" i="5" a="1"/>
  <c r="O74" i="5" s="1"/>
  <c r="O75" i="5" a="1"/>
  <c r="O75" i="5" s="1"/>
  <c r="O76" i="5" a="1"/>
  <c r="O76" i="5" s="1"/>
  <c r="O73" i="5"/>
  <c r="M105" i="5" a="1"/>
  <c r="M105" i="5" s="1"/>
  <c r="M106" i="5" a="1"/>
  <c r="M106" i="5" s="1"/>
  <c r="M103" i="5" a="1"/>
  <c r="M103" i="5" s="1"/>
  <c r="M104" i="5" a="1"/>
  <c r="M104" i="5" s="1"/>
  <c r="G76" i="5" a="1"/>
  <c r="G76" i="5" s="1"/>
  <c r="G74" i="5" a="1"/>
  <c r="G74" i="5" s="1"/>
  <c r="G75" i="5" a="1"/>
  <c r="G75" i="5" s="1"/>
  <c r="G73" i="5"/>
  <c r="J74" i="5" a="1"/>
  <c r="J74" i="5" s="1"/>
  <c r="J73" i="5"/>
  <c r="J75" i="5" a="1"/>
  <c r="J75" i="5" s="1"/>
  <c r="J76" i="5" a="1"/>
  <c r="J76" i="5" s="1"/>
  <c r="H68" i="5" a="1"/>
  <c r="H68" i="5" s="1"/>
  <c r="H69" i="5" a="1"/>
  <c r="H69" i="5" s="1"/>
  <c r="H70" i="5" a="1"/>
  <c r="H70" i="5" s="1"/>
  <c r="H67" i="5"/>
  <c r="F83" i="5" a="1"/>
  <c r="F83" i="5" s="1"/>
  <c r="F82" i="5"/>
  <c r="F84" i="5" a="1"/>
  <c r="F84" i="5" s="1"/>
  <c r="F85" i="5" a="1"/>
  <c r="F85" i="5" s="1"/>
  <c r="I70" i="5" a="1"/>
  <c r="I70" i="5" s="1"/>
  <c r="I69" i="5" a="1"/>
  <c r="I69" i="5" s="1"/>
  <c r="I68" i="5" a="1"/>
  <c r="I68" i="5" s="1"/>
  <c r="I67" i="5"/>
  <c r="O54" i="5" a="1"/>
  <c r="O54" i="5" s="1"/>
  <c r="O239" i="5" s="1"/>
  <c r="M99" i="5" a="1"/>
  <c r="M99" i="5" s="1"/>
  <c r="M97" i="5" a="1"/>
  <c r="M97" i="5" s="1"/>
  <c r="M100" i="5" a="1"/>
  <c r="M100" i="5" s="1"/>
  <c r="M98" i="5" a="1"/>
  <c r="M98" i="5" s="1"/>
  <c r="F64" i="5" a="1"/>
  <c r="F64" i="5" s="1"/>
  <c r="F63" i="5" a="1"/>
  <c r="F63" i="5" s="1"/>
  <c r="F62" i="5" a="1"/>
  <c r="F62" i="5" s="1"/>
  <c r="F61" i="5"/>
  <c r="K62" i="5" a="1"/>
  <c r="K62" i="5" s="1"/>
  <c r="K64" i="5" a="1"/>
  <c r="K64" i="5" s="1"/>
  <c r="K63" i="5" a="1"/>
  <c r="K63" i="5" s="1"/>
  <c r="K61" i="5"/>
  <c r="G68" i="5" a="1"/>
  <c r="G68" i="5" s="1"/>
  <c r="G69" i="5" a="1"/>
  <c r="G69" i="5" s="1"/>
  <c r="G70" i="5" a="1"/>
  <c r="G70" i="5" s="1"/>
  <c r="G67" i="5"/>
  <c r="M68" i="5" a="1"/>
  <c r="M68" i="5" s="1"/>
  <c r="M69" i="5" a="1"/>
  <c r="M69" i="5" s="1"/>
  <c r="M70" i="5" a="1"/>
  <c r="M70" i="5" s="1"/>
  <c r="M67" i="5"/>
  <c r="H85" i="5" a="1"/>
  <c r="H85" i="5" s="1"/>
  <c r="H83" i="5" a="1"/>
  <c r="H83" i="5" s="1"/>
  <c r="H82" i="5"/>
  <c r="H84" i="5" a="1"/>
  <c r="H84" i="5" s="1"/>
  <c r="O70" i="5" a="1"/>
  <c r="O70" i="5" s="1"/>
  <c r="O68" i="5" a="1"/>
  <c r="O68" i="5" s="1"/>
  <c r="O69" i="5" a="1"/>
  <c r="O69" i="5" s="1"/>
  <c r="O67" i="5"/>
  <c r="I75" i="5" a="1"/>
  <c r="I75" i="5" s="1"/>
  <c r="I73" i="5"/>
  <c r="I76" i="5" a="1"/>
  <c r="I76" i="5" s="1"/>
  <c r="I74" i="5" a="1"/>
  <c r="I74" i="5" s="1"/>
  <c r="O99" i="5" a="1"/>
  <c r="O99" i="5" s="1"/>
  <c r="O100" i="5" a="1"/>
  <c r="O100" i="5" s="1"/>
  <c r="O97" i="5" a="1"/>
  <c r="O97" i="5" s="1"/>
  <c r="O98" i="5" a="1"/>
  <c r="O98" i="5" s="1"/>
  <c r="N85" i="5" a="1"/>
  <c r="N85" i="5" s="1"/>
  <c r="N82" i="5"/>
  <c r="N84" i="5" a="1"/>
  <c r="N84" i="5" s="1"/>
  <c r="N83" i="5" a="1"/>
  <c r="N83" i="5" s="1"/>
  <c r="K99" i="5" a="1"/>
  <c r="K99" i="5" s="1"/>
  <c r="K97" i="5" a="1"/>
  <c r="K97" i="5" s="1"/>
  <c r="K98" i="5" a="1"/>
  <c r="K98" i="5" s="1"/>
  <c r="K100" i="5" a="1"/>
  <c r="K100" i="5" s="1"/>
  <c r="G85" i="5" a="1"/>
  <c r="G85" i="5" s="1"/>
  <c r="G82" i="5"/>
  <c r="G84" i="5" a="1"/>
  <c r="G84" i="5" s="1"/>
  <c r="G83" i="5" a="1"/>
  <c r="G83" i="5" s="1"/>
  <c r="G89" i="5" a="1"/>
  <c r="G89" i="5" s="1"/>
  <c r="G88" i="5"/>
  <c r="G90" i="5" a="1"/>
  <c r="G90" i="5" s="1"/>
  <c r="G91" i="5" a="1"/>
  <c r="G91" i="5" s="1"/>
  <c r="O111" i="5" a="1"/>
  <c r="O111" i="5" s="1"/>
  <c r="O235" i="5" s="1"/>
  <c r="O109" i="5" a="1"/>
  <c r="O109" i="5" s="1"/>
  <c r="O233" i="5" s="1"/>
  <c r="O112" i="5" a="1"/>
  <c r="O112" i="5" s="1"/>
  <c r="O236" i="5" s="1"/>
  <c r="O110" i="5" a="1"/>
  <c r="O110" i="5" s="1"/>
  <c r="O234" i="5" s="1"/>
  <c r="O62" i="5" a="1"/>
  <c r="O62" i="5" s="1"/>
  <c r="O63" i="5" a="1"/>
  <c r="O63" i="5" s="1"/>
  <c r="O64" i="5" a="1"/>
  <c r="O64" i="5" s="1"/>
  <c r="O61" i="5"/>
  <c r="O88" i="5"/>
  <c r="O91" i="5" a="1"/>
  <c r="O91" i="5" s="1"/>
  <c r="O89" i="5" a="1"/>
  <c r="O89" i="5" s="1"/>
  <c r="O90" i="5" a="1"/>
  <c r="O90" i="5" s="1"/>
  <c r="L64" i="5" a="1"/>
  <c r="L64" i="5" s="1"/>
  <c r="L62" i="5" a="1"/>
  <c r="L62" i="5" s="1"/>
  <c r="L63" i="5" a="1"/>
  <c r="L63" i="5" s="1"/>
  <c r="L61" i="5"/>
  <c r="H111" i="5" a="1"/>
  <c r="H111" i="5" s="1"/>
  <c r="H235" i="5" s="1"/>
  <c r="H112" i="5" a="1"/>
  <c r="H112" i="5" s="1"/>
  <c r="H236" i="5" s="1"/>
  <c r="H110" i="5" a="1"/>
  <c r="H110" i="5" s="1"/>
  <c r="H234" i="5" s="1"/>
  <c r="H109" i="5" a="1"/>
  <c r="H109" i="5" s="1"/>
  <c r="H233" i="5" s="1"/>
  <c r="M63" i="5" a="1"/>
  <c r="M63" i="5" s="1"/>
  <c r="M64" i="5" a="1"/>
  <c r="M64" i="5" s="1"/>
  <c r="M62" i="5" a="1"/>
  <c r="M62" i="5" s="1"/>
  <c r="M61" i="5"/>
  <c r="N76" i="5" a="1"/>
  <c r="N76" i="5" s="1"/>
  <c r="N75" i="5" a="1"/>
  <c r="N75" i="5" s="1"/>
  <c r="N74" i="5" a="1"/>
  <c r="N74" i="5" s="1"/>
  <c r="N73" i="5"/>
  <c r="N98" i="5" a="1"/>
  <c r="N98" i="5" s="1"/>
  <c r="N99" i="5" a="1"/>
  <c r="N99" i="5" s="1"/>
  <c r="N97" i="5" a="1"/>
  <c r="N97" i="5" s="1"/>
  <c r="N100" i="5" a="1"/>
  <c r="N100" i="5" s="1"/>
  <c r="O52" i="5"/>
  <c r="O237" i="5" s="1"/>
  <c r="J85" i="5" a="1"/>
  <c r="J85" i="5" s="1"/>
  <c r="J83" i="5" a="1"/>
  <c r="J83" i="5" s="1"/>
  <c r="J82" i="5"/>
  <c r="J84" i="5" a="1"/>
  <c r="J84" i="5" s="1"/>
  <c r="J64" i="5" a="1"/>
  <c r="J64" i="5" s="1"/>
  <c r="J61" i="5"/>
  <c r="J63" i="5" a="1"/>
  <c r="J63" i="5" s="1"/>
  <c r="J62" i="5" a="1"/>
  <c r="J62" i="5" s="1"/>
  <c r="I89" i="5" a="1"/>
  <c r="I89" i="5" s="1"/>
  <c r="I90" i="5" a="1"/>
  <c r="I90" i="5" s="1"/>
  <c r="I88" i="5"/>
  <c r="I91" i="5" a="1"/>
  <c r="I91" i="5" s="1"/>
  <c r="F68" i="5" a="1"/>
  <c r="F68" i="5" s="1"/>
  <c r="F69" i="5" a="1"/>
  <c r="F69" i="5" s="1"/>
  <c r="F70" i="5" a="1"/>
  <c r="F70" i="5" s="1"/>
  <c r="F67" i="5"/>
  <c r="G64" i="5" a="1"/>
  <c r="G64" i="5" s="1"/>
  <c r="G63" i="5" a="1"/>
  <c r="G63" i="5" s="1"/>
  <c r="G62" i="5" a="1"/>
  <c r="G62" i="5" s="1"/>
  <c r="G61" i="5"/>
  <c r="F75" i="5" a="1"/>
  <c r="F75" i="5" s="1"/>
  <c r="F74" i="5" a="1"/>
  <c r="F74" i="5" s="1"/>
  <c r="F76" i="5" a="1"/>
  <c r="F76" i="5" s="1"/>
  <c r="F73" i="5"/>
  <c r="H106" i="5" a="1"/>
  <c r="H106" i="5" s="1"/>
  <c r="H105" i="5" a="1"/>
  <c r="H105" i="5" s="1"/>
  <c r="H103" i="5" a="1"/>
  <c r="H103" i="5" s="1"/>
  <c r="H104" i="5" a="1"/>
  <c r="H104" i="5" s="1"/>
  <c r="K111" i="5" a="1"/>
  <c r="K111" i="5" s="1"/>
  <c r="K235" i="5" s="1"/>
  <c r="K112" i="5" a="1"/>
  <c r="K112" i="5" s="1"/>
  <c r="K236" i="5" s="1"/>
  <c r="K109" i="5" a="1"/>
  <c r="K109" i="5" s="1"/>
  <c r="K233" i="5" s="1"/>
  <c r="K110" i="5" a="1"/>
  <c r="K110" i="5" s="1"/>
  <c r="K234" i="5" s="1"/>
  <c r="N111" i="5" a="1"/>
  <c r="N111" i="5" s="1"/>
  <c r="N235" i="5" s="1"/>
  <c r="N110" i="5" a="1"/>
  <c r="N110" i="5" s="1"/>
  <c r="N234" i="5" s="1"/>
  <c r="N112" i="5" a="1"/>
  <c r="N112" i="5" s="1"/>
  <c r="N236" i="5" s="1"/>
  <c r="N109" i="5" a="1"/>
  <c r="N109" i="5" s="1"/>
  <c r="N233" i="5" s="1"/>
  <c r="L89" i="5" a="1"/>
  <c r="L89" i="5" s="1"/>
  <c r="L88" i="5"/>
  <c r="L90" i="5" a="1"/>
  <c r="L90" i="5" s="1"/>
  <c r="L91" i="5" a="1"/>
  <c r="L91" i="5" s="1"/>
  <c r="J98" i="5" a="1"/>
  <c r="J98" i="5" s="1"/>
  <c r="J97" i="5" a="1"/>
  <c r="J97" i="5" s="1"/>
  <c r="J99" i="5" a="1"/>
  <c r="J99" i="5" s="1"/>
  <c r="J100" i="5" a="1"/>
  <c r="J100" i="5" s="1"/>
  <c r="I62" i="5" a="1"/>
  <c r="I62" i="5" s="1"/>
  <c r="I64" i="5" a="1"/>
  <c r="I64" i="5" s="1"/>
  <c r="I63" i="5" a="1"/>
  <c r="I63" i="5" s="1"/>
  <c r="I61" i="5"/>
  <c r="J88" i="5"/>
  <c r="J89" i="5" a="1"/>
  <c r="J89" i="5" s="1"/>
  <c r="J90" i="5" a="1"/>
  <c r="J90" i="5" s="1"/>
  <c r="J91" i="5" a="1"/>
  <c r="J91" i="5" s="1"/>
  <c r="K85" i="5" a="1"/>
  <c r="K85" i="5" s="1"/>
  <c r="K84" i="5" a="1"/>
  <c r="K84" i="5" s="1"/>
  <c r="K82" i="5"/>
  <c r="K83" i="5" a="1"/>
  <c r="K83" i="5" s="1"/>
  <c r="M109" i="5" a="1"/>
  <c r="M109" i="5" s="1"/>
  <c r="M233" i="5" s="1"/>
  <c r="M110" i="5" a="1"/>
  <c r="M110" i="5" s="1"/>
  <c r="M234" i="5" s="1"/>
  <c r="M111" i="5" a="1"/>
  <c r="M111" i="5" s="1"/>
  <c r="M235" i="5" s="1"/>
  <c r="M112" i="5" a="1"/>
  <c r="M112" i="5" s="1"/>
  <c r="M236" i="5" s="1"/>
  <c r="O105" i="5" a="1"/>
  <c r="O105" i="5" s="1"/>
  <c r="O104" i="5" a="1"/>
  <c r="O104" i="5" s="1"/>
  <c r="O106" i="5" a="1"/>
  <c r="O106" i="5" s="1"/>
  <c r="O103" i="5" a="1"/>
  <c r="O103" i="5" s="1"/>
  <c r="O85" i="5" a="1"/>
  <c r="O85" i="5" s="1"/>
  <c r="O84" i="5" a="1"/>
  <c r="O84" i="5" s="1"/>
  <c r="O83" i="5" a="1"/>
  <c r="O83" i="5" s="1"/>
  <c r="O82" i="5"/>
  <c r="K105" i="5" a="1"/>
  <c r="K105" i="5" s="1"/>
  <c r="K106" i="5" a="1"/>
  <c r="K106" i="5" s="1"/>
  <c r="K104" i="5" a="1"/>
  <c r="K104" i="5" s="1"/>
  <c r="K103" i="5" a="1"/>
  <c r="K103" i="5" s="1"/>
  <c r="N64" i="5" a="1"/>
  <c r="N64" i="5" s="1"/>
  <c r="N62" i="5" a="1"/>
  <c r="N62" i="5" s="1"/>
  <c r="N63" i="5" a="1"/>
  <c r="N63" i="5" s="1"/>
  <c r="N61" i="5"/>
  <c r="J69" i="5" a="1"/>
  <c r="J69" i="5" s="1"/>
  <c r="J67" i="5"/>
  <c r="J70" i="5" a="1"/>
  <c r="J70" i="5" s="1"/>
  <c r="J68" i="5" a="1"/>
  <c r="J68" i="5" s="1"/>
  <c r="H74" i="5" a="1"/>
  <c r="H74" i="5" s="1"/>
  <c r="H75" i="5" a="1"/>
  <c r="H75" i="5" s="1"/>
  <c r="H76" i="5" a="1"/>
  <c r="H76" i="5" s="1"/>
  <c r="H73" i="5"/>
  <c r="H98" i="5" a="1"/>
  <c r="H98" i="5" s="1"/>
  <c r="H97" i="5" a="1"/>
  <c r="H97" i="5" s="1"/>
  <c r="H99" i="5" a="1"/>
  <c r="H99" i="5" s="1"/>
  <c r="H100" i="5" a="1"/>
  <c r="H100" i="5" s="1"/>
  <c r="L68" i="5" a="1"/>
  <c r="L68" i="5" s="1"/>
  <c r="L69" i="5" a="1"/>
  <c r="L69" i="5" s="1"/>
  <c r="L70" i="5" a="1"/>
  <c r="L70" i="5" s="1"/>
  <c r="L67" i="5"/>
  <c r="I84" i="5" a="1"/>
  <c r="I84" i="5" s="1"/>
  <c r="I82" i="5"/>
  <c r="I85" i="5" a="1"/>
  <c r="I85" i="5" s="1"/>
  <c r="I83" i="5" a="1"/>
  <c r="I83" i="5" s="1"/>
  <c r="L76" i="5" a="1"/>
  <c r="L76" i="5" s="1"/>
  <c r="L75" i="5" a="1"/>
  <c r="L75" i="5" s="1"/>
  <c r="L74" i="5" a="1"/>
  <c r="L74" i="5" s="1"/>
  <c r="L73" i="5"/>
  <c r="K91" i="5" a="1"/>
  <c r="K91" i="5" s="1"/>
  <c r="K88" i="5"/>
  <c r="K89" i="5" a="1"/>
  <c r="K89" i="5" s="1"/>
  <c r="K90" i="5" a="1"/>
  <c r="K90" i="5" s="1"/>
  <c r="M74" i="5" a="1"/>
  <c r="M74" i="5" s="1"/>
  <c r="M76" i="5" a="1"/>
  <c r="M76" i="5" s="1"/>
  <c r="M75" i="5" a="1"/>
  <c r="M75" i="5" s="1"/>
  <c r="M73" i="5"/>
  <c r="J106" i="5" a="1"/>
  <c r="J106" i="5" s="1"/>
  <c r="J103" i="5" a="1"/>
  <c r="J103" i="5" s="1"/>
  <c r="J104" i="5" a="1"/>
  <c r="J104" i="5" s="1"/>
  <c r="J105" i="5" a="1"/>
  <c r="J105" i="5" s="1"/>
  <c r="M82" i="5"/>
  <c r="M84" i="5" a="1"/>
  <c r="M84" i="5" s="1"/>
  <c r="M85" i="5" a="1"/>
  <c r="M85" i="5" s="1"/>
  <c r="M83" i="5" a="1"/>
  <c r="M83" i="5" s="1"/>
  <c r="M89" i="5" a="1"/>
  <c r="M89" i="5" s="1"/>
  <c r="M91" i="5" a="1"/>
  <c r="M91" i="5" s="1"/>
  <c r="M88" i="5"/>
  <c r="M90" i="5" a="1"/>
  <c r="M90" i="5" s="1"/>
  <c r="N89" i="5" a="1"/>
  <c r="N89" i="5" s="1"/>
  <c r="N90" i="5" a="1"/>
  <c r="N90" i="5" s="1"/>
  <c r="N88" i="5"/>
  <c r="N91" i="5" a="1"/>
  <c r="N91" i="5" s="1"/>
  <c r="K76" i="5" a="1"/>
  <c r="K76" i="5" s="1"/>
  <c r="K75" i="5" a="1"/>
  <c r="K75" i="5" s="1"/>
  <c r="K74" i="5" a="1"/>
  <c r="K74" i="5" s="1"/>
  <c r="K73" i="5"/>
  <c r="N106" i="5" a="1"/>
  <c r="N106" i="5" s="1"/>
  <c r="N104" i="5" a="1"/>
  <c r="N104" i="5" s="1"/>
  <c r="N105" i="5" a="1"/>
  <c r="N105" i="5" s="1"/>
  <c r="N103" i="5" a="1"/>
  <c r="N103" i="5" s="1"/>
  <c r="H89" i="5" a="1"/>
  <c r="H89" i="5" s="1"/>
  <c r="H88" i="5"/>
  <c r="H90" i="5" a="1"/>
  <c r="H90" i="5" s="1"/>
  <c r="H91" i="5" a="1"/>
  <c r="H91" i="5" s="1"/>
  <c r="H64" i="5" a="1"/>
  <c r="H64" i="5" s="1"/>
  <c r="H63" i="5" a="1"/>
  <c r="H63" i="5" s="1"/>
  <c r="H62" i="5" a="1"/>
  <c r="H62" i="5" s="1"/>
  <c r="H61" i="5"/>
  <c r="L85" i="5" a="1"/>
  <c r="L85" i="5" s="1"/>
  <c r="L84" i="5" a="1"/>
  <c r="L84" i="5" s="1"/>
  <c r="L82" i="5"/>
  <c r="L83" i="5" a="1"/>
  <c r="L83" i="5" s="1"/>
  <c r="K69" i="5" a="1"/>
  <c r="K69" i="5" s="1"/>
  <c r="K70" i="5" a="1"/>
  <c r="K70" i="5" s="1"/>
  <c r="K68" i="5" a="1"/>
  <c r="K68" i="5" s="1"/>
  <c r="K67" i="5"/>
  <c r="F90" i="5" a="1"/>
  <c r="F90" i="5" s="1"/>
  <c r="F88" i="5"/>
  <c r="F91" i="5" a="1"/>
  <c r="F91" i="5" s="1"/>
  <c r="F89" i="5" a="1"/>
  <c r="F89" i="5" s="1"/>
  <c r="N68" i="5" a="1"/>
  <c r="N68" i="5" s="1"/>
  <c r="N69" i="5" a="1"/>
  <c r="N69" i="5" s="1"/>
  <c r="N70" i="5" a="1"/>
  <c r="N70" i="5" s="1"/>
  <c r="N67" i="5"/>
  <c r="M54" i="5" a="1"/>
  <c r="M54" i="5" s="1"/>
  <c r="M239" i="5" s="1"/>
  <c r="M55" i="5" a="1"/>
  <c r="M55" i="5" s="1"/>
  <c r="M240" i="5" s="1"/>
  <c r="M53" i="5" a="1"/>
  <c r="M53" i="5" s="1"/>
  <c r="M238" i="5" s="1"/>
  <c r="M52" i="5"/>
  <c r="M237" i="5" s="1"/>
  <c r="H31" i="5" a="1"/>
  <c r="H31" i="5" s="1"/>
  <c r="H216" i="5" s="1"/>
  <c r="H29" i="5" a="1"/>
  <c r="H29" i="5" s="1"/>
  <c r="H214" i="5" s="1"/>
  <c r="H30" i="5" a="1"/>
  <c r="H30" i="5" s="1"/>
  <c r="H215" i="5" s="1"/>
  <c r="H28" i="5"/>
  <c r="H213" i="5" s="1"/>
  <c r="H17" i="8" s="1"/>
  <c r="L43" i="5" a="1"/>
  <c r="L43" i="5" s="1"/>
  <c r="L42" i="5" a="1"/>
  <c r="L42" i="5" s="1"/>
  <c r="L41" i="5" a="1"/>
  <c r="L41" i="5" s="1"/>
  <c r="L40" i="5"/>
  <c r="M19" i="5" a="1"/>
  <c r="M19" i="5" s="1"/>
  <c r="M18" i="5" a="1"/>
  <c r="M18" i="5" s="1"/>
  <c r="M17" i="5" a="1"/>
  <c r="M17" i="5" s="1"/>
  <c r="M16" i="5"/>
  <c r="N17" i="5" a="1"/>
  <c r="N17" i="5" s="1"/>
  <c r="N19" i="5" a="1"/>
  <c r="N19" i="5" s="1"/>
  <c r="N18" i="5" a="1"/>
  <c r="N18" i="5" s="1"/>
  <c r="N16" i="5"/>
  <c r="G31" i="5" a="1"/>
  <c r="G31" i="5" s="1"/>
  <c r="G216" i="5" s="1"/>
  <c r="G30" i="5" a="1"/>
  <c r="G30" i="5" s="1"/>
  <c r="G215" i="5" s="1"/>
  <c r="G29" i="5" a="1"/>
  <c r="G29" i="5" s="1"/>
  <c r="G214" i="5" s="1"/>
  <c r="G28" i="5" a="1"/>
  <c r="G28" i="5" s="1"/>
  <c r="G213" i="5" s="1"/>
  <c r="G17" i="8" s="1"/>
  <c r="G36" i="5" a="1"/>
  <c r="G36" i="5" s="1"/>
  <c r="G225" i="5" s="1"/>
  <c r="G37" i="5" a="1"/>
  <c r="G37" i="5" s="1"/>
  <c r="G226" i="5" s="1"/>
  <c r="G35" i="5" a="1"/>
  <c r="G35" i="5" s="1"/>
  <c r="G224" i="5" s="1"/>
  <c r="G34" i="5" a="1"/>
  <c r="G34" i="5" s="1"/>
  <c r="G223" i="5" s="1"/>
  <c r="G21" i="8" s="1"/>
  <c r="G43" i="5" a="1"/>
  <c r="G43" i="5" s="1"/>
  <c r="G41" i="5" a="1"/>
  <c r="G41" i="5" s="1"/>
  <c r="G42" i="5" a="1"/>
  <c r="G42" i="5" s="1"/>
  <c r="G40" i="5" a="1"/>
  <c r="G40" i="5" s="1"/>
  <c r="L25" i="5" a="1"/>
  <c r="L25" i="5" s="1"/>
  <c r="L23" i="5" a="1"/>
  <c r="L23" i="5" s="1"/>
  <c r="L24" i="5" a="1"/>
  <c r="L24" i="5" s="1"/>
  <c r="L22" i="5"/>
  <c r="H37" i="5" a="1"/>
  <c r="H37" i="5" s="1"/>
  <c r="H226" i="5" s="1"/>
  <c r="H36" i="5" a="1"/>
  <c r="H36" i="5" s="1"/>
  <c r="H225" i="5" s="1"/>
  <c r="H35" i="5" a="1"/>
  <c r="H35" i="5" s="1"/>
  <c r="H224" i="5" s="1"/>
  <c r="H34" i="5"/>
  <c r="H223" i="5" s="1"/>
  <c r="H21" i="8" s="1"/>
  <c r="H43" i="5" a="1"/>
  <c r="H43" i="5" s="1"/>
  <c r="H42" i="5" a="1"/>
  <c r="H42" i="5" s="1"/>
  <c r="H41" i="5" a="1"/>
  <c r="H41" i="5" s="1"/>
  <c r="H40" i="5"/>
  <c r="H47" i="5" a="1"/>
  <c r="H47" i="5" s="1"/>
  <c r="H49" i="5" a="1"/>
  <c r="H49" i="5" s="1"/>
  <c r="H48" i="5" a="1"/>
  <c r="H48" i="5" s="1"/>
  <c r="H46" i="5"/>
  <c r="H208" i="5" s="1"/>
  <c r="H15" i="8" s="1"/>
  <c r="H25" i="5" a="1"/>
  <c r="H25" i="5" s="1"/>
  <c r="H24" i="5" a="1"/>
  <c r="H24" i="5" s="1"/>
  <c r="H23" i="5" a="1"/>
  <c r="H23" i="5" s="1"/>
  <c r="H22" i="5"/>
  <c r="O31" i="5" a="1"/>
  <c r="O31" i="5" s="1"/>
  <c r="O216" i="5" s="1"/>
  <c r="O29" i="5" a="1"/>
  <c r="O29" i="5" s="1"/>
  <c r="O214" i="5" s="1"/>
  <c r="O30" i="5" a="1"/>
  <c r="O30" i="5" s="1"/>
  <c r="O215" i="5" s="1"/>
  <c r="O28" i="5"/>
  <c r="O213" i="5" s="1"/>
  <c r="O17" i="8" s="1"/>
  <c r="O37" i="5" a="1"/>
  <c r="O37" i="5" s="1"/>
  <c r="O226" i="5" s="1"/>
  <c r="O35" i="5" a="1"/>
  <c r="O35" i="5" s="1"/>
  <c r="O224" i="5" s="1"/>
  <c r="O36" i="5" a="1"/>
  <c r="O36" i="5" s="1"/>
  <c r="O225" i="5" s="1"/>
  <c r="O34" i="5"/>
  <c r="O223" i="5" s="1"/>
  <c r="O21" i="8" s="1"/>
  <c r="O43" i="5" a="1"/>
  <c r="O43" i="5" s="1"/>
  <c r="O41" i="5" a="1"/>
  <c r="O41" i="5" s="1"/>
  <c r="O42" i="5" a="1"/>
  <c r="O42" i="5" s="1"/>
  <c r="O40" i="5"/>
  <c r="I19" i="5" a="1"/>
  <c r="I19" i="5" s="1"/>
  <c r="I17" i="5" a="1"/>
  <c r="I17" i="5" s="1"/>
  <c r="I18" i="5" a="1"/>
  <c r="I18" i="5" s="1"/>
  <c r="K31" i="5" a="1"/>
  <c r="K31" i="5" s="1"/>
  <c r="K216" i="5" s="1"/>
  <c r="K29" i="5" a="1"/>
  <c r="K29" i="5" s="1"/>
  <c r="K214" i="5" s="1"/>
  <c r="K30" i="5" a="1"/>
  <c r="K30" i="5" s="1"/>
  <c r="K215" i="5" s="1"/>
  <c r="K28" i="5"/>
  <c r="K213" i="5" s="1"/>
  <c r="K17" i="8" s="1"/>
  <c r="K37" i="5" a="1"/>
  <c r="K37" i="5" s="1"/>
  <c r="K226" i="5" s="1"/>
  <c r="K35" i="5" a="1"/>
  <c r="K35" i="5" s="1"/>
  <c r="K224" i="5" s="1"/>
  <c r="K36" i="5" a="1"/>
  <c r="K36" i="5" s="1"/>
  <c r="K225" i="5" s="1"/>
  <c r="K34" i="5"/>
  <c r="K223" i="5" s="1"/>
  <c r="K21" i="8" s="1"/>
  <c r="K43" i="5" a="1"/>
  <c r="K43" i="5" s="1"/>
  <c r="K41" i="5" a="1"/>
  <c r="K41" i="5" s="1"/>
  <c r="K42" i="5" a="1"/>
  <c r="K42" i="5" s="1"/>
  <c r="K40" i="5"/>
  <c r="K49" i="5" a="1"/>
  <c r="K49" i="5" s="1"/>
  <c r="K48" i="5" a="1"/>
  <c r="K48" i="5" s="1"/>
  <c r="K47" i="5" a="1"/>
  <c r="K47" i="5" s="1"/>
  <c r="K46" i="5"/>
  <c r="N54" i="5" a="1"/>
  <c r="N54" i="5" s="1"/>
  <c r="N239" i="5" s="1"/>
  <c r="N55" i="5" a="1"/>
  <c r="N55" i="5" s="1"/>
  <c r="N240" i="5" s="1"/>
  <c r="N53" i="5" a="1"/>
  <c r="N53" i="5" s="1"/>
  <c r="N238" i="5" s="1"/>
  <c r="N52" i="5"/>
  <c r="N237" i="5" s="1"/>
  <c r="J19" i="5" a="1"/>
  <c r="J19" i="5" s="1"/>
  <c r="J16" i="5"/>
  <c r="J17" i="5" a="1"/>
  <c r="J17" i="5" s="1"/>
  <c r="J18" i="5" a="1"/>
  <c r="J18" i="5" s="1"/>
  <c r="N25" i="5" a="1"/>
  <c r="N25" i="5" s="1"/>
  <c r="N23" i="5" a="1"/>
  <c r="N23" i="5" s="1"/>
  <c r="N24" i="5" a="1"/>
  <c r="N24" i="5" s="1"/>
  <c r="N22" i="5"/>
  <c r="M31" i="5" a="1"/>
  <c r="M31" i="5" s="1"/>
  <c r="M216" i="5" s="1"/>
  <c r="M29" i="5" a="1"/>
  <c r="M29" i="5" s="1"/>
  <c r="M214" i="5" s="1"/>
  <c r="M30" i="5" a="1"/>
  <c r="M30" i="5" s="1"/>
  <c r="M215" i="5" s="1"/>
  <c r="M28" i="5"/>
  <c r="M213" i="5" s="1"/>
  <c r="M17" i="8" s="1"/>
  <c r="K54" i="5" a="1"/>
  <c r="K54" i="5" s="1"/>
  <c r="K239" i="5" s="1"/>
  <c r="K55" i="5" a="1"/>
  <c r="K55" i="5" s="1"/>
  <c r="K240" i="5" s="1"/>
  <c r="K53" i="5" a="1"/>
  <c r="K53" i="5" s="1"/>
  <c r="K238" i="5" s="1"/>
  <c r="K52" i="5"/>
  <c r="K237" i="5" s="1"/>
  <c r="O25" i="5" a="1"/>
  <c r="O25" i="5" s="1"/>
  <c r="O23" i="5" a="1"/>
  <c r="O23" i="5" s="1"/>
  <c r="O24" i="5" a="1"/>
  <c r="O24" i="5" s="1"/>
  <c r="O22" i="5"/>
  <c r="N31" i="5" a="1"/>
  <c r="N31" i="5" s="1"/>
  <c r="N216" i="5" s="1"/>
  <c r="N29" i="5" a="1"/>
  <c r="N29" i="5" s="1"/>
  <c r="N214" i="5" s="1"/>
  <c r="N30" i="5" a="1"/>
  <c r="N30" i="5" s="1"/>
  <c r="N215" i="5" s="1"/>
  <c r="N28" i="5"/>
  <c r="N213" i="5" s="1"/>
  <c r="N17" i="8" s="1"/>
  <c r="N37" i="5" a="1"/>
  <c r="N37" i="5" s="1"/>
  <c r="N226" i="5" s="1"/>
  <c r="N35" i="5" a="1"/>
  <c r="N35" i="5" s="1"/>
  <c r="N224" i="5" s="1"/>
  <c r="N36" i="5" a="1"/>
  <c r="N36" i="5" s="1"/>
  <c r="N225" i="5" s="1"/>
  <c r="N34" i="5"/>
  <c r="N223" i="5" s="1"/>
  <c r="N21" i="8" s="1"/>
  <c r="G55" i="5" a="1"/>
  <c r="G55" i="5" s="1"/>
  <c r="G240" i="5" s="1"/>
  <c r="G53" i="5" a="1"/>
  <c r="G53" i="5" s="1"/>
  <c r="G238" i="5" s="1"/>
  <c r="G54" i="5" a="1"/>
  <c r="G54" i="5" s="1"/>
  <c r="G239" i="5" s="1"/>
  <c r="G52" i="5" a="1"/>
  <c r="G52" i="5" s="1"/>
  <c r="K25" i="5" a="1"/>
  <c r="K25" i="5" s="1"/>
  <c r="K23" i="5" a="1"/>
  <c r="K23" i="5" s="1"/>
  <c r="K24" i="5" a="1"/>
  <c r="K24" i="5" s="1"/>
  <c r="K22" i="5"/>
  <c r="J31" i="5" a="1"/>
  <c r="J31" i="5" s="1"/>
  <c r="J216" i="5" s="1"/>
  <c r="J28" i="5"/>
  <c r="J213" i="5" s="1"/>
  <c r="J17" i="8" s="1"/>
  <c r="J30" i="5" a="1"/>
  <c r="J30" i="5" s="1"/>
  <c r="J215" i="5" s="1"/>
  <c r="J29" i="5" a="1"/>
  <c r="J29" i="5" s="1"/>
  <c r="J214" i="5" s="1"/>
  <c r="J37" i="5" a="1"/>
  <c r="J37" i="5" s="1"/>
  <c r="J226" i="5" s="1"/>
  <c r="J34" i="5"/>
  <c r="J223" i="5" s="1"/>
  <c r="J21" i="8" s="1"/>
  <c r="J35" i="5" a="1"/>
  <c r="J35" i="5" s="1"/>
  <c r="J224" i="5" s="1"/>
  <c r="J36" i="5" a="1"/>
  <c r="J36" i="5" s="1"/>
  <c r="J225" i="5" s="1"/>
  <c r="O49" i="5" a="1"/>
  <c r="O49" i="5" s="1"/>
  <c r="O47" i="5" a="1"/>
  <c r="O47" i="5" s="1"/>
  <c r="O48" i="5" a="1"/>
  <c r="O48" i="5" s="1"/>
  <c r="O46" i="5"/>
  <c r="G25" i="5" a="1"/>
  <c r="G25" i="5" s="1"/>
  <c r="G23" i="5" a="1"/>
  <c r="G23" i="5" s="1"/>
  <c r="G24" i="5" a="1"/>
  <c r="G24" i="5" s="1"/>
  <c r="G22" i="5" a="1"/>
  <c r="G22" i="5" s="1"/>
  <c r="F31" i="5" a="1"/>
  <c r="F31" i="5" s="1"/>
  <c r="F216" i="5" s="1"/>
  <c r="F30" i="5" a="1"/>
  <c r="F30" i="5" s="1"/>
  <c r="F215" i="5" s="1"/>
  <c r="F29" i="5" a="1"/>
  <c r="F29" i="5" s="1"/>
  <c r="F214" i="5" s="1"/>
  <c r="F28" i="5" a="1"/>
  <c r="F37" i="5" a="1"/>
  <c r="F37" i="5" s="1"/>
  <c r="F226" i="5" s="1"/>
  <c r="F36" i="5" a="1"/>
  <c r="F36" i="5" s="1"/>
  <c r="F225" i="5" s="1"/>
  <c r="F35" i="5" a="1"/>
  <c r="F35" i="5" s="1"/>
  <c r="F224" i="5" s="1"/>
  <c r="F34" i="5" a="1"/>
  <c r="F41" i="5" a="1"/>
  <c r="F41" i="5" s="1"/>
  <c r="F43" i="5" a="1"/>
  <c r="F43" i="5" s="1"/>
  <c r="F42" i="5" a="1"/>
  <c r="F42" i="5" s="1"/>
  <c r="F40" i="5" a="1"/>
  <c r="I25" i="5" a="1"/>
  <c r="I25" i="5" s="1"/>
  <c r="I24" i="5" a="1"/>
  <c r="I24" i="5" s="1"/>
  <c r="I23" i="5" a="1"/>
  <c r="I23" i="5" s="1"/>
  <c r="G49" i="5" a="1"/>
  <c r="G49" i="5" s="1"/>
  <c r="G47" i="5" a="1"/>
  <c r="G47" i="5" s="1"/>
  <c r="G48" i="5" a="1"/>
  <c r="G48" i="5" s="1"/>
  <c r="G46" i="5" a="1"/>
  <c r="G46" i="5" s="1"/>
  <c r="G208" i="5" s="1"/>
  <c r="G15" i="8" s="1"/>
  <c r="J52" i="5"/>
  <c r="J55" i="5" a="1"/>
  <c r="J55" i="5" s="1"/>
  <c r="J240" i="5" s="1"/>
  <c r="J53" i="5" a="1"/>
  <c r="J53" i="5" s="1"/>
  <c r="J238" i="5" s="1"/>
  <c r="J54" i="5" a="1"/>
  <c r="J54" i="5" s="1"/>
  <c r="J239" i="5" s="1"/>
  <c r="K19" i="5" a="1"/>
  <c r="K19" i="5" s="1"/>
  <c r="K17" i="5" a="1"/>
  <c r="K17" i="5" s="1"/>
  <c r="K18" i="5" a="1"/>
  <c r="K18" i="5" s="1"/>
  <c r="K16" i="5"/>
  <c r="J25" i="5" a="1"/>
  <c r="J25" i="5" s="1"/>
  <c r="J22" i="5"/>
  <c r="J23" i="5" a="1"/>
  <c r="J23" i="5" s="1"/>
  <c r="J24" i="5" a="1"/>
  <c r="J24" i="5" s="1"/>
  <c r="I31" i="5" a="1"/>
  <c r="I31" i="5" s="1"/>
  <c r="I216" i="5" s="1"/>
  <c r="I29" i="5" a="1"/>
  <c r="I29" i="5" s="1"/>
  <c r="I214" i="5" s="1"/>
  <c r="I30" i="5" a="1"/>
  <c r="I30" i="5" s="1"/>
  <c r="I215" i="5" s="1"/>
  <c r="N41" i="5" a="1"/>
  <c r="N41" i="5" s="1"/>
  <c r="N43" i="5" a="1"/>
  <c r="N43" i="5" s="1"/>
  <c r="N42" i="5" a="1"/>
  <c r="N42" i="5" s="1"/>
  <c r="N40" i="5"/>
  <c r="F54" i="5" a="1"/>
  <c r="F54" i="5" s="1"/>
  <c r="F239" i="5" s="1"/>
  <c r="F55" i="5" a="1"/>
  <c r="F55" i="5" s="1"/>
  <c r="F240" i="5" s="1"/>
  <c r="F53" i="5" a="1"/>
  <c r="F53" i="5" s="1"/>
  <c r="F238" i="5" s="1"/>
  <c r="F52" i="5" a="1"/>
  <c r="G19" i="5" a="1"/>
  <c r="G19" i="5" s="1"/>
  <c r="G18" i="5" a="1"/>
  <c r="G18" i="5" s="1"/>
  <c r="G17" i="5" a="1"/>
  <c r="G17" i="5" s="1"/>
  <c r="G16" i="5"/>
  <c r="F25" i="5" a="1"/>
  <c r="F25" i="5" s="1"/>
  <c r="F24" i="5" a="1"/>
  <c r="F24" i="5" s="1"/>
  <c r="F23" i="5" a="1"/>
  <c r="F23" i="5" s="1"/>
  <c r="F22" i="5" a="1"/>
  <c r="J40" i="5"/>
  <c r="J43" i="5" a="1"/>
  <c r="J43" i="5" s="1"/>
  <c r="J41" i="5" a="1"/>
  <c r="J41" i="5" s="1"/>
  <c r="J42" i="5" a="1"/>
  <c r="J42" i="5" s="1"/>
  <c r="N49" i="5" a="1"/>
  <c r="N49" i="5" s="1"/>
  <c r="N48" i="5" a="1"/>
  <c r="N48" i="5" s="1"/>
  <c r="N47" i="5" a="1"/>
  <c r="N47" i="5" s="1"/>
  <c r="N46" i="5"/>
  <c r="N208" i="5" s="1"/>
  <c r="N15" i="8" s="1"/>
  <c r="O19" i="5" a="1"/>
  <c r="O19" i="5" s="1"/>
  <c r="O18" i="5" a="1"/>
  <c r="O18" i="5" s="1"/>
  <c r="O17" i="5" a="1"/>
  <c r="O17" i="5" s="1"/>
  <c r="O16" i="5"/>
  <c r="M25" i="5" a="1"/>
  <c r="M25" i="5" s="1"/>
  <c r="M24" i="5" a="1"/>
  <c r="M24" i="5" s="1"/>
  <c r="M23" i="5" a="1"/>
  <c r="M23" i="5" s="1"/>
  <c r="M22" i="5"/>
  <c r="J49" i="5" a="1"/>
  <c r="J49" i="5" s="1"/>
  <c r="J46" i="5"/>
  <c r="J48" i="5" a="1"/>
  <c r="J48" i="5" s="1"/>
  <c r="J47" i="5" a="1"/>
  <c r="J47" i="5" s="1"/>
  <c r="L35" i="5" a="1"/>
  <c r="L35" i="5" s="1"/>
  <c r="L224" i="5" s="1"/>
  <c r="L37" i="5" a="1"/>
  <c r="L37" i="5" s="1"/>
  <c r="L226" i="5" s="1"/>
  <c r="L36" i="5" a="1"/>
  <c r="L36" i="5" s="1"/>
  <c r="L225" i="5" s="1"/>
  <c r="L34" i="5"/>
  <c r="L223" i="5" s="1"/>
  <c r="L21" i="8" s="1"/>
  <c r="L49" i="5" a="1"/>
  <c r="L49" i="5" s="1"/>
  <c r="L47" i="5" a="1"/>
  <c r="L47" i="5" s="1"/>
  <c r="L48" i="5" a="1"/>
  <c r="L48" i="5" s="1"/>
  <c r="L46" i="5"/>
  <c r="L208" i="5" s="1"/>
  <c r="L15" i="8" s="1"/>
  <c r="M37" i="5" a="1"/>
  <c r="M37" i="5" s="1"/>
  <c r="M226" i="5" s="1"/>
  <c r="M35" i="5" a="1"/>
  <c r="M35" i="5" s="1"/>
  <c r="M224" i="5" s="1"/>
  <c r="M36" i="5" a="1"/>
  <c r="M36" i="5" s="1"/>
  <c r="M225" i="5" s="1"/>
  <c r="M34" i="5"/>
  <c r="M223" i="5" s="1"/>
  <c r="M21" i="8" s="1"/>
  <c r="F49" i="5" a="1"/>
  <c r="F49" i="5" s="1"/>
  <c r="F48" i="5" a="1"/>
  <c r="F48" i="5" s="1"/>
  <c r="F47" i="5" a="1"/>
  <c r="F47" i="5" s="1"/>
  <c r="F46" i="5" a="1"/>
  <c r="I55" i="5" a="1"/>
  <c r="I55" i="5" s="1"/>
  <c r="I240" i="5" s="1"/>
  <c r="I53" i="5" a="1"/>
  <c r="I53" i="5" s="1"/>
  <c r="I238" i="5" s="1"/>
  <c r="I54" i="5" a="1"/>
  <c r="I54" i="5" s="1"/>
  <c r="I239" i="5" s="1"/>
  <c r="H19" i="5" a="1"/>
  <c r="H19" i="5" s="1"/>
  <c r="H17" i="5" a="1"/>
  <c r="H17" i="5" s="1"/>
  <c r="H18" i="5" a="1"/>
  <c r="H18" i="5" s="1"/>
  <c r="H16" i="5"/>
  <c r="I37" i="5" a="1"/>
  <c r="I37" i="5" s="1"/>
  <c r="I226" i="5" s="1"/>
  <c r="I223" i="5"/>
  <c r="I21" i="8" s="1"/>
  <c r="I36" i="5" a="1"/>
  <c r="I36" i="5" s="1"/>
  <c r="I225" i="5" s="1"/>
  <c r="I35" i="5" a="1"/>
  <c r="I35" i="5" s="1"/>
  <c r="I224" i="5" s="1"/>
  <c r="M43" i="5" a="1"/>
  <c r="M43" i="5" s="1"/>
  <c r="M42" i="5" a="1"/>
  <c r="M42" i="5" s="1"/>
  <c r="M41" i="5" a="1"/>
  <c r="M41" i="5" s="1"/>
  <c r="M40" i="5"/>
  <c r="M49" i="5" a="1"/>
  <c r="M49" i="5" s="1"/>
  <c r="M48" i="5" a="1"/>
  <c r="M48" i="5" s="1"/>
  <c r="M210" i="5" s="1"/>
  <c r="M47" i="5" a="1"/>
  <c r="M47" i="5" s="1"/>
  <c r="M46" i="5"/>
  <c r="L55" i="5" a="1"/>
  <c r="L55" i="5" s="1"/>
  <c r="L240" i="5" s="1"/>
  <c r="L54" i="5" a="1"/>
  <c r="L54" i="5" s="1"/>
  <c r="L239" i="5" s="1"/>
  <c r="L53" i="5" a="1"/>
  <c r="L53" i="5" s="1"/>
  <c r="L238" i="5" s="1"/>
  <c r="L52" i="5"/>
  <c r="L19" i="5" a="1"/>
  <c r="L19" i="5" s="1"/>
  <c r="L17" i="5" a="1"/>
  <c r="L17" i="5" s="1"/>
  <c r="L18" i="5" a="1"/>
  <c r="L18" i="5" s="1"/>
  <c r="L16" i="5"/>
  <c r="L31" i="5" a="1"/>
  <c r="L31" i="5" s="1"/>
  <c r="L216" i="5" s="1"/>
  <c r="L29" i="5" a="1"/>
  <c r="L29" i="5" s="1"/>
  <c r="L214" i="5" s="1"/>
  <c r="L30" i="5" a="1"/>
  <c r="L30" i="5" s="1"/>
  <c r="L215" i="5" s="1"/>
  <c r="L28" i="5"/>
  <c r="L213" i="5" s="1"/>
  <c r="L17" i="8" s="1"/>
  <c r="I43" i="5" a="1"/>
  <c r="I43" i="5" s="1"/>
  <c r="I42" i="5" a="1"/>
  <c r="I42" i="5" s="1"/>
  <c r="I41" i="5" a="1"/>
  <c r="I41" i="5" s="1"/>
  <c r="I49" i="5" a="1"/>
  <c r="I49" i="5" s="1"/>
  <c r="I47" i="5" a="1"/>
  <c r="I47" i="5" s="1"/>
  <c r="I48" i="5" a="1"/>
  <c r="I48" i="5" s="1"/>
  <c r="H55" i="5" a="1"/>
  <c r="H55" i="5" s="1"/>
  <c r="H240" i="5" s="1"/>
  <c r="H53" i="5" a="1"/>
  <c r="H53" i="5" s="1"/>
  <c r="H238" i="5" s="1"/>
  <c r="H54" i="5" a="1"/>
  <c r="H54" i="5" s="1"/>
  <c r="H239" i="5" s="1"/>
  <c r="H52" i="5"/>
  <c r="F19" i="5" a="1"/>
  <c r="F19" i="5" s="1"/>
  <c r="F17" i="5" a="1"/>
  <c r="F17" i="5" s="1"/>
  <c r="F18" i="5" a="1"/>
  <c r="F18" i="5" s="1"/>
  <c r="F39" i="4"/>
  <c r="F38" i="4"/>
  <c r="F36" i="4"/>
  <c r="F34" i="4"/>
  <c r="F30" i="4"/>
  <c r="F31" i="4"/>
  <c r="F32" i="4"/>
  <c r="F35" i="4"/>
  <c r="F37" i="4"/>
  <c r="F29" i="4"/>
  <c r="F33" i="4"/>
  <c r="P239" i="5" l="1"/>
  <c r="P238" i="5"/>
  <c r="P240" i="5"/>
  <c r="L210" i="5"/>
  <c r="H228" i="5"/>
  <c r="H23" i="8" s="1"/>
  <c r="H51" i="8" s="1"/>
  <c r="H52" i="8" s="1"/>
  <c r="H237" i="5"/>
  <c r="L228" i="5"/>
  <c r="L23" i="8" s="1"/>
  <c r="L51" i="8" s="1"/>
  <c r="L52" i="8" s="1"/>
  <c r="L237" i="5"/>
  <c r="G228" i="5"/>
  <c r="G23" i="8" s="1"/>
  <c r="G51" i="8" s="1"/>
  <c r="G52" i="8" s="1"/>
  <c r="G237" i="5"/>
  <c r="J228" i="5"/>
  <c r="J23" i="8" s="1"/>
  <c r="J51" i="8" s="1"/>
  <c r="J52" i="8" s="1"/>
  <c r="J237" i="5"/>
  <c r="I166" i="5"/>
  <c r="I172" i="5"/>
  <c r="P172" i="5" s="1"/>
  <c r="Q172" i="5" s="1"/>
  <c r="J209" i="5"/>
  <c r="G210" i="5"/>
  <c r="I154" i="5"/>
  <c r="P154" i="5" s="1"/>
  <c r="Q154" i="5" s="1"/>
  <c r="I160" i="5"/>
  <c r="P160" i="5" s="1"/>
  <c r="Q160" i="5" s="1"/>
  <c r="D8" i="9"/>
  <c r="I14" i="5"/>
  <c r="I148" i="5"/>
  <c r="P148" i="5" s="1"/>
  <c r="Q148" i="5" s="1"/>
  <c r="H211" i="5"/>
  <c r="H210" i="5"/>
  <c r="J210" i="5"/>
  <c r="G209" i="5"/>
  <c r="J71" i="7"/>
  <c r="L71" i="7" s="1"/>
  <c r="O209" i="5"/>
  <c r="K210" i="5"/>
  <c r="N211" i="5"/>
  <c r="L200" i="5"/>
  <c r="H209" i="5"/>
  <c r="D27" i="9"/>
  <c r="I211" i="5"/>
  <c r="M208" i="5"/>
  <c r="M15" i="8" s="1"/>
  <c r="M39" i="8" s="1"/>
  <c r="M40" i="8" s="1"/>
  <c r="O208" i="5"/>
  <c r="O15" i="8" s="1"/>
  <c r="O39" i="8" s="1"/>
  <c r="O40" i="8" s="1"/>
  <c r="K198" i="5"/>
  <c r="K11" i="8" s="1"/>
  <c r="K33" i="8" s="1"/>
  <c r="H199" i="5"/>
  <c r="M200" i="5"/>
  <c r="F211" i="5"/>
  <c r="F209" i="5"/>
  <c r="F199" i="5"/>
  <c r="M209" i="5"/>
  <c r="L209" i="5"/>
  <c r="J208" i="5"/>
  <c r="J15" i="8" s="1"/>
  <c r="J39" i="8" s="1"/>
  <c r="J40" i="8" s="1"/>
  <c r="N210" i="5"/>
  <c r="G205" i="5"/>
  <c r="K208" i="5"/>
  <c r="K15" i="8" s="1"/>
  <c r="K39" i="8" s="1"/>
  <c r="K40" i="8" s="1"/>
  <c r="I192" i="5"/>
  <c r="L211" i="5"/>
  <c r="J211" i="5"/>
  <c r="G211" i="5"/>
  <c r="P140" i="5"/>
  <c r="P188" i="5"/>
  <c r="P174" i="5"/>
  <c r="I210" i="5"/>
  <c r="O210" i="5"/>
  <c r="K209" i="5"/>
  <c r="P156" i="5"/>
  <c r="I209" i="5"/>
  <c r="F210" i="5"/>
  <c r="M211" i="5"/>
  <c r="N199" i="5"/>
  <c r="O211" i="5"/>
  <c r="K211" i="5"/>
  <c r="H201" i="5"/>
  <c r="P139" i="5"/>
  <c r="Q139" i="5" s="1"/>
  <c r="F228" i="5"/>
  <c r="P157" i="5"/>
  <c r="P163" i="5"/>
  <c r="P189" i="5"/>
  <c r="P181" i="5"/>
  <c r="Q181" i="5" s="1"/>
  <c r="P149" i="5"/>
  <c r="P182" i="5"/>
  <c r="P151" i="5"/>
  <c r="D37" i="9"/>
  <c r="D35" i="9"/>
  <c r="D29" i="9"/>
  <c r="P141" i="5"/>
  <c r="F230" i="5"/>
  <c r="P168" i="5"/>
  <c r="P155" i="5"/>
  <c r="P162" i="5"/>
  <c r="P190" i="5"/>
  <c r="P183" i="5"/>
  <c r="P173" i="5"/>
  <c r="F229" i="5"/>
  <c r="P167" i="5"/>
  <c r="N209" i="5"/>
  <c r="C22" i="9"/>
  <c r="P142" i="5"/>
  <c r="F231" i="5"/>
  <c r="P169" i="5"/>
  <c r="P161" i="5"/>
  <c r="P187" i="5"/>
  <c r="Q187" i="5" s="1"/>
  <c r="P184" i="5"/>
  <c r="P150" i="5"/>
  <c r="P175" i="5"/>
  <c r="H203" i="5"/>
  <c r="H13" i="8" s="1"/>
  <c r="H36" i="8" s="1"/>
  <c r="H37" i="8" s="1"/>
  <c r="O218" i="5"/>
  <c r="O19" i="8" s="1"/>
  <c r="O45" i="8" s="1"/>
  <c r="O46" i="8" s="1"/>
  <c r="H198" i="5"/>
  <c r="H11" i="8" s="1"/>
  <c r="H33" i="8" s="1"/>
  <c r="L218" i="5"/>
  <c r="L19" i="8" s="1"/>
  <c r="L45" i="8" s="1"/>
  <c r="L46" i="8" s="1"/>
  <c r="N200" i="5"/>
  <c r="J219" i="5"/>
  <c r="F200" i="5"/>
  <c r="G220" i="5"/>
  <c r="O200" i="5"/>
  <c r="L220" i="5"/>
  <c r="M201" i="5"/>
  <c r="J198" i="5"/>
  <c r="J11" i="8" s="1"/>
  <c r="J33" i="8" s="1"/>
  <c r="K201" i="5"/>
  <c r="G201" i="5"/>
  <c r="I221" i="5"/>
  <c r="M221" i="5"/>
  <c r="J221" i="5"/>
  <c r="K221" i="5"/>
  <c r="N221" i="5"/>
  <c r="F221" i="5"/>
  <c r="G221" i="5"/>
  <c r="O221" i="5"/>
  <c r="L203" i="5"/>
  <c r="L13" i="8" s="1"/>
  <c r="L36" i="8" s="1"/>
  <c r="L37" i="8" s="1"/>
  <c r="M198" i="5"/>
  <c r="M11" i="8" s="1"/>
  <c r="M33" i="8" s="1"/>
  <c r="O203" i="5"/>
  <c r="O13" i="8" s="1"/>
  <c r="O36" i="8" s="1"/>
  <c r="O37" i="8" s="1"/>
  <c r="J220" i="5"/>
  <c r="I219" i="5"/>
  <c r="K218" i="5"/>
  <c r="K19" i="8" s="1"/>
  <c r="K45" i="8" s="1"/>
  <c r="K46" i="8" s="1"/>
  <c r="N218" i="5"/>
  <c r="N19" i="8" s="1"/>
  <c r="N45" i="8" s="1"/>
  <c r="N46" i="8" s="1"/>
  <c r="J205" i="5"/>
  <c r="O198" i="5"/>
  <c r="O11" i="8" s="1"/>
  <c r="H218" i="5"/>
  <c r="H19" i="8" s="1"/>
  <c r="H45" i="8" s="1"/>
  <c r="H46" i="8" s="1"/>
  <c r="H221" i="5"/>
  <c r="L221" i="5"/>
  <c r="I220" i="5"/>
  <c r="N220" i="5"/>
  <c r="M220" i="5"/>
  <c r="G219" i="5"/>
  <c r="O219" i="5"/>
  <c r="M219" i="5"/>
  <c r="F219" i="5"/>
  <c r="K220" i="5"/>
  <c r="O220" i="5"/>
  <c r="H219" i="5"/>
  <c r="F220" i="5"/>
  <c r="K219" i="5"/>
  <c r="N219" i="5"/>
  <c r="L42" i="8"/>
  <c r="L43" i="8" s="1"/>
  <c r="M48" i="8"/>
  <c r="M49" i="8" s="1"/>
  <c r="L39" i="8"/>
  <c r="L40" i="8" s="1"/>
  <c r="L48" i="8"/>
  <c r="L49" i="8" s="1"/>
  <c r="N39" i="8"/>
  <c r="N40" i="8" s="1"/>
  <c r="G39" i="8"/>
  <c r="G40" i="8" s="1"/>
  <c r="N48" i="8"/>
  <c r="N49" i="8" s="1"/>
  <c r="N42" i="8"/>
  <c r="N43" i="8" s="1"/>
  <c r="M42" i="8"/>
  <c r="M43" i="8" s="1"/>
  <c r="K48" i="8"/>
  <c r="K49" i="8" s="1"/>
  <c r="K42" i="8"/>
  <c r="K43" i="8" s="1"/>
  <c r="O48" i="8"/>
  <c r="O49" i="8" s="1"/>
  <c r="O42" i="8"/>
  <c r="O43" i="8" s="1"/>
  <c r="H39" i="8"/>
  <c r="H40" i="8" s="1"/>
  <c r="H48" i="8"/>
  <c r="H49" i="8" s="1"/>
  <c r="G48" i="8"/>
  <c r="G49" i="8" s="1"/>
  <c r="G42" i="8"/>
  <c r="G43" i="8" s="1"/>
  <c r="H42" i="8"/>
  <c r="H43" i="8" s="1"/>
  <c r="I48" i="8"/>
  <c r="I49" i="8" s="1"/>
  <c r="J48" i="8"/>
  <c r="J49" i="8" s="1"/>
  <c r="J42" i="8"/>
  <c r="J43" i="8" s="1"/>
  <c r="H220" i="5"/>
  <c r="L219" i="5"/>
  <c r="J199" i="5"/>
  <c r="K205" i="5"/>
  <c r="F204" i="5"/>
  <c r="I201" i="5"/>
  <c r="H204" i="5"/>
  <c r="J201" i="5"/>
  <c r="F201" i="5"/>
  <c r="F206" i="5"/>
  <c r="L206" i="5"/>
  <c r="H206" i="5"/>
  <c r="O206" i="5"/>
  <c r="G206" i="5"/>
  <c r="K206" i="5"/>
  <c r="J206" i="5"/>
  <c r="O201" i="5"/>
  <c r="N204" i="5"/>
  <c r="M206" i="5"/>
  <c r="L201" i="5"/>
  <c r="L205" i="5"/>
  <c r="M199" i="5"/>
  <c r="I200" i="5"/>
  <c r="H205" i="5"/>
  <c r="O204" i="5"/>
  <c r="G204" i="5"/>
  <c r="L204" i="5"/>
  <c r="O205" i="5"/>
  <c r="N201" i="5"/>
  <c r="K204" i="5"/>
  <c r="J203" i="5"/>
  <c r="J13" i="8" s="1"/>
  <c r="K199" i="5"/>
  <c r="I206" i="5"/>
  <c r="H200" i="5"/>
  <c r="G199" i="5"/>
  <c r="M205" i="5"/>
  <c r="I199" i="5"/>
  <c r="M218" i="5"/>
  <c r="M19" i="8" s="1"/>
  <c r="J200" i="5"/>
  <c r="G203" i="5"/>
  <c r="F205" i="5"/>
  <c r="J204" i="5"/>
  <c r="K200" i="5"/>
  <c r="I204" i="5"/>
  <c r="G200" i="5"/>
  <c r="N205" i="5"/>
  <c r="M204" i="5"/>
  <c r="L199" i="5"/>
  <c r="P233" i="5"/>
  <c r="J218" i="5"/>
  <c r="J19" i="8" s="1"/>
  <c r="P225" i="5"/>
  <c r="R13" i="7" s="1"/>
  <c r="O199" i="5"/>
  <c r="N206" i="5"/>
  <c r="K203" i="5"/>
  <c r="K13" i="8" s="1"/>
  <c r="G218" i="5"/>
  <c r="I205" i="5"/>
  <c r="N203" i="5"/>
  <c r="N13" i="8" s="1"/>
  <c r="N36" i="8" s="1"/>
  <c r="N37" i="8" s="1"/>
  <c r="M203" i="5"/>
  <c r="N198" i="5"/>
  <c r="L198" i="5"/>
  <c r="G198" i="5"/>
  <c r="G11" i="8" s="1"/>
  <c r="P120" i="5" a="1"/>
  <c r="P120" i="5" s="1"/>
  <c r="P125" i="5" a="1"/>
  <c r="P125" i="5" s="1"/>
  <c r="P126" i="5" a="1"/>
  <c r="P126" i="5" s="1"/>
  <c r="P75" i="5" a="1"/>
  <c r="P75" i="5" s="1"/>
  <c r="P63" i="5" a="1"/>
  <c r="P63" i="5" s="1"/>
  <c r="P84" i="5" a="1"/>
  <c r="P84" i="5" s="1"/>
  <c r="P89" i="5" a="1"/>
  <c r="P89" i="5" s="1"/>
  <c r="P134" i="5"/>
  <c r="P136" i="5"/>
  <c r="P127" i="5"/>
  <c r="P135" i="5"/>
  <c r="P133" i="5"/>
  <c r="Q133" i="5" s="1"/>
  <c r="P124" i="5"/>
  <c r="Q124" i="5" s="1"/>
  <c r="P118" i="5"/>
  <c r="Q118" i="5" s="1"/>
  <c r="P119" i="5"/>
  <c r="P121" i="5"/>
  <c r="P100" i="5"/>
  <c r="P106" i="5"/>
  <c r="P68" i="5" a="1"/>
  <c r="P68" i="5" s="1"/>
  <c r="P112" i="5"/>
  <c r="P90" i="5" a="1"/>
  <c r="P90" i="5" s="1"/>
  <c r="P98" i="5" a="1"/>
  <c r="P98" i="5" s="1"/>
  <c r="P105" i="5" a="1"/>
  <c r="P105" i="5" s="1"/>
  <c r="P74" i="5" a="1"/>
  <c r="P74" i="5" s="1"/>
  <c r="P69" i="5" a="1"/>
  <c r="P69" i="5" s="1"/>
  <c r="P110" i="5" a="1"/>
  <c r="P110" i="5" s="1"/>
  <c r="P85" i="5"/>
  <c r="P91" i="5"/>
  <c r="P99" i="5" a="1"/>
  <c r="P99" i="5" s="1"/>
  <c r="P104" i="5" a="1"/>
  <c r="P104" i="5" s="1"/>
  <c r="P73" i="5"/>
  <c r="Q73" i="5" s="1"/>
  <c r="P67" i="5"/>
  <c r="Q67" i="5" s="1"/>
  <c r="P111" i="5" a="1"/>
  <c r="P111" i="5" s="1"/>
  <c r="P82" i="5"/>
  <c r="Q82" i="5" s="1"/>
  <c r="P88" i="5"/>
  <c r="Q88" i="5" s="1"/>
  <c r="P97" i="5"/>
  <c r="Q97" i="5" s="1"/>
  <c r="P103" i="5"/>
  <c r="Q103" i="5" s="1"/>
  <c r="P76" i="5"/>
  <c r="P70" i="5"/>
  <c r="P109" i="5"/>
  <c r="Q109" i="5" s="1"/>
  <c r="P83" i="5" a="1"/>
  <c r="P83" i="5" s="1"/>
  <c r="P23" i="5" a="1"/>
  <c r="P23" i="5" s="1"/>
  <c r="P18" i="5" a="1"/>
  <c r="P18" i="5" s="1"/>
  <c r="P19" i="5"/>
  <c r="P49" i="5"/>
  <c r="P24" i="5" a="1"/>
  <c r="P24" i="5" s="1"/>
  <c r="P55" i="5"/>
  <c r="P42" i="5" a="1"/>
  <c r="P42" i="5" s="1"/>
  <c r="P35" i="5" a="1"/>
  <c r="P35" i="5" s="1"/>
  <c r="P226" i="5"/>
  <c r="T13" i="7" s="1"/>
  <c r="P54" i="5" a="1"/>
  <c r="P54" i="5" s="1"/>
  <c r="P43" i="5"/>
  <c r="P36" i="5" a="1"/>
  <c r="P36" i="5" s="1"/>
  <c r="P29" i="5" a="1"/>
  <c r="P29" i="5" s="1"/>
  <c r="P62" i="5" a="1"/>
  <c r="P62" i="5" s="1"/>
  <c r="P25" i="5"/>
  <c r="P224" i="5"/>
  <c r="P17" i="5" a="1"/>
  <c r="P17" i="5" s="1"/>
  <c r="P47" i="5" a="1"/>
  <c r="P47" i="5" s="1"/>
  <c r="P41" i="5" a="1"/>
  <c r="P41" i="5" s="1"/>
  <c r="P37" i="5"/>
  <c r="P30" i="5" a="1"/>
  <c r="P30" i="5" s="1"/>
  <c r="P64" i="5"/>
  <c r="P61" i="5"/>
  <c r="Q61" i="5" s="1"/>
  <c r="P48" i="5" a="1"/>
  <c r="P48" i="5" s="1"/>
  <c r="P53" i="5" a="1"/>
  <c r="P53" i="5" s="1"/>
  <c r="P31" i="5"/>
  <c r="I228" i="5" l="1"/>
  <c r="I23" i="8" s="1"/>
  <c r="I51" i="8" s="1"/>
  <c r="I52" i="8" s="1"/>
  <c r="L73" i="7"/>
  <c r="P166" i="5"/>
  <c r="Q166" i="5" s="1"/>
  <c r="I52" i="5"/>
  <c r="I237" i="5" s="1"/>
  <c r="I22" i="5"/>
  <c r="I218" i="5" s="1"/>
  <c r="I19" i="8" s="1"/>
  <c r="I28" i="5"/>
  <c r="I213" i="5" s="1"/>
  <c r="I17" i="8" s="1"/>
  <c r="I42" i="8" s="1"/>
  <c r="I43" i="8" s="1"/>
  <c r="I46" i="5"/>
  <c r="I208" i="5" s="1"/>
  <c r="I15" i="8" s="1"/>
  <c r="I39" i="8" s="1"/>
  <c r="I40" i="8" s="1"/>
  <c r="I40" i="5"/>
  <c r="I198" i="5" s="1"/>
  <c r="I11" i="8" s="1"/>
  <c r="I33" i="8" s="1"/>
  <c r="I34" i="8" s="1"/>
  <c r="I16" i="5"/>
  <c r="I203" i="5" s="1"/>
  <c r="I13" i="8" s="1"/>
  <c r="I36" i="8" s="1"/>
  <c r="I37" i="8" s="1"/>
  <c r="D38" i="9"/>
  <c r="F23" i="8"/>
  <c r="O26" i="8"/>
  <c r="O33" i="8"/>
  <c r="O34" i="8" s="1"/>
  <c r="O55" i="8" s="1"/>
  <c r="O244" i="5"/>
  <c r="H244" i="5"/>
  <c r="K26" i="8"/>
  <c r="H26" i="8"/>
  <c r="J45" i="8"/>
  <c r="J46" i="8" s="1"/>
  <c r="M45" i="8"/>
  <c r="M46" i="8" s="1"/>
  <c r="J36" i="8"/>
  <c r="J37" i="8" s="1"/>
  <c r="H34" i="8"/>
  <c r="H55" i="8" s="1"/>
  <c r="H54" i="8"/>
  <c r="L244" i="5"/>
  <c r="L11" i="8"/>
  <c r="K244" i="5"/>
  <c r="G19" i="8"/>
  <c r="J26" i="8"/>
  <c r="P39" i="8" a="1"/>
  <c r="J34" i="8"/>
  <c r="K36" i="8"/>
  <c r="K37" i="8" s="1"/>
  <c r="N244" i="5"/>
  <c r="N11" i="8"/>
  <c r="N26" i="8" s="1"/>
  <c r="G13" i="8"/>
  <c r="K34" i="8"/>
  <c r="O16" i="8" a="1"/>
  <c r="M34" i="8"/>
  <c r="G33" i="8"/>
  <c r="M244" i="5"/>
  <c r="M13" i="8"/>
  <c r="M26" i="8" s="1"/>
  <c r="J244" i="5"/>
  <c r="G244" i="5"/>
  <c r="P228" i="5" l="1"/>
  <c r="Q228" i="5" s="1"/>
  <c r="I244" i="5"/>
  <c r="F51" i="8"/>
  <c r="P23" i="8"/>
  <c r="O54" i="8"/>
  <c r="K54" i="8"/>
  <c r="M36" i="8"/>
  <c r="K55" i="8"/>
  <c r="N33" i="8"/>
  <c r="J55" i="8"/>
  <c r="J54" i="8"/>
  <c r="I45" i="8"/>
  <c r="I26" i="8"/>
  <c r="L33" i="8"/>
  <c r="L26" i="8"/>
  <c r="G36" i="8"/>
  <c r="G34" i="8"/>
  <c r="G45" i="8"/>
  <c r="G26" i="8"/>
  <c r="P215" i="5"/>
  <c r="P235" i="5"/>
  <c r="R56" i="7" s="1"/>
  <c r="P230" i="5"/>
  <c r="R44" i="7" s="1"/>
  <c r="F24" i="8" l="1"/>
  <c r="P51" i="8" s="1" a="1"/>
  <c r="M24" i="8"/>
  <c r="O24" i="8"/>
  <c r="P24" i="8"/>
  <c r="L24" i="8"/>
  <c r="I24" i="8"/>
  <c r="Q23" i="8"/>
  <c r="K24" i="8"/>
  <c r="G24" i="8"/>
  <c r="N24" i="8"/>
  <c r="J24" i="8"/>
  <c r="H24" i="8"/>
  <c r="P51" i="8"/>
  <c r="F52" i="8"/>
  <c r="P52" i="8" s="1"/>
  <c r="G54" i="8"/>
  <c r="G46" i="8"/>
  <c r="L34" i="8"/>
  <c r="L55" i="8" s="1"/>
  <c r="L54" i="8"/>
  <c r="O20" i="8" a="1"/>
  <c r="I46" i="8"/>
  <c r="I55" i="8" s="1"/>
  <c r="I54" i="8"/>
  <c r="N14" i="8" a="1"/>
  <c r="G37" i="8"/>
  <c r="N34" i="8"/>
  <c r="N55" i="8" s="1"/>
  <c r="N54" i="8"/>
  <c r="M37" i="8"/>
  <c r="M55" i="8" s="1"/>
  <c r="M54" i="8"/>
  <c r="P200" i="5"/>
  <c r="P205" i="5"/>
  <c r="P220" i="5"/>
  <c r="R32" i="7" s="1"/>
  <c r="P206" i="5"/>
  <c r="P210" i="5"/>
  <c r="R38" i="7" s="1"/>
  <c r="P221" i="5"/>
  <c r="T32" i="7" s="1"/>
  <c r="P211" i="5"/>
  <c r="P231" i="5"/>
  <c r="T44" i="7" s="1"/>
  <c r="P216" i="5"/>
  <c r="P236" i="5"/>
  <c r="T56" i="7" s="1"/>
  <c r="P201" i="5"/>
  <c r="P44" i="7" l="1"/>
  <c r="T25" i="7"/>
  <c r="G55" i="8"/>
  <c r="T38" i="7"/>
  <c r="R25" i="7"/>
  <c r="R58" i="7" s="1"/>
  <c r="P245" i="5" a="1"/>
  <c r="M245" i="5" a="1"/>
  <c r="N245" i="5" a="1"/>
  <c r="O245" i="5" a="1"/>
  <c r="G245" i="5" a="1"/>
  <c r="K245" i="5" a="1"/>
  <c r="I245" i="5" a="1"/>
  <c r="L245" i="5" a="1"/>
  <c r="F245" i="5" a="1"/>
  <c r="H245" i="5" a="1"/>
  <c r="T58" i="7" l="1"/>
  <c r="T71" i="7"/>
  <c r="P214" i="5"/>
  <c r="J243" i="5" a="1"/>
  <c r="J243" i="5" s="1"/>
  <c r="P234" i="5"/>
  <c r="P56" i="7" s="1"/>
  <c r="V56" i="7" s="1"/>
  <c r="N56" i="7" s="1"/>
  <c r="W56" i="7" s="1"/>
  <c r="P229" i="5"/>
  <c r="V44" i="7" s="1"/>
  <c r="N44" i="7" s="1"/>
  <c r="W44" i="7" s="1"/>
  <c r="P219" i="5" l="1"/>
  <c r="P199" i="5"/>
  <c r="J217" i="5" a="1"/>
  <c r="J212" i="5" a="1"/>
  <c r="P232" i="5" a="1"/>
  <c r="P232" i="5" s="1"/>
  <c r="K232" i="5" a="1"/>
  <c r="K232" i="5" s="1"/>
  <c r="L232" i="5" a="1"/>
  <c r="L232" i="5" s="1"/>
  <c r="H232" i="5" a="1"/>
  <c r="H232" i="5" s="1"/>
  <c r="M232" i="5" a="1"/>
  <c r="M232" i="5" s="1"/>
  <c r="O232" i="5" a="1"/>
  <c r="O232" i="5" s="1"/>
  <c r="G232" i="5" a="1"/>
  <c r="G232" i="5" s="1"/>
  <c r="N232" i="5" a="1"/>
  <c r="N232" i="5" s="1"/>
  <c r="F232" i="5" a="1"/>
  <c r="F232" i="5" s="1"/>
  <c r="I232" i="5" a="1"/>
  <c r="I232" i="5" s="1"/>
  <c r="J232" i="5" a="1"/>
  <c r="J232" i="5" s="1"/>
  <c r="J222" i="5" a="1"/>
  <c r="P209" i="5"/>
  <c r="P243" i="5" a="1"/>
  <c r="P243" i="5" s="1"/>
  <c r="Q233" i="5"/>
  <c r="H243" i="5" a="1"/>
  <c r="H243" i="5" s="1"/>
  <c r="L243" i="5" a="1"/>
  <c r="L243" i="5" s="1"/>
  <c r="M243" i="5" a="1"/>
  <c r="M243" i="5" s="1"/>
  <c r="N243" i="5" a="1"/>
  <c r="N243" i="5" s="1"/>
  <c r="G243" i="5" a="1"/>
  <c r="G243" i="5" s="1"/>
  <c r="K243" i="5" a="1"/>
  <c r="K243" i="5" s="1"/>
  <c r="O243" i="5" a="1"/>
  <c r="O243" i="5" s="1"/>
  <c r="F243" i="5" a="1"/>
  <c r="F243" i="5" s="1"/>
  <c r="I243" i="5" a="1"/>
  <c r="I243" i="5" s="1"/>
  <c r="P204" i="5"/>
  <c r="J202" i="5" a="1"/>
  <c r="J245" i="5" a="1"/>
  <c r="P207" i="5" l="1" a="1"/>
  <c r="O207" i="5" a="1"/>
  <c r="N207" i="5" a="1"/>
  <c r="K207" i="5" a="1"/>
  <c r="H207" i="5" a="1"/>
  <c r="G207" i="5" a="1"/>
  <c r="M207" i="5" a="1"/>
  <c r="L207" i="5" a="1"/>
  <c r="F207" i="5" a="1"/>
  <c r="I207" i="5" a="1"/>
  <c r="J207" i="5" a="1"/>
  <c r="P202" i="5" a="1"/>
  <c r="N202" i="5" a="1"/>
  <c r="M202" i="5" a="1"/>
  <c r="L202" i="5" a="1"/>
  <c r="K202" i="5" a="1"/>
  <c r="O202" i="5" a="1"/>
  <c r="I202" i="5" a="1"/>
  <c r="P222" i="5" a="1"/>
  <c r="H222" i="5" a="1"/>
  <c r="G222" i="5" a="1"/>
  <c r="K222" i="5" a="1"/>
  <c r="N222" i="5" a="1"/>
  <c r="M222" i="5" a="1"/>
  <c r="L222" i="5" a="1"/>
  <c r="O222" i="5" a="1"/>
  <c r="F222" i="5" a="1"/>
  <c r="I222" i="5" a="1"/>
  <c r="P212" i="5" a="1"/>
  <c r="M212" i="5" a="1"/>
  <c r="O212" i="5" a="1"/>
  <c r="N212" i="5" a="1"/>
  <c r="H212" i="5" a="1"/>
  <c r="K212" i="5" a="1"/>
  <c r="L212" i="5" a="1"/>
  <c r="G212" i="5" a="1"/>
  <c r="F212" i="5" a="1"/>
  <c r="I212" i="5" a="1"/>
  <c r="P217" i="5" a="1"/>
  <c r="I217" i="5" a="1"/>
  <c r="M217" i="5" a="1"/>
  <c r="G217" i="5" a="1"/>
  <c r="L217" i="5" a="1"/>
  <c r="O217" i="5" a="1"/>
  <c r="K217" i="5" a="1"/>
  <c r="N217" i="5" a="1"/>
  <c r="H217" i="5" a="1"/>
  <c r="F217" i="5" a="1"/>
  <c r="F14" i="5" l="1" a="1"/>
  <c r="F14" i="5" s="1"/>
  <c r="F192" i="5" l="1"/>
  <c r="F52" i="5"/>
  <c r="F40" i="5"/>
  <c r="F46" i="5"/>
  <c r="F16" i="5"/>
  <c r="F28" i="5"/>
  <c r="P14" i="5"/>
  <c r="F22" i="5"/>
  <c r="F34" i="5"/>
  <c r="P52" i="5" l="1"/>
  <c r="Q52" i="5" s="1"/>
  <c r="F237" i="5"/>
  <c r="Q14" i="5"/>
  <c r="P192" i="5"/>
  <c r="Q192" i="5" s="1"/>
  <c r="P46" i="5"/>
  <c r="Q46" i="5" s="1"/>
  <c r="F208" i="5"/>
  <c r="P40" i="5"/>
  <c r="Q40" i="5" s="1"/>
  <c r="F198" i="5"/>
  <c r="P34" i="5"/>
  <c r="Q34" i="5" s="1"/>
  <c r="F223" i="5"/>
  <c r="P28" i="5"/>
  <c r="Q28" i="5" s="1"/>
  <c r="F213" i="5"/>
  <c r="F218" i="5"/>
  <c r="P22" i="5"/>
  <c r="Q22" i="5" s="1"/>
  <c r="F203" i="5"/>
  <c r="P16" i="5"/>
  <c r="Q16" i="5" s="1"/>
  <c r="P237" i="5" l="1"/>
  <c r="F241" i="5" s="1"/>
  <c r="P223" i="5"/>
  <c r="F21" i="8"/>
  <c r="P218" i="5"/>
  <c r="F19" i="8"/>
  <c r="F244" i="5"/>
  <c r="P198" i="5"/>
  <c r="F11" i="8"/>
  <c r="P208" i="5"/>
  <c r="F15" i="8"/>
  <c r="P213" i="5"/>
  <c r="F217" i="5" s="1"/>
  <c r="F17" i="8"/>
  <c r="F13" i="8"/>
  <c r="P203" i="5"/>
  <c r="I241" i="5" l="1"/>
  <c r="Q237" i="5"/>
  <c r="N241" i="5"/>
  <c r="H241" i="5"/>
  <c r="L241" i="5"/>
  <c r="J241" i="5"/>
  <c r="P241" i="5"/>
  <c r="M241" i="5"/>
  <c r="G241" i="5"/>
  <c r="K241" i="5"/>
  <c r="O241" i="5"/>
  <c r="F227" i="5"/>
  <c r="P13" i="7"/>
  <c r="P38" i="7"/>
  <c r="V38" i="7" s="1"/>
  <c r="N38" i="7" s="1"/>
  <c r="W38" i="7" s="1"/>
  <c r="F222" i="5"/>
  <c r="P32" i="7"/>
  <c r="V32" i="7" s="1"/>
  <c r="N32" i="7" s="1"/>
  <c r="W32" i="7" s="1" a="1"/>
  <c r="W32" i="7" s="1"/>
  <c r="P25" i="7"/>
  <c r="V25" i="7" s="1"/>
  <c r="P15" i="8"/>
  <c r="F16" i="8" s="1"/>
  <c r="F39" i="8"/>
  <c r="O202" i="5"/>
  <c r="K202" i="5"/>
  <c r="M202" i="5"/>
  <c r="L202" i="5"/>
  <c r="Q198" i="5"/>
  <c r="I202" i="5"/>
  <c r="J202" i="5"/>
  <c r="N202" i="5"/>
  <c r="P202" i="5"/>
  <c r="P244" i="5"/>
  <c r="F245" i="5" s="1"/>
  <c r="G202" i="5"/>
  <c r="H202" i="5"/>
  <c r="J207" i="5"/>
  <c r="O207" i="5"/>
  <c r="K207" i="5"/>
  <c r="L207" i="5"/>
  <c r="N207" i="5"/>
  <c r="P207" i="5"/>
  <c r="I207" i="5"/>
  <c r="Q203" i="5"/>
  <c r="M207" i="5"/>
  <c r="G207" i="5"/>
  <c r="H207" i="5"/>
  <c r="K212" i="5"/>
  <c r="J212" i="5"/>
  <c r="P212" i="5"/>
  <c r="O212" i="5"/>
  <c r="H212" i="5"/>
  <c r="Q208" i="5"/>
  <c r="N212" i="5"/>
  <c r="G212" i="5"/>
  <c r="I212" i="5"/>
  <c r="L212" i="5"/>
  <c r="M212" i="5"/>
  <c r="P17" i="8"/>
  <c r="F42" i="8"/>
  <c r="P13" i="8"/>
  <c r="F14" i="8" s="1"/>
  <c r="F36" i="8"/>
  <c r="G217" i="5"/>
  <c r="J217" i="5"/>
  <c r="K217" i="5"/>
  <c r="P217" i="5"/>
  <c r="N217" i="5"/>
  <c r="I217" i="5"/>
  <c r="H217" i="5"/>
  <c r="Q213" i="5"/>
  <c r="O217" i="5"/>
  <c r="L217" i="5"/>
  <c r="M217" i="5"/>
  <c r="P11" i="8"/>
  <c r="F12" i="8" s="1"/>
  <c r="F33" i="8"/>
  <c r="P19" i="8"/>
  <c r="F45" i="8"/>
  <c r="F26" i="8"/>
  <c r="P21" i="8"/>
  <c r="F48" i="8"/>
  <c r="F207" i="5"/>
  <c r="F212" i="5"/>
  <c r="F202" i="5"/>
  <c r="G222" i="5"/>
  <c r="N222" i="5"/>
  <c r="Q218" i="5"/>
  <c r="J222" i="5"/>
  <c r="K222" i="5"/>
  <c r="P222" i="5"/>
  <c r="M222" i="5"/>
  <c r="H222" i="5"/>
  <c r="L222" i="5"/>
  <c r="I222" i="5"/>
  <c r="O222" i="5"/>
  <c r="O227" i="5"/>
  <c r="Q223" i="5"/>
  <c r="K227" i="5"/>
  <c r="P227" i="5"/>
  <c r="G227" i="5"/>
  <c r="N227" i="5"/>
  <c r="J227" i="5"/>
  <c r="H227" i="5"/>
  <c r="I227" i="5"/>
  <c r="M227" i="5"/>
  <c r="L227" i="5"/>
  <c r="N25" i="7" l="1"/>
  <c r="W25" i="7" s="1"/>
  <c r="V13" i="7"/>
  <c r="N13" i="7" s="1"/>
  <c r="W13" i="7" s="1"/>
  <c r="P58" i="7"/>
  <c r="F46" i="8"/>
  <c r="P46" i="8" s="1"/>
  <c r="P45" i="8"/>
  <c r="O18" i="8"/>
  <c r="M18" i="8"/>
  <c r="H18" i="8"/>
  <c r="I18" i="8"/>
  <c r="J18" i="8"/>
  <c r="P18" i="8"/>
  <c r="K18" i="8"/>
  <c r="N18" i="8"/>
  <c r="L18" i="8"/>
  <c r="Q17" i="8"/>
  <c r="G18" i="8"/>
  <c r="M22" i="8"/>
  <c r="H22" i="8"/>
  <c r="J22" i="8"/>
  <c r="O22" i="8"/>
  <c r="G22" i="8"/>
  <c r="N22" i="8"/>
  <c r="P26" i="8"/>
  <c r="I22" i="8"/>
  <c r="Q21" i="8"/>
  <c r="K22" i="8"/>
  <c r="P22" i="8"/>
  <c r="L22" i="8"/>
  <c r="F18" i="8"/>
  <c r="P39" i="8"/>
  <c r="F40" i="8"/>
  <c r="P40" i="8" s="1"/>
  <c r="P33" i="8"/>
  <c r="F54" i="8"/>
  <c r="F34" i="8"/>
  <c r="K14" i="8"/>
  <c r="H14" i="8"/>
  <c r="G14" i="8"/>
  <c r="P14" i="8"/>
  <c r="I14" i="8"/>
  <c r="N14" i="8"/>
  <c r="M14" i="8"/>
  <c r="Q13" i="8"/>
  <c r="J14" i="8"/>
  <c r="O14" i="8"/>
  <c r="L14" i="8"/>
  <c r="P48" i="8"/>
  <c r="F49" i="8"/>
  <c r="P49" i="8" s="1"/>
  <c r="H20" i="8"/>
  <c r="M20" i="8"/>
  <c r="G20" i="8"/>
  <c r="Q19" i="8"/>
  <c r="N20" i="8"/>
  <c r="I20" i="8"/>
  <c r="P20" i="8"/>
  <c r="L20" i="8"/>
  <c r="O20" i="8"/>
  <c r="K20" i="8"/>
  <c r="J20" i="8"/>
  <c r="F37" i="8"/>
  <c r="P37" i="8" s="1"/>
  <c r="P36" i="8"/>
  <c r="F22" i="8"/>
  <c r="F20" i="8"/>
  <c r="Q11" i="8"/>
  <c r="I12" i="8"/>
  <c r="P12" i="8"/>
  <c r="M12" i="8"/>
  <c r="H12" i="8"/>
  <c r="O12" i="8"/>
  <c r="K12" i="8"/>
  <c r="N12" i="8"/>
  <c r="J12" i="8"/>
  <c r="L12" i="8"/>
  <c r="G12" i="8"/>
  <c r="F43" i="8"/>
  <c r="P43" i="8" s="1"/>
  <c r="P42" i="8"/>
  <c r="O245" i="5"/>
  <c r="K245" i="5"/>
  <c r="G245" i="5"/>
  <c r="Q244" i="5"/>
  <c r="H245" i="5"/>
  <c r="M245" i="5"/>
  <c r="L245" i="5"/>
  <c r="J245" i="5"/>
  <c r="I245" i="5"/>
  <c r="P245" i="5"/>
  <c r="N245" i="5"/>
  <c r="L16" i="8"/>
  <c r="P16" i="8"/>
  <c r="I16" i="8"/>
  <c r="J16" i="8"/>
  <c r="M16" i="8"/>
  <c r="Q15" i="8"/>
  <c r="N16" i="8"/>
  <c r="O16" i="8"/>
  <c r="G16" i="8"/>
  <c r="H16" i="8"/>
  <c r="K16" i="8"/>
  <c r="V58" i="7" l="1"/>
  <c r="F55" i="8"/>
  <c r="P34" i="8"/>
  <c r="K27" i="8"/>
  <c r="H27" i="8"/>
  <c r="L27" i="8"/>
  <c r="M27" i="8"/>
  <c r="N27" i="8"/>
  <c r="G27" i="8"/>
  <c r="P27" i="8"/>
  <c r="J27" i="8"/>
  <c r="O27" i="8"/>
  <c r="I27" i="8"/>
  <c r="F27" i="8"/>
  <c r="R59" i="7" l="1"/>
  <c r="E58" i="8" s="1"/>
  <c r="T59" i="7"/>
  <c r="E59" i="8" s="1"/>
  <c r="D79" i="7"/>
  <c r="D85" i="7" s="1"/>
  <c r="D95" i="7" s="1"/>
  <c r="V59" i="7"/>
  <c r="U59" i="7"/>
  <c r="J75" i="7"/>
  <c r="R73" i="7"/>
  <c r="R75" i="7" s="1"/>
  <c r="P59" i="7"/>
  <c r="E57" i="8" s="1"/>
  <c r="R83" i="7" l="1"/>
  <c r="T75" i="7"/>
  <c r="L75" i="7"/>
  <c r="J79" i="7"/>
  <c r="T83" i="7" l="1"/>
  <c r="R89" i="7"/>
  <c r="L79" i="7"/>
  <c r="J87" i="7"/>
  <c r="J93" i="7" l="1"/>
  <c r="L93" i="7" s="1"/>
  <c r="L87" i="7"/>
  <c r="T89" i="7"/>
  <c r="R99" i="7"/>
  <c r="T99" i="7" s="1"/>
</calcChain>
</file>

<file path=xl/connections.xml><?xml version="1.0" encoding="utf-8"?>
<connections xmlns="http://schemas.openxmlformats.org/spreadsheetml/2006/main">
  <connection id="1" odcFile="C:\Users\MARCIO\Documents\Minhas fontes de dados\(padrão) GM_CONV_NOTAS_ENTRADA.odc" keepAlive="1" name="(padrão) GM_CONV_NOTAS_ENTRADA" type="5" refreshedVersion="5" onlyUseConnectionFile="1" background="1" saveData="1">
    <dbPr connection="Provider=MSDAORA.1;User ID=agricola;Data Source=192.168.4.3/agricola" command="&quot;AGRICOLA&quot;.&quot;GM_CONV_NOTAS_ENTRADA&quot;" commandType="3"/>
  </connection>
  <connection id="2" odcFile="C:\Users\Masutti\Documents\Minhas fontes de dados\GM_PEDIDOS_2017_FIM.odc" keepAlive="1" name="(padrão) GM_PEDIDOS_2017_FIM" type="5" refreshedVersion="4" onlyUseConnectionFile="1" background="1" saveData="1">
    <dbPr connection="Provider=OraOLEDB.Oracle.1;Persist Security Info=True;User ID=agricola;Data Source=192.168.4.3/agricola;Extended Properties=&quot;&quot;" command="&quot;AGRICOLA&quot;.&quot;GM_PEDIDOS_2017_FIM&quot;" commandType="3"/>
  </connection>
</connections>
</file>

<file path=xl/sharedStrings.xml><?xml version="1.0" encoding="utf-8"?>
<sst xmlns="http://schemas.openxmlformats.org/spreadsheetml/2006/main" count="31751" uniqueCount="7818">
  <si>
    <t>SEQ_PLA_PEDIDO</t>
  </si>
  <si>
    <t>NR_CONTROLE</t>
  </si>
  <si>
    <t>MOEDA</t>
  </si>
  <si>
    <t>FILIAL</t>
  </si>
  <si>
    <t>COD_TIPO_LCTO</t>
  </si>
  <si>
    <t>DESC_TIPO_LCTO</t>
  </si>
  <si>
    <t>TIPO_GRUPO</t>
  </si>
  <si>
    <t>PEDIDO</t>
  </si>
  <si>
    <t>DTPEDIDO</t>
  </si>
  <si>
    <t>VL_PEDIDO_COMPRA</t>
  </si>
  <si>
    <t>IND</t>
  </si>
  <si>
    <t>VALOR_PAGAR</t>
  </si>
  <si>
    <t>VALOR_PAGO_REAL</t>
  </si>
  <si>
    <t>FATURADO</t>
  </si>
  <si>
    <t>PAGO</t>
  </si>
  <si>
    <t>1028824701</t>
  </si>
  <si>
    <t>US$</t>
  </si>
  <si>
    <t>06-FAZENDA CAPIVARA</t>
  </si>
  <si>
    <t xml:space="preserve">  2</t>
  </si>
  <si>
    <t>COMPRA INSUMOS E DEFENSIVOS ESTOQUE - AGRIC</t>
  </si>
  <si>
    <t>DEFENSIVOS</t>
  </si>
  <si>
    <t>300022803</t>
  </si>
  <si>
    <t xml:space="preserve"> </t>
  </si>
  <si>
    <t>1047119501</t>
  </si>
  <si>
    <t>01-FAZENDA SAUDADES</t>
  </si>
  <si>
    <t>9052021</t>
  </si>
  <si>
    <t xml:space="preserve"> 993042601</t>
  </si>
  <si>
    <t>R$</t>
  </si>
  <si>
    <t>13-FAZENDA TRIUNFO</t>
  </si>
  <si>
    <t>CALCARIO</t>
  </si>
  <si>
    <t>2016/10</t>
  </si>
  <si>
    <t>S</t>
  </si>
  <si>
    <t>1028819001</t>
  </si>
  <si>
    <t>04-FAZENDA PANTANAL</t>
  </si>
  <si>
    <t>300022941</t>
  </si>
  <si>
    <t xml:space="preserve"> 997190901</t>
  </si>
  <si>
    <t>02-FAZENDA JK</t>
  </si>
  <si>
    <t>FERTILIZANTES</t>
  </si>
  <si>
    <t>2592363</t>
  </si>
  <si>
    <t>1047134701</t>
  </si>
  <si>
    <t>9022028</t>
  </si>
  <si>
    <t xml:space="preserve"> 981257701</t>
  </si>
  <si>
    <t>SEMENTE</t>
  </si>
  <si>
    <t>10938510</t>
  </si>
  <si>
    <t>1015607301</t>
  </si>
  <si>
    <t>88</t>
  </si>
  <si>
    <t>1042455201</t>
  </si>
  <si>
    <t>011111111</t>
  </si>
  <si>
    <t>1035297201</t>
  </si>
  <si>
    <t xml:space="preserve">07-CONF MASUTTI </t>
  </si>
  <si>
    <t xml:space="preserve">  8</t>
  </si>
  <si>
    <t>COMPRA INSUMOS P/ BOVINOCULTURA</t>
  </si>
  <si>
    <t>OUTROS</t>
  </si>
  <si>
    <t>3577/78</t>
  </si>
  <si>
    <t>1003435201</t>
  </si>
  <si>
    <t>03-FAZENDA JAQUELINE</t>
  </si>
  <si>
    <t>28001</t>
  </si>
  <si>
    <t>1047125501</t>
  </si>
  <si>
    <t>9022023</t>
  </si>
  <si>
    <t>1042400801</t>
  </si>
  <si>
    <t>05- FAZENDA VENTANIA</t>
  </si>
  <si>
    <t>01111</t>
  </si>
  <si>
    <t xml:space="preserve"> 868715301</t>
  </si>
  <si>
    <t>10825456</t>
  </si>
  <si>
    <t>1042383201</t>
  </si>
  <si>
    <t>011</t>
  </si>
  <si>
    <t>1003423101</t>
  </si>
  <si>
    <t>27998</t>
  </si>
  <si>
    <t>1046506601</t>
  </si>
  <si>
    <t>865</t>
  </si>
  <si>
    <t>1055941001</t>
  </si>
  <si>
    <t>SEM 01</t>
  </si>
  <si>
    <t>1055948801</t>
  </si>
  <si>
    <t>SEM 02</t>
  </si>
  <si>
    <t xml:space="preserve"> 949186801</t>
  </si>
  <si>
    <t>697227111</t>
  </si>
  <si>
    <t>1045616801</t>
  </si>
  <si>
    <t>825443465</t>
  </si>
  <si>
    <t xml:space="preserve"> 957880301</t>
  </si>
  <si>
    <t>1786042</t>
  </si>
  <si>
    <t>1006163601</t>
  </si>
  <si>
    <t>16678</t>
  </si>
  <si>
    <t>1028806001</t>
  </si>
  <si>
    <t>300022802</t>
  </si>
  <si>
    <t>1016086401</t>
  </si>
  <si>
    <t>169085</t>
  </si>
  <si>
    <t xml:space="preserve"> 961844101</t>
  </si>
  <si>
    <t>697240874</t>
  </si>
  <si>
    <t>1047504301</t>
  </si>
  <si>
    <t>562500636</t>
  </si>
  <si>
    <t xml:space="preserve"> 997191601</t>
  </si>
  <si>
    <t>2592369</t>
  </si>
  <si>
    <t>1028800201</t>
  </si>
  <si>
    <t>300022793</t>
  </si>
  <si>
    <t>1047502701</t>
  </si>
  <si>
    <t>562500635</t>
  </si>
  <si>
    <t xml:space="preserve"> 868726201</t>
  </si>
  <si>
    <t>10827104</t>
  </si>
  <si>
    <t xml:space="preserve"> 949185501</t>
  </si>
  <si>
    <t>697227114</t>
  </si>
  <si>
    <t xml:space="preserve"> 961811701</t>
  </si>
  <si>
    <t>697227527</t>
  </si>
  <si>
    <t>1046470801</t>
  </si>
  <si>
    <t>3621/22</t>
  </si>
  <si>
    <t xml:space="preserve"> 914308701</t>
  </si>
  <si>
    <t>2582482</t>
  </si>
  <si>
    <t>1042409701</t>
  </si>
  <si>
    <t>011111</t>
  </si>
  <si>
    <t xml:space="preserve"> 994075201</t>
  </si>
  <si>
    <t>2016/11</t>
  </si>
  <si>
    <t>1047499401</t>
  </si>
  <si>
    <t>68717</t>
  </si>
  <si>
    <t>1003432001</t>
  </si>
  <si>
    <t>28000</t>
  </si>
  <si>
    <t>1038592201</t>
  </si>
  <si>
    <t>1820002</t>
  </si>
  <si>
    <t>1055967801</t>
  </si>
  <si>
    <t>SEM 05</t>
  </si>
  <si>
    <t xml:space="preserve"> 909918501</t>
  </si>
  <si>
    <t>697223843</t>
  </si>
  <si>
    <t>1047138401</t>
  </si>
  <si>
    <t>9072040</t>
  </si>
  <si>
    <t>1054838601</t>
  </si>
  <si>
    <t>1825538</t>
  </si>
  <si>
    <t>1055982801</t>
  </si>
  <si>
    <t>SEM 08</t>
  </si>
  <si>
    <t>1046318501</t>
  </si>
  <si>
    <t>825443478</t>
  </si>
  <si>
    <t xml:space="preserve"> 906179801</t>
  </si>
  <si>
    <t>2583154</t>
  </si>
  <si>
    <t>1047137601</t>
  </si>
  <si>
    <t>14-FAZENDA PARAISO</t>
  </si>
  <si>
    <t>9072039</t>
  </si>
  <si>
    <t>1042451801</t>
  </si>
  <si>
    <t>01111111</t>
  </si>
  <si>
    <t>1055956301</t>
  </si>
  <si>
    <t>SEM 03</t>
  </si>
  <si>
    <t xml:space="preserve"> 947490401</t>
  </si>
  <si>
    <t>697226088</t>
  </si>
  <si>
    <t>1003439001</t>
  </si>
  <si>
    <t>28002</t>
  </si>
  <si>
    <t xml:space="preserve"> 961839301</t>
  </si>
  <si>
    <t>697227526</t>
  </si>
  <si>
    <t>1042293001</t>
  </si>
  <si>
    <t>01</t>
  </si>
  <si>
    <t>1003426301</t>
  </si>
  <si>
    <t>27999</t>
  </si>
  <si>
    <t xml:space="preserve"> 914314401</t>
  </si>
  <si>
    <t>2582476</t>
  </si>
  <si>
    <t xml:space="preserve"> 906179401</t>
  </si>
  <si>
    <t>2583285</t>
  </si>
  <si>
    <t xml:space="preserve"> 970220601</t>
  </si>
  <si>
    <t>2587620</t>
  </si>
  <si>
    <t>1022286001</t>
  </si>
  <si>
    <t xml:space="preserve"> 99</t>
  </si>
  <si>
    <t>SERVIÇOS MECANICOS / ELETRICOS</t>
  </si>
  <si>
    <t>MANUT</t>
  </si>
  <si>
    <t>1016858301</t>
  </si>
  <si>
    <t xml:space="preserve">  1</t>
  </si>
  <si>
    <t>COMPRA DE PECAS DE REPOSIÇÃO</t>
  </si>
  <si>
    <t>1011973701</t>
  </si>
  <si>
    <t>10953847</t>
  </si>
  <si>
    <t>1047491801</t>
  </si>
  <si>
    <t>68548</t>
  </si>
  <si>
    <t>1016881801</t>
  </si>
  <si>
    <t>7739</t>
  </si>
  <si>
    <t>1045615701</t>
  </si>
  <si>
    <t>8254434711</t>
  </si>
  <si>
    <t>1045617501</t>
  </si>
  <si>
    <t>825443475</t>
  </si>
  <si>
    <t>1005049401</t>
  </si>
  <si>
    <t>2593518</t>
  </si>
  <si>
    <t>1047124501</t>
  </si>
  <si>
    <t>9022022</t>
  </si>
  <si>
    <t>1047412601</t>
  </si>
  <si>
    <t xml:space="preserve"> 949186401</t>
  </si>
  <si>
    <t>697227110</t>
  </si>
  <si>
    <t>1055962501</t>
  </si>
  <si>
    <t>SEM 04</t>
  </si>
  <si>
    <t xml:space="preserve"> 868705001</t>
  </si>
  <si>
    <t>10825455</t>
  </si>
  <si>
    <t xml:space="preserve"> 868709801</t>
  </si>
  <si>
    <t>10826799</t>
  </si>
  <si>
    <t xml:space="preserve"> 949185901</t>
  </si>
  <si>
    <t>697227109</t>
  </si>
  <si>
    <t>1046475101</t>
  </si>
  <si>
    <t>100085</t>
  </si>
  <si>
    <t>1016886901</t>
  </si>
  <si>
    <t>7740</t>
  </si>
  <si>
    <t xml:space="preserve"> 961917501</t>
  </si>
  <si>
    <t>697240875</t>
  </si>
  <si>
    <t xml:space="preserve"> 961905001</t>
  </si>
  <si>
    <t>697240876</t>
  </si>
  <si>
    <t>1055976701</t>
  </si>
  <si>
    <t>SEM 06</t>
  </si>
  <si>
    <t xml:space="preserve"> 961826801</t>
  </si>
  <si>
    <t>697227813</t>
  </si>
  <si>
    <t xml:space="preserve"> 997192601</t>
  </si>
  <si>
    <t>2592180</t>
  </si>
  <si>
    <t xml:space="preserve"> 961853701</t>
  </si>
  <si>
    <t>697240877</t>
  </si>
  <si>
    <t xml:space="preserve"> 951942901</t>
  </si>
  <si>
    <t>1785183</t>
  </si>
  <si>
    <t xml:space="preserve"> 994085301</t>
  </si>
  <si>
    <t>2016/12</t>
  </si>
  <si>
    <t>1045492201</t>
  </si>
  <si>
    <t>825443471</t>
  </si>
  <si>
    <t>1006432801</t>
  </si>
  <si>
    <t>6027</t>
  </si>
  <si>
    <t>1017142601</t>
  </si>
  <si>
    <t>39274</t>
  </si>
  <si>
    <t>CONSUMO</t>
  </si>
  <si>
    <t xml:space="preserve"> 868708301</t>
  </si>
  <si>
    <t>10826794</t>
  </si>
  <si>
    <t xml:space="preserve"> 949187701</t>
  </si>
  <si>
    <t>697227113</t>
  </si>
  <si>
    <t>1046392101</t>
  </si>
  <si>
    <t>76860</t>
  </si>
  <si>
    <t xml:space="preserve"> 909895701</t>
  </si>
  <si>
    <t>697223837</t>
  </si>
  <si>
    <t xml:space="preserve"> 937517501</t>
  </si>
  <si>
    <t>1777781</t>
  </si>
  <si>
    <t>1042384701</t>
  </si>
  <si>
    <t>0111</t>
  </si>
  <si>
    <t xml:space="preserve"> 906179001</t>
  </si>
  <si>
    <t>2583286</t>
  </si>
  <si>
    <t xml:space="preserve"> 957880701</t>
  </si>
  <si>
    <t>1786044</t>
  </si>
  <si>
    <t>1028821101</t>
  </si>
  <si>
    <t>300022795</t>
  </si>
  <si>
    <t>1028817101</t>
  </si>
  <si>
    <t>300022805</t>
  </si>
  <si>
    <t>1055981301</t>
  </si>
  <si>
    <t>SEM 07</t>
  </si>
  <si>
    <t>1047131101</t>
  </si>
  <si>
    <t>9022025</t>
  </si>
  <si>
    <t xml:space="preserve"> 947502701</t>
  </si>
  <si>
    <t>697226089</t>
  </si>
  <si>
    <t xml:space="preserve"> 961831801</t>
  </si>
  <si>
    <t>697227521</t>
  </si>
  <si>
    <t>1028902401</t>
  </si>
  <si>
    <t>300022798</t>
  </si>
  <si>
    <t>1028814401</t>
  </si>
  <si>
    <t>300022807</t>
  </si>
  <si>
    <t>1042413301</t>
  </si>
  <si>
    <t>0111111</t>
  </si>
  <si>
    <t xml:space="preserve"> 868741301</t>
  </si>
  <si>
    <t>10827104B</t>
  </si>
  <si>
    <t>1047128901</t>
  </si>
  <si>
    <t>9022024</t>
  </si>
  <si>
    <t>1017138501</t>
  </si>
  <si>
    <t>7741</t>
  </si>
  <si>
    <t>1047500501</t>
  </si>
  <si>
    <t>562800627</t>
  </si>
  <si>
    <t xml:space="preserve"> 997192201</t>
  </si>
  <si>
    <t>2592182</t>
  </si>
  <si>
    <t xml:space="preserve"> 961820501</t>
  </si>
  <si>
    <t>697227524</t>
  </si>
  <si>
    <t xml:space="preserve"> 949187201</t>
  </si>
  <si>
    <t>697227112</t>
  </si>
  <si>
    <t>1040990601</t>
  </si>
  <si>
    <t>697240530</t>
  </si>
  <si>
    <t>1040814301</t>
  </si>
  <si>
    <t>3598/99</t>
  </si>
  <si>
    <t xml:space="preserve"> 961857201</t>
  </si>
  <si>
    <t>697240878</t>
  </si>
  <si>
    <t xml:space="preserve"> 951939701</t>
  </si>
  <si>
    <t>1785172/77</t>
  </si>
  <si>
    <t xml:space="preserve"> 947531901</t>
  </si>
  <si>
    <t>697226087</t>
  </si>
  <si>
    <t xml:space="preserve"> 951925701</t>
  </si>
  <si>
    <t>10908568</t>
  </si>
  <si>
    <t xml:space="preserve"> 951948201</t>
  </si>
  <si>
    <t>1785132</t>
  </si>
  <si>
    <t>NOME_CLIENTE</t>
  </si>
  <si>
    <t>SIGLA_MOEDA</t>
  </si>
  <si>
    <t>IPIRANGA PRODUTOS DE PETROLEO SA</t>
  </si>
  <si>
    <t>-</t>
  </si>
  <si>
    <t>NORTOX S.A</t>
  </si>
  <si>
    <t xml:space="preserve"> 516969301</t>
  </si>
  <si>
    <t>SILVANA LOPES DOMINGUES MARSON ME</t>
  </si>
  <si>
    <t xml:space="preserve"> 537476401</t>
  </si>
  <si>
    <t>HIPER MERCADO GOTARDO LTDA</t>
  </si>
  <si>
    <t>MINAS FERRO COMERCIO DE FERRO E ACO LTDA</t>
  </si>
  <si>
    <t xml:space="preserve">AGRO AMAZONIA SOLUCOES INTEGRADAS LTDA </t>
  </si>
  <si>
    <t>SS COMERCIO DE PECAS E SERVICOS LTDA - ME</t>
  </si>
  <si>
    <t>03</t>
  </si>
  <si>
    <t>CAMBERG PECAS AGRICOLAS LTDA ME</t>
  </si>
  <si>
    <t>S.R. PECAS AGRICOLAS LTDA</t>
  </si>
  <si>
    <t xml:space="preserve">OTI BRASIL TRANSPORTES LTDA </t>
  </si>
  <si>
    <t>RCL DO AMARAL &amp; CIA LTDA</t>
  </si>
  <si>
    <t>EMPRESA UNIAO CASCAVEL DE TRANSP. E TURISMO LTDA</t>
  </si>
  <si>
    <t>GUIMAG GUIMARAES MAQUINAS AGRICOLAS LTDA</t>
  </si>
  <si>
    <t>OXIGENIO CUIABA LTDA</t>
  </si>
  <si>
    <t>MAXI CASE MAQUINAS LTDA</t>
  </si>
  <si>
    <t>CASTOLDI COMERCIO DERIVADOS PETROLEO LTDA</t>
  </si>
  <si>
    <t>AMARILDO A DE MATOS &amp; CIA LTDA EPP</t>
  </si>
  <si>
    <t>02</t>
  </si>
  <si>
    <t xml:space="preserve">GERCADI TRANSPORTES RODOVIARIOS LTDA </t>
  </si>
  <si>
    <t>AMAZON COM. DE MANGUEIRAS E FILTROS LTDA ME</t>
  </si>
  <si>
    <t>PEDRO DE OLIVEIRA-ME</t>
  </si>
  <si>
    <t>SYNGENTA PROTECAO DE CULTIVOS LTDA</t>
  </si>
  <si>
    <t xml:space="preserve"> 610579201</t>
  </si>
  <si>
    <t>DOW AGROSCIENCES INDUSTRIAL LTDA</t>
  </si>
  <si>
    <t>RAPIDO TRANSPAULO LTDA</t>
  </si>
  <si>
    <t>ELIANA LAZARECK EICH ME</t>
  </si>
  <si>
    <t>CARVALIMA TRANSPORTES LTDA</t>
  </si>
  <si>
    <t>PAULO SERGIO FRANÇA-ME</t>
  </si>
  <si>
    <t xml:space="preserve"> 616923801</t>
  </si>
  <si>
    <t>YARA BRASIL FERTILIZANTES S.A</t>
  </si>
  <si>
    <t xml:space="preserve"> 631711801</t>
  </si>
  <si>
    <t>BAYER S/A</t>
  </si>
  <si>
    <t xml:space="preserve"> 630890901</t>
  </si>
  <si>
    <t>AGRO SUL PRODUTOS AGROPECUARIOS</t>
  </si>
  <si>
    <t>ROMANI COMERCIO DE MATERIAIS PARA CONSTRUÇÃO LTDA</t>
  </si>
  <si>
    <t>BEZ BATTI E MACHADO LTDA</t>
  </si>
  <si>
    <t>J.A.GARBIM &amp; CIA LTDA</t>
  </si>
  <si>
    <t xml:space="preserve"> 664593101</t>
  </si>
  <si>
    <t>ARYSTA LIFESCIENCE DO BRASIL IND.QUIM.E AGROP.LTDA</t>
  </si>
  <si>
    <t>FERRAGENS NEGRAO COMERCIO LTDA</t>
  </si>
  <si>
    <t xml:space="preserve">SOTREQ S.A </t>
  </si>
  <si>
    <t>04</t>
  </si>
  <si>
    <t>COMBUSTIVEL</t>
  </si>
  <si>
    <t>AUTO SUECO BRASIL CONCESSIONARIA DE VEICULOS LTDA</t>
  </si>
  <si>
    <t xml:space="preserve"> 689622901</t>
  </si>
  <si>
    <t>NEURI E. ZANATTA</t>
  </si>
  <si>
    <t>ROTTA TRANSPORTES RODOVIARIOS LTDA - EPP</t>
  </si>
  <si>
    <t>SAPEZAL TRANSPORTE RODOVIARIO LTDA - ME</t>
  </si>
  <si>
    <t>H C MOLAS E SERVICOS PARA VEICULOS LTDA ME</t>
  </si>
  <si>
    <t>NISSEY MAQUINAS AGRICOLAS LTDA</t>
  </si>
  <si>
    <t>FERTILIZANTE</t>
  </si>
  <si>
    <t>MOSAIC FERTILIZANTES DO BRASIL LTDA</t>
  </si>
  <si>
    <t xml:space="preserve"> 896474701</t>
  </si>
  <si>
    <t>36372</t>
  </si>
  <si>
    <t>IMPORCATE COM. DE PECAS P/ TRATORES LTDA</t>
  </si>
  <si>
    <t>38709</t>
  </si>
  <si>
    <t>FRETE</t>
  </si>
  <si>
    <t xml:space="preserve"> 522125801</t>
  </si>
  <si>
    <t>IHARABRAS S.A</t>
  </si>
  <si>
    <t xml:space="preserve"> 577618501</t>
  </si>
  <si>
    <t>1407</t>
  </si>
  <si>
    <t>15411</t>
  </si>
  <si>
    <t xml:space="preserve"> 635497501</t>
  </si>
  <si>
    <t xml:space="preserve"> 656269801</t>
  </si>
  <si>
    <t>WALCAR TRANSPORTE RODOVIARIO LTDA</t>
  </si>
  <si>
    <t xml:space="preserve"> 672823301</t>
  </si>
  <si>
    <t>40834</t>
  </si>
  <si>
    <t>42846</t>
  </si>
  <si>
    <t>32111</t>
  </si>
  <si>
    <t>2038</t>
  </si>
  <si>
    <t xml:space="preserve"> 790357701</t>
  </si>
  <si>
    <t xml:space="preserve"> 780878401</t>
  </si>
  <si>
    <t>P697206145</t>
  </si>
  <si>
    <t xml:space="preserve"> 831870501</t>
  </si>
  <si>
    <t xml:space="preserve"> 869535201</t>
  </si>
  <si>
    <t>MARINGA COM. DE MOLAS, PECAS E ARTEFATOS LTDA - EP</t>
  </si>
  <si>
    <t>12927</t>
  </si>
  <si>
    <t>30740</t>
  </si>
  <si>
    <t>37245</t>
  </si>
  <si>
    <t>32836</t>
  </si>
  <si>
    <t xml:space="preserve"> 516958401</t>
  </si>
  <si>
    <t xml:space="preserve"> 516972201</t>
  </si>
  <si>
    <t xml:space="preserve"> 554992901</t>
  </si>
  <si>
    <t xml:space="preserve"> 577858401</t>
  </si>
  <si>
    <t>BOASAFRA COMERCIO E REPRESENTACOES LTDA</t>
  </si>
  <si>
    <t xml:space="preserve"> 610551601</t>
  </si>
  <si>
    <t xml:space="preserve"> 610552701</t>
  </si>
  <si>
    <t xml:space="preserve"> 610581701</t>
  </si>
  <si>
    <t>AMAGGI EXPORTACAO E IMPORTACAO LTDA</t>
  </si>
  <si>
    <t xml:space="preserve"> 596693601</t>
  </si>
  <si>
    <t>FMC QUIMICA DO BRASIL LTDA</t>
  </si>
  <si>
    <t xml:space="preserve"> 684171001</t>
  </si>
  <si>
    <t xml:space="preserve"> 676348701</t>
  </si>
  <si>
    <t>G.MENEGAZ CIA LTDA</t>
  </si>
  <si>
    <t xml:space="preserve"> 865361201</t>
  </si>
  <si>
    <t>47946</t>
  </si>
  <si>
    <t>47998</t>
  </si>
  <si>
    <t xml:space="preserve"> 883230501</t>
  </si>
  <si>
    <t>AGRO AMAZONIA PRODUTOS AGROPECUARIOS LTDA</t>
  </si>
  <si>
    <t xml:space="preserve"> 921657801</t>
  </si>
  <si>
    <t>30742</t>
  </si>
  <si>
    <t xml:space="preserve"> 981257301</t>
  </si>
  <si>
    <t xml:space="preserve"> 454485201</t>
  </si>
  <si>
    <t xml:space="preserve"> 517204001</t>
  </si>
  <si>
    <t xml:space="preserve"> 529452101</t>
  </si>
  <si>
    <t xml:space="preserve"> 645773601</t>
  </si>
  <si>
    <t>40826</t>
  </si>
  <si>
    <t xml:space="preserve"> 802174101</t>
  </si>
  <si>
    <t>L. ROSSI &amp; CIA LTDA</t>
  </si>
  <si>
    <t>MENEGAZ E CIA LTDA</t>
  </si>
  <si>
    <t xml:space="preserve"> 886600001</t>
  </si>
  <si>
    <t>FUCK DISTR. DE AUTO PECAS LTDA</t>
  </si>
  <si>
    <t>2059</t>
  </si>
  <si>
    <t>3420</t>
  </si>
  <si>
    <t xml:space="preserve">CCAB AGRO S.A. </t>
  </si>
  <si>
    <t>59755</t>
  </si>
  <si>
    <t>ALIMENTOS MASSON LTDA</t>
  </si>
  <si>
    <t>57067069</t>
  </si>
  <si>
    <t xml:space="preserve"> 574347301</t>
  </si>
  <si>
    <t xml:space="preserve"> 582455501</t>
  </si>
  <si>
    <t xml:space="preserve"> 574484601</t>
  </si>
  <si>
    <t xml:space="preserve"> 582454501</t>
  </si>
  <si>
    <t>CHEMINOVA BRASIL LTDA</t>
  </si>
  <si>
    <t xml:space="preserve"> 620617301</t>
  </si>
  <si>
    <t xml:space="preserve"> 686680201</t>
  </si>
  <si>
    <t xml:space="preserve"> 675665601</t>
  </si>
  <si>
    <t>OURO FINO QUIMICA LTDA.</t>
  </si>
  <si>
    <t xml:space="preserve"> 684150601</t>
  </si>
  <si>
    <t xml:space="preserve"> 780674501</t>
  </si>
  <si>
    <t xml:space="preserve">AGRO INDUSTRIAL SAO LUIZ LTDA </t>
  </si>
  <si>
    <t xml:space="preserve"> 874463401</t>
  </si>
  <si>
    <t>8348</t>
  </si>
  <si>
    <t xml:space="preserve"> 505584001</t>
  </si>
  <si>
    <t xml:space="preserve"> 604498201</t>
  </si>
  <si>
    <t xml:space="preserve"> 610586701</t>
  </si>
  <si>
    <t xml:space="preserve"> 634506801</t>
  </si>
  <si>
    <t>22142</t>
  </si>
  <si>
    <t xml:space="preserve"> 657172601</t>
  </si>
  <si>
    <t xml:space="preserve"> 684149501</t>
  </si>
  <si>
    <t>47828</t>
  </si>
  <si>
    <t>38496</t>
  </si>
  <si>
    <t>TREVO COMBUSTIVEIS E LUBRIFICANTES</t>
  </si>
  <si>
    <t xml:space="preserve"> 572799901</t>
  </si>
  <si>
    <t xml:space="preserve"> 600344101</t>
  </si>
  <si>
    <t>21831</t>
  </si>
  <si>
    <t xml:space="preserve"> 628416001</t>
  </si>
  <si>
    <t xml:space="preserve"> 634508901</t>
  </si>
  <si>
    <t>1622</t>
  </si>
  <si>
    <t xml:space="preserve"> 790361501</t>
  </si>
  <si>
    <t xml:space="preserve"> 707981501</t>
  </si>
  <si>
    <t>48107</t>
  </si>
  <si>
    <t xml:space="preserve"> 945059801</t>
  </si>
  <si>
    <t>51915</t>
  </si>
  <si>
    <t xml:space="preserve"> 529456201</t>
  </si>
  <si>
    <t xml:space="preserve"> 542614201</t>
  </si>
  <si>
    <t xml:space="preserve"> 536951001</t>
  </si>
  <si>
    <t xml:space="preserve"> 574348301</t>
  </si>
  <si>
    <t xml:space="preserve"> 684149901</t>
  </si>
  <si>
    <t>32112</t>
  </si>
  <si>
    <t xml:space="preserve"> 790333501</t>
  </si>
  <si>
    <t>1713</t>
  </si>
  <si>
    <t>GUERRA - REPRESENTACOES E COMERCIO DE PRODUTOS AGR</t>
  </si>
  <si>
    <t>12928</t>
  </si>
  <si>
    <t>54073</t>
  </si>
  <si>
    <t>38292</t>
  </si>
  <si>
    <t xml:space="preserve"> 604495101</t>
  </si>
  <si>
    <t>50280</t>
  </si>
  <si>
    <t>VANZIN INDUSTRIA E COMERCIO DE FERRO E ACO LTDA</t>
  </si>
  <si>
    <t>05</t>
  </si>
  <si>
    <t xml:space="preserve"> 631712201</t>
  </si>
  <si>
    <t>DISTRIBUIDORA DE GAS RIBEIRO LTDA</t>
  </si>
  <si>
    <t xml:space="preserve"> 517494201</t>
  </si>
  <si>
    <t>JOSE MARIA LOPES - EPP</t>
  </si>
  <si>
    <t>M A TRANSPORTES EIRELI - ME</t>
  </si>
  <si>
    <t xml:space="preserve"> 675665201</t>
  </si>
  <si>
    <t>10</t>
  </si>
  <si>
    <t xml:space="preserve"> 781850301</t>
  </si>
  <si>
    <t xml:space="preserve"> 886601001</t>
  </si>
  <si>
    <t>1</t>
  </si>
  <si>
    <t>2611</t>
  </si>
  <si>
    <t xml:space="preserve"> 856360101</t>
  </si>
  <si>
    <t>P697206150</t>
  </si>
  <si>
    <t xml:space="preserve"> 831909501</t>
  </si>
  <si>
    <t xml:space="preserve"> 635645201</t>
  </si>
  <si>
    <t xml:space="preserve"> 516976401</t>
  </si>
  <si>
    <t>10419</t>
  </si>
  <si>
    <t>PEMAZA S/A</t>
  </si>
  <si>
    <t xml:space="preserve"> 708000001</t>
  </si>
  <si>
    <t xml:space="preserve"> 604499301</t>
  </si>
  <si>
    <t xml:space="preserve"> 529452801</t>
  </si>
  <si>
    <t xml:space="preserve"> 522129501</t>
  </si>
  <si>
    <t xml:space="preserve"> 516977001</t>
  </si>
  <si>
    <t xml:space="preserve"> 890180601</t>
  </si>
  <si>
    <t xml:space="preserve"> 874526801</t>
  </si>
  <si>
    <t xml:space="preserve"> 780970801</t>
  </si>
  <si>
    <t>TRATORDICO COMERCIO E REPRESENTACOES LTDA</t>
  </si>
  <si>
    <t>28</t>
  </si>
  <si>
    <t>MARIANO DISTRIBUIDORA DE LUBRIFICANTES LTDA</t>
  </si>
  <si>
    <t>BRITO &amp; KORB LTDA EPP</t>
  </si>
  <si>
    <t xml:space="preserve">COIMBRA IMPORTACAO E EXP. LTDA </t>
  </si>
  <si>
    <t xml:space="preserve">CANDEIAS AUTO POSTO LTDA </t>
  </si>
  <si>
    <t>CASA DAS BATERIAS LTDA EPP</t>
  </si>
  <si>
    <t xml:space="preserve"> 635645901</t>
  </si>
  <si>
    <t xml:space="preserve"> 517493801</t>
  </si>
  <si>
    <t xml:space="preserve"> 780973301</t>
  </si>
  <si>
    <t xml:space="preserve"> 675662401</t>
  </si>
  <si>
    <t>10414</t>
  </si>
  <si>
    <t>RODOTEC TRANSPORTES E LOGISTICA LTDA EPP</t>
  </si>
  <si>
    <t xml:space="preserve"> 874528401</t>
  </si>
  <si>
    <t xml:space="preserve"> 879589501</t>
  </si>
  <si>
    <t>APEDIA COMERCIO E REPRESENTACOES LTDA</t>
  </si>
  <si>
    <t xml:space="preserve"> 781852801</t>
  </si>
  <si>
    <t xml:space="preserve"> 604497001</t>
  </si>
  <si>
    <t>902</t>
  </si>
  <si>
    <t xml:space="preserve">AUTO ELETRICA RAVANI LTDA - EPP </t>
  </si>
  <si>
    <t xml:space="preserve"> 886624701</t>
  </si>
  <si>
    <t xml:space="preserve"> 778081801</t>
  </si>
  <si>
    <t xml:space="preserve"> 516978301</t>
  </si>
  <si>
    <t>3162</t>
  </si>
  <si>
    <t xml:space="preserve"> 708022601</t>
  </si>
  <si>
    <t>3089</t>
  </si>
  <si>
    <t>3132</t>
  </si>
  <si>
    <t xml:space="preserve"> 604516501</t>
  </si>
  <si>
    <t>009</t>
  </si>
  <si>
    <t>3424</t>
  </si>
  <si>
    <t>939</t>
  </si>
  <si>
    <t>3263</t>
  </si>
  <si>
    <t>FABRICIO MENDES DE OLIVEIRA</t>
  </si>
  <si>
    <t xml:space="preserve"> 516977801</t>
  </si>
  <si>
    <t>1011</t>
  </si>
  <si>
    <t>P697206226</t>
  </si>
  <si>
    <t xml:space="preserve"> 831914401</t>
  </si>
  <si>
    <t xml:space="preserve"> 856315001</t>
  </si>
  <si>
    <t>4677</t>
  </si>
  <si>
    <t>7453</t>
  </si>
  <si>
    <t>3101</t>
  </si>
  <si>
    <t>530</t>
  </si>
  <si>
    <t xml:space="preserve"> 522130501</t>
  </si>
  <si>
    <t xml:space="preserve"> 529454701</t>
  </si>
  <si>
    <t xml:space="preserve">C.M.F. DA SILVA &amp; CIA LTDA </t>
  </si>
  <si>
    <t>COMERCIO DE COMBUSTIVEIS CAMPANHOLLI</t>
  </si>
  <si>
    <t>AUTO PECAS FRONTEIRA AGRICOLA</t>
  </si>
  <si>
    <t xml:space="preserve">R &amp; E GONCALVES LTDA - ME </t>
  </si>
  <si>
    <t xml:space="preserve"> 780980601</t>
  </si>
  <si>
    <t xml:space="preserve"> 516981801</t>
  </si>
  <si>
    <t>62870</t>
  </si>
  <si>
    <t>3219</t>
  </si>
  <si>
    <t xml:space="preserve"> 708205701</t>
  </si>
  <si>
    <t xml:space="preserve"> 529455201</t>
  </si>
  <si>
    <t>697223711</t>
  </si>
  <si>
    <t xml:space="preserve"> 928329001</t>
  </si>
  <si>
    <t xml:space="preserve"> 781854001</t>
  </si>
  <si>
    <t xml:space="preserve"> 522138501</t>
  </si>
  <si>
    <t xml:space="preserve"> 635654601</t>
  </si>
  <si>
    <t xml:space="preserve"> 604500601</t>
  </si>
  <si>
    <t xml:space="preserve"> 516981101</t>
  </si>
  <si>
    <t xml:space="preserve"> 517492601</t>
  </si>
  <si>
    <t xml:space="preserve"> 778084401</t>
  </si>
  <si>
    <t xml:space="preserve"> 605874801</t>
  </si>
  <si>
    <t xml:space="preserve"> 522134901</t>
  </si>
  <si>
    <t xml:space="preserve"> 783330901</t>
  </si>
  <si>
    <t>12</t>
  </si>
  <si>
    <t xml:space="preserve"> 604497801</t>
  </si>
  <si>
    <t xml:space="preserve"> 886625501</t>
  </si>
  <si>
    <t>13</t>
  </si>
  <si>
    <t>CENTRAL AGRICOLA LTDA -EPP</t>
  </si>
  <si>
    <t xml:space="preserve"> 516980101</t>
  </si>
  <si>
    <t xml:space="preserve"> 529454201</t>
  </si>
  <si>
    <t xml:space="preserve"> 517493401</t>
  </si>
  <si>
    <t>26</t>
  </si>
  <si>
    <t xml:space="preserve"> 577673901</t>
  </si>
  <si>
    <t xml:space="preserve"> 516980601</t>
  </si>
  <si>
    <t xml:space="preserve"> 635648601</t>
  </si>
  <si>
    <t>P697206225</t>
  </si>
  <si>
    <t xml:space="preserve"> 831917301</t>
  </si>
  <si>
    <t xml:space="preserve"> 708178401</t>
  </si>
  <si>
    <t xml:space="preserve"> 604513201</t>
  </si>
  <si>
    <t xml:space="preserve"> 783205501</t>
  </si>
  <si>
    <t xml:space="preserve"> 529455701</t>
  </si>
  <si>
    <t>P697206149</t>
  </si>
  <si>
    <t xml:space="preserve"> 831919301</t>
  </si>
  <si>
    <t xml:space="preserve"> 708185601</t>
  </si>
  <si>
    <t xml:space="preserve"> 783334801</t>
  </si>
  <si>
    <t xml:space="preserve"> 529102801</t>
  </si>
  <si>
    <t xml:space="preserve"> 516978801</t>
  </si>
  <si>
    <t xml:space="preserve"> 517493001</t>
  </si>
  <si>
    <t>73</t>
  </si>
  <si>
    <t xml:space="preserve"> 783197101</t>
  </si>
  <si>
    <t xml:space="preserve"> 635649901</t>
  </si>
  <si>
    <t xml:space="preserve"> 604501001</t>
  </si>
  <si>
    <t xml:space="preserve"> 516979401</t>
  </si>
  <si>
    <t xml:space="preserve"> 675664401</t>
  </si>
  <si>
    <t>80</t>
  </si>
  <si>
    <t>13478</t>
  </si>
  <si>
    <t>1818</t>
  </si>
  <si>
    <t>6</t>
  </si>
  <si>
    <t>13427</t>
  </si>
  <si>
    <t>40</t>
  </si>
  <si>
    <t>1439</t>
  </si>
  <si>
    <t>1389</t>
  </si>
  <si>
    <t>3252</t>
  </si>
  <si>
    <t>3254</t>
  </si>
  <si>
    <t>323</t>
  </si>
  <si>
    <t>3244</t>
  </si>
  <si>
    <t>1126</t>
  </si>
  <si>
    <t>1369</t>
  </si>
  <si>
    <t>35</t>
  </si>
  <si>
    <t>1582</t>
  </si>
  <si>
    <t>109</t>
  </si>
  <si>
    <t>124</t>
  </si>
  <si>
    <t>4701</t>
  </si>
  <si>
    <t>3248</t>
  </si>
  <si>
    <t>5</t>
  </si>
  <si>
    <t>6263</t>
  </si>
  <si>
    <t>3250</t>
  </si>
  <si>
    <t>340</t>
  </si>
  <si>
    <t>47</t>
  </si>
  <si>
    <t>1359</t>
  </si>
  <si>
    <t>1403</t>
  </si>
  <si>
    <t>3246</t>
  </si>
  <si>
    <t>FREITAS &amp; CIA LTDA</t>
  </si>
  <si>
    <t xml:space="preserve"> 886625101</t>
  </si>
  <si>
    <t>P697206146</t>
  </si>
  <si>
    <t xml:space="preserve"> 831924801</t>
  </si>
  <si>
    <t xml:space="preserve"> 856360901</t>
  </si>
  <si>
    <t>PVH PARAFUSOS E FERRAGENS LTDA - EPP</t>
  </si>
  <si>
    <t xml:space="preserve"> 708224501</t>
  </si>
  <si>
    <t xml:space="preserve"> 659025901</t>
  </si>
  <si>
    <t xml:space="preserve"> 529102101</t>
  </si>
  <si>
    <t>37020</t>
  </si>
  <si>
    <t xml:space="preserve"> 675661801</t>
  </si>
  <si>
    <t xml:space="preserve"> 635661901</t>
  </si>
  <si>
    <t xml:space="preserve"> 516982901</t>
  </si>
  <si>
    <t xml:space="preserve"> 529453601</t>
  </si>
  <si>
    <t xml:space="preserve"> 898459801</t>
  </si>
  <si>
    <t xml:space="preserve"> 883240701</t>
  </si>
  <si>
    <t xml:space="preserve"> 783198401</t>
  </si>
  <si>
    <t>411</t>
  </si>
  <si>
    <t xml:space="preserve"> 517492201</t>
  </si>
  <si>
    <t xml:space="preserve"> 516982401</t>
  </si>
  <si>
    <t xml:space="preserve"> 897057501</t>
  </si>
  <si>
    <t>104776</t>
  </si>
  <si>
    <t xml:space="preserve"> 849141601</t>
  </si>
  <si>
    <t xml:space="preserve"> 783337301</t>
  </si>
  <si>
    <t xml:space="preserve"> 537476001</t>
  </si>
  <si>
    <t xml:space="preserve"> 604529801</t>
  </si>
  <si>
    <t xml:space="preserve"> 635666201</t>
  </si>
  <si>
    <t xml:space="preserve"> 604561201</t>
  </si>
  <si>
    <t xml:space="preserve"> 783202701</t>
  </si>
  <si>
    <t xml:space="preserve"> 783325601</t>
  </si>
  <si>
    <t>P697206147</t>
  </si>
  <si>
    <t xml:space="preserve"> 831919901</t>
  </si>
  <si>
    <t xml:space="preserve"> 708215701</t>
  </si>
  <si>
    <t>NR_PEDIDO</t>
  </si>
  <si>
    <t>DATA_EMISSAO</t>
  </si>
  <si>
    <t>DATA_ENTRADA</t>
  </si>
  <si>
    <t>NR_DOCUMENTO</t>
  </si>
  <si>
    <t>VALOR</t>
  </si>
  <si>
    <t>VALOR_NF</t>
  </si>
  <si>
    <t>VALOR_DOLAR</t>
  </si>
  <si>
    <t xml:space="preserve">  41966301</t>
  </si>
  <si>
    <t>5500082996</t>
  </si>
  <si>
    <t>DU PONT DO BRASIL S.A</t>
  </si>
  <si>
    <t>558</t>
  </si>
  <si>
    <t>624</t>
  </si>
  <si>
    <t xml:space="preserve">  41452401</t>
  </si>
  <si>
    <t>5500082999</t>
  </si>
  <si>
    <t>640</t>
  </si>
  <si>
    <t xml:space="preserve">  41844101</t>
  </si>
  <si>
    <t>5500082998</t>
  </si>
  <si>
    <t>1272</t>
  </si>
  <si>
    <t xml:space="preserve">  49501301</t>
  </si>
  <si>
    <t>2301484</t>
  </si>
  <si>
    <t>34525</t>
  </si>
  <si>
    <t xml:space="preserve">  41967301</t>
  </si>
  <si>
    <t>12060-11</t>
  </si>
  <si>
    <t>23115</t>
  </si>
  <si>
    <t xml:space="preserve">  81769802</t>
  </si>
  <si>
    <t>16872</t>
  </si>
  <si>
    <t xml:space="preserve">  76208202</t>
  </si>
  <si>
    <t>CHEREMETA E NOBRE LTDA ME</t>
  </si>
  <si>
    <t>259</t>
  </si>
  <si>
    <t>23936</t>
  </si>
  <si>
    <t xml:space="preserve">  67695501</t>
  </si>
  <si>
    <t>143701</t>
  </si>
  <si>
    <t>STOLLER DO BRASIL LTDA</t>
  </si>
  <si>
    <t>20758</t>
  </si>
  <si>
    <t>23202</t>
  </si>
  <si>
    <t xml:space="preserve">  68396901</t>
  </si>
  <si>
    <t>16426</t>
  </si>
  <si>
    <t xml:space="preserve">  75181401</t>
  </si>
  <si>
    <t>5088</t>
  </si>
  <si>
    <t xml:space="preserve">  41975301</t>
  </si>
  <si>
    <t>57016833</t>
  </si>
  <si>
    <t>15013</t>
  </si>
  <si>
    <t>TARGET LOGISTICS EIRELI</t>
  </si>
  <si>
    <t>3719</t>
  </si>
  <si>
    <t xml:space="preserve">  78256501</t>
  </si>
  <si>
    <t>2308255</t>
  </si>
  <si>
    <t>37360</t>
  </si>
  <si>
    <t>37341</t>
  </si>
  <si>
    <t xml:space="preserve">  78255801</t>
  </si>
  <si>
    <t>2307979</t>
  </si>
  <si>
    <t>37122</t>
  </si>
  <si>
    <t xml:space="preserve">  88199301</t>
  </si>
  <si>
    <t>1426394</t>
  </si>
  <si>
    <t>112400</t>
  </si>
  <si>
    <t xml:space="preserve">  85586801</t>
  </si>
  <si>
    <t>35552</t>
  </si>
  <si>
    <t>BUNGE FERTILIZANTES S.A</t>
  </si>
  <si>
    <t>39884</t>
  </si>
  <si>
    <t xml:space="preserve">  85728101</t>
  </si>
  <si>
    <t>86717</t>
  </si>
  <si>
    <t>5376</t>
  </si>
  <si>
    <t>37450</t>
  </si>
  <si>
    <t>37367</t>
  </si>
  <si>
    <t xml:space="preserve">  88198901</t>
  </si>
  <si>
    <t>1426379</t>
  </si>
  <si>
    <t>112417</t>
  </si>
  <si>
    <t>112284</t>
  </si>
  <si>
    <t xml:space="preserve">  41849901</t>
  </si>
  <si>
    <t>403</t>
  </si>
  <si>
    <t>8258</t>
  </si>
  <si>
    <t>37566</t>
  </si>
  <si>
    <t xml:space="preserve">  85588501</t>
  </si>
  <si>
    <t>35555</t>
  </si>
  <si>
    <t>39612</t>
  </si>
  <si>
    <t>112393</t>
  </si>
  <si>
    <t>37380</t>
  </si>
  <si>
    <t xml:space="preserve">  37805301</t>
  </si>
  <si>
    <t>905869</t>
  </si>
  <si>
    <t>27827</t>
  </si>
  <si>
    <t>112409</t>
  </si>
  <si>
    <t xml:space="preserve">  85584101</t>
  </si>
  <si>
    <t>35549</t>
  </si>
  <si>
    <t>40498</t>
  </si>
  <si>
    <t>33710</t>
  </si>
  <si>
    <t xml:space="preserve"> 107508701</t>
  </si>
  <si>
    <t>1437352</t>
  </si>
  <si>
    <t>31596</t>
  </si>
  <si>
    <t xml:space="preserve"> 110509101</t>
  </si>
  <si>
    <t>35672</t>
  </si>
  <si>
    <t>15346</t>
  </si>
  <si>
    <t>42123</t>
  </si>
  <si>
    <t xml:space="preserve">  93482201</t>
  </si>
  <si>
    <t>87702</t>
  </si>
  <si>
    <t>5787</t>
  </si>
  <si>
    <t xml:space="preserve">  85583301</t>
  </si>
  <si>
    <t>35547</t>
  </si>
  <si>
    <t>41718</t>
  </si>
  <si>
    <t>41605</t>
  </si>
  <si>
    <t xml:space="preserve">  85583701</t>
  </si>
  <si>
    <t>35548</t>
  </si>
  <si>
    <t>15432</t>
  </si>
  <si>
    <t>15412</t>
  </si>
  <si>
    <t>42054</t>
  </si>
  <si>
    <t xml:space="preserve">  85588001</t>
  </si>
  <si>
    <t>35554</t>
  </si>
  <si>
    <t>15380</t>
  </si>
  <si>
    <t>41959</t>
  </si>
  <si>
    <t>47999</t>
  </si>
  <si>
    <t>47840</t>
  </si>
  <si>
    <t>48047</t>
  </si>
  <si>
    <t>47797</t>
  </si>
  <si>
    <t>48159</t>
  </si>
  <si>
    <t>48097</t>
  </si>
  <si>
    <t>70072</t>
  </si>
  <si>
    <t>47368</t>
  </si>
  <si>
    <t xml:space="preserve"> 155969401</t>
  </si>
  <si>
    <t>1450743</t>
  </si>
  <si>
    <t>39784</t>
  </si>
  <si>
    <t xml:space="preserve">  95753101</t>
  </si>
  <si>
    <t>35501</t>
  </si>
  <si>
    <t>49246</t>
  </si>
  <si>
    <t>49478</t>
  </si>
  <si>
    <t>49457</t>
  </si>
  <si>
    <t>49537</t>
  </si>
  <si>
    <t>49581</t>
  </si>
  <si>
    <t>49806</t>
  </si>
  <si>
    <t xml:space="preserve"> 110509801</t>
  </si>
  <si>
    <t>35671</t>
  </si>
  <si>
    <t>48332</t>
  </si>
  <si>
    <t>48609</t>
  </si>
  <si>
    <t>48611</t>
  </si>
  <si>
    <t>49314</t>
  </si>
  <si>
    <t>49293</t>
  </si>
  <si>
    <t>49847</t>
  </si>
  <si>
    <t>49262</t>
  </si>
  <si>
    <t>50339</t>
  </si>
  <si>
    <t>50368</t>
  </si>
  <si>
    <t xml:space="preserve"> 127869701</t>
  </si>
  <si>
    <t>2471596</t>
  </si>
  <si>
    <t>47995</t>
  </si>
  <si>
    <t>50298</t>
  </si>
  <si>
    <t xml:space="preserve"> 127898101</t>
  </si>
  <si>
    <t>031</t>
  </si>
  <si>
    <t>22774</t>
  </si>
  <si>
    <t>22783</t>
  </si>
  <si>
    <t>39783</t>
  </si>
  <si>
    <t xml:space="preserve"> 127866901</t>
  </si>
  <si>
    <t>47501</t>
  </si>
  <si>
    <t>22769</t>
  </si>
  <si>
    <t>22807</t>
  </si>
  <si>
    <t xml:space="preserve"> 163459801</t>
  </si>
  <si>
    <t>905995</t>
  </si>
  <si>
    <t>15522</t>
  </si>
  <si>
    <t xml:space="preserve"> 127867801</t>
  </si>
  <si>
    <t xml:space="preserve"> 181947201</t>
  </si>
  <si>
    <t>1464082</t>
  </si>
  <si>
    <t>22147</t>
  </si>
  <si>
    <t xml:space="preserve"> 156451201</t>
  </si>
  <si>
    <t>33</t>
  </si>
  <si>
    <t>22761</t>
  </si>
  <si>
    <t xml:space="preserve"> 140592401</t>
  </si>
  <si>
    <t>1445275</t>
  </si>
  <si>
    <t>40452</t>
  </si>
  <si>
    <t xml:space="preserve"> 140591901</t>
  </si>
  <si>
    <t>1444688</t>
  </si>
  <si>
    <t>22050</t>
  </si>
  <si>
    <t xml:space="preserve"> 156095801</t>
  </si>
  <si>
    <t>56323-12</t>
  </si>
  <si>
    <t>30741</t>
  </si>
  <si>
    <t>33840</t>
  </si>
  <si>
    <t>30677</t>
  </si>
  <si>
    <t xml:space="preserve"> 127871401</t>
  </si>
  <si>
    <t>2474629</t>
  </si>
  <si>
    <t>72262</t>
  </si>
  <si>
    <t xml:space="preserve"> 169285001</t>
  </si>
  <si>
    <t xml:space="preserve"> 127875801</t>
  </si>
  <si>
    <t>2471600</t>
  </si>
  <si>
    <t>29840</t>
  </si>
  <si>
    <t xml:space="preserve"> 151985201</t>
  </si>
  <si>
    <t>2474610</t>
  </si>
  <si>
    <t>49096</t>
  </si>
  <si>
    <t xml:space="preserve"> 192273401</t>
  </si>
  <si>
    <t>4062</t>
  </si>
  <si>
    <t>10615</t>
  </si>
  <si>
    <t xml:space="preserve"> 160777401</t>
  </si>
  <si>
    <t>56320-12</t>
  </si>
  <si>
    <t>38410</t>
  </si>
  <si>
    <t>38422</t>
  </si>
  <si>
    <t xml:space="preserve"> 228998301</t>
  </si>
  <si>
    <t>2485564</t>
  </si>
  <si>
    <t>53042</t>
  </si>
  <si>
    <t>53045</t>
  </si>
  <si>
    <t xml:space="preserve"> 223048201</t>
  </si>
  <si>
    <t>2485117</t>
  </si>
  <si>
    <t>52300</t>
  </si>
  <si>
    <t xml:space="preserve"> 226411001</t>
  </si>
  <si>
    <t>155426</t>
  </si>
  <si>
    <t>35648</t>
  </si>
  <si>
    <t>53067</t>
  </si>
  <si>
    <t xml:space="preserve"> 168191001</t>
  </si>
  <si>
    <t>7067</t>
  </si>
  <si>
    <t>53230</t>
  </si>
  <si>
    <t xml:space="preserve"> 222238601</t>
  </si>
  <si>
    <t>2484924</t>
  </si>
  <si>
    <t>53449</t>
  </si>
  <si>
    <t xml:space="preserve"> 222230301</t>
  </si>
  <si>
    <t>2484921</t>
  </si>
  <si>
    <t>52067</t>
  </si>
  <si>
    <t xml:space="preserve"> 224200901</t>
  </si>
  <si>
    <t>1475363</t>
  </si>
  <si>
    <t>23671</t>
  </si>
  <si>
    <t>52119</t>
  </si>
  <si>
    <t>53038</t>
  </si>
  <si>
    <t>52156</t>
  </si>
  <si>
    <t>53194</t>
  </si>
  <si>
    <t xml:space="preserve"> 229011101</t>
  </si>
  <si>
    <t>2485565</t>
  </si>
  <si>
    <t>38112</t>
  </si>
  <si>
    <t>38290</t>
  </si>
  <si>
    <t xml:space="preserve"> 222240001</t>
  </si>
  <si>
    <t>2484926</t>
  </si>
  <si>
    <t>38444</t>
  </si>
  <si>
    <t>38336</t>
  </si>
  <si>
    <t xml:space="preserve"> 228988801</t>
  </si>
  <si>
    <t>2485563</t>
  </si>
  <si>
    <t>38392</t>
  </si>
  <si>
    <t>38406</t>
  </si>
  <si>
    <t>38230</t>
  </si>
  <si>
    <t>38448</t>
  </si>
  <si>
    <t>6983</t>
  </si>
  <si>
    <t>55377</t>
  </si>
  <si>
    <t>55419</t>
  </si>
  <si>
    <t xml:space="preserve"> 256298801</t>
  </si>
  <si>
    <t>1141857</t>
  </si>
  <si>
    <t>7169</t>
  </si>
  <si>
    <t>55589</t>
  </si>
  <si>
    <t xml:space="preserve"> 264318801</t>
  </si>
  <si>
    <t>2489624</t>
  </si>
  <si>
    <t>12259</t>
  </si>
  <si>
    <t xml:space="preserve"> 291902601</t>
  </si>
  <si>
    <t>1494066</t>
  </si>
  <si>
    <t>27651</t>
  </si>
  <si>
    <t xml:space="preserve"> 298868201</t>
  </si>
  <si>
    <t>1496503</t>
  </si>
  <si>
    <t>141010</t>
  </si>
  <si>
    <t>140328</t>
  </si>
  <si>
    <t>140277</t>
  </si>
  <si>
    <t>140691</t>
  </si>
  <si>
    <t>140873</t>
  </si>
  <si>
    <t>140736</t>
  </si>
  <si>
    <t>141557</t>
  </si>
  <si>
    <t>141565</t>
  </si>
  <si>
    <t xml:space="preserve"> 268460201</t>
  </si>
  <si>
    <t>80663</t>
  </si>
  <si>
    <t>ADM DO BRASIL LTDA</t>
  </si>
  <si>
    <t>160631</t>
  </si>
  <si>
    <t>161067</t>
  </si>
  <si>
    <t>161050</t>
  </si>
  <si>
    <t>160331</t>
  </si>
  <si>
    <t>160323</t>
  </si>
  <si>
    <t xml:space="preserve"> 329075501</t>
  </si>
  <si>
    <t>059</t>
  </si>
  <si>
    <t>34544</t>
  </si>
  <si>
    <t xml:space="preserve"> 332032401</t>
  </si>
  <si>
    <t>81129</t>
  </si>
  <si>
    <t>165728</t>
  </si>
  <si>
    <t>165311</t>
  </si>
  <si>
    <t>160493</t>
  </si>
  <si>
    <t xml:space="preserve"> 332033101</t>
  </si>
  <si>
    <t>81144</t>
  </si>
  <si>
    <t>92738</t>
  </si>
  <si>
    <t xml:space="preserve"> 332036101</t>
  </si>
  <si>
    <t>81146</t>
  </si>
  <si>
    <t>92388</t>
  </si>
  <si>
    <t xml:space="preserve"> 267628801</t>
  </si>
  <si>
    <t>80664</t>
  </si>
  <si>
    <t>163713</t>
  </si>
  <si>
    <t xml:space="preserve"> 282799301</t>
  </si>
  <si>
    <t>2938</t>
  </si>
  <si>
    <t xml:space="preserve">AGROCAT DISTRIBUIDORA DE INSUMOS AGRIC </t>
  </si>
  <si>
    <t>4529</t>
  </si>
  <si>
    <t>163676</t>
  </si>
  <si>
    <t>163803</t>
  </si>
  <si>
    <t>164571</t>
  </si>
  <si>
    <t xml:space="preserve"> 329069801</t>
  </si>
  <si>
    <t>057</t>
  </si>
  <si>
    <t>35156</t>
  </si>
  <si>
    <t>164630</t>
  </si>
  <si>
    <t xml:space="preserve"> 347869101</t>
  </si>
  <si>
    <t>84941</t>
  </si>
  <si>
    <t>167241</t>
  </si>
  <si>
    <t xml:space="preserve"> 351993501</t>
  </si>
  <si>
    <t>9051163</t>
  </si>
  <si>
    <t>19077</t>
  </si>
  <si>
    <t>167289</t>
  </si>
  <si>
    <t xml:space="preserve"> 350684001</t>
  </si>
  <si>
    <t>24091</t>
  </si>
  <si>
    <t>13873</t>
  </si>
  <si>
    <t>164742</t>
  </si>
  <si>
    <t>165098</t>
  </si>
  <si>
    <t>166548</t>
  </si>
  <si>
    <t xml:space="preserve"> 351997201</t>
  </si>
  <si>
    <t>9051167</t>
  </si>
  <si>
    <t>54868</t>
  </si>
  <si>
    <t xml:space="preserve"> 356666101</t>
  </si>
  <si>
    <t>392-334</t>
  </si>
  <si>
    <t>10004</t>
  </si>
  <si>
    <t xml:space="preserve"> 369438601</t>
  </si>
  <si>
    <t>1163090A1</t>
  </si>
  <si>
    <t>17557</t>
  </si>
  <si>
    <t xml:space="preserve"> 356476501</t>
  </si>
  <si>
    <t>1162185</t>
  </si>
  <si>
    <t>46989</t>
  </si>
  <si>
    <t xml:space="preserve"> 358591601</t>
  </si>
  <si>
    <t>1163090A</t>
  </si>
  <si>
    <t>48109</t>
  </si>
  <si>
    <t>165502</t>
  </si>
  <si>
    <t xml:space="preserve"> 346643501</t>
  </si>
  <si>
    <t>1510572</t>
  </si>
  <si>
    <t>35146</t>
  </si>
  <si>
    <t>168696</t>
  </si>
  <si>
    <t>168860</t>
  </si>
  <si>
    <t xml:space="preserve"> 357526001</t>
  </si>
  <si>
    <t>10224</t>
  </si>
  <si>
    <t>45768</t>
  </si>
  <si>
    <t xml:space="preserve"> 395152601</t>
  </si>
  <si>
    <t>422-334</t>
  </si>
  <si>
    <t>10921</t>
  </si>
  <si>
    <t xml:space="preserve"> 351993301</t>
  </si>
  <si>
    <t>9051162</t>
  </si>
  <si>
    <t>60436</t>
  </si>
  <si>
    <t xml:space="preserve"> 378274401</t>
  </si>
  <si>
    <t>1165529</t>
  </si>
  <si>
    <t>50971</t>
  </si>
  <si>
    <t xml:space="preserve"> 380011601</t>
  </si>
  <si>
    <t>1165630</t>
  </si>
  <si>
    <t>51603</t>
  </si>
  <si>
    <t>51454</t>
  </si>
  <si>
    <t>51142</t>
  </si>
  <si>
    <t xml:space="preserve"> 378105201</t>
  </si>
  <si>
    <t>1165528</t>
  </si>
  <si>
    <t>51829</t>
  </si>
  <si>
    <t>171814</t>
  </si>
  <si>
    <t xml:space="preserve"> 400912201</t>
  </si>
  <si>
    <t>1518595</t>
  </si>
  <si>
    <t>39980</t>
  </si>
  <si>
    <t xml:space="preserve"> 400878501</t>
  </si>
  <si>
    <t>89577</t>
  </si>
  <si>
    <t>176074</t>
  </si>
  <si>
    <t xml:space="preserve"> 400877201</t>
  </si>
  <si>
    <t>89574</t>
  </si>
  <si>
    <t>175532</t>
  </si>
  <si>
    <t>176285</t>
  </si>
  <si>
    <t xml:space="preserve"> 400882901</t>
  </si>
  <si>
    <t>89576</t>
  </si>
  <si>
    <t>175357</t>
  </si>
  <si>
    <t xml:space="preserve"> 413683501</t>
  </si>
  <si>
    <t>1541416</t>
  </si>
  <si>
    <t>39972</t>
  </si>
  <si>
    <t>39988</t>
  </si>
  <si>
    <t xml:space="preserve"> 400878001</t>
  </si>
  <si>
    <t>89573</t>
  </si>
  <si>
    <t>174666</t>
  </si>
  <si>
    <t>39006</t>
  </si>
  <si>
    <t>39133</t>
  </si>
  <si>
    <t>38874</t>
  </si>
  <si>
    <t>38852</t>
  </si>
  <si>
    <t>174727</t>
  </si>
  <si>
    <t>174704</t>
  </si>
  <si>
    <t xml:space="preserve"> 375823401</t>
  </si>
  <si>
    <t>2302</t>
  </si>
  <si>
    <t>UNISOJA SA</t>
  </si>
  <si>
    <t>1654</t>
  </si>
  <si>
    <t xml:space="preserve"> 400896601</t>
  </si>
  <si>
    <t>89571</t>
  </si>
  <si>
    <t>99913</t>
  </si>
  <si>
    <t xml:space="preserve"> 410411101</t>
  </si>
  <si>
    <t>2513169</t>
  </si>
  <si>
    <t>57678</t>
  </si>
  <si>
    <t>39004</t>
  </si>
  <si>
    <t>57677</t>
  </si>
  <si>
    <t>57693</t>
  </si>
  <si>
    <t xml:space="preserve"> 357534101</t>
  </si>
  <si>
    <t>10219</t>
  </si>
  <si>
    <t>45765</t>
  </si>
  <si>
    <t>57712</t>
  </si>
  <si>
    <t>57711</t>
  </si>
  <si>
    <t xml:space="preserve"> 387061301</t>
  </si>
  <si>
    <t>1518588</t>
  </si>
  <si>
    <t>5000</t>
  </si>
  <si>
    <t>57709</t>
  </si>
  <si>
    <t xml:space="preserve"> 365827301</t>
  </si>
  <si>
    <t>2513172</t>
  </si>
  <si>
    <t>58569</t>
  </si>
  <si>
    <t>58244</t>
  </si>
  <si>
    <t>8340</t>
  </si>
  <si>
    <t>41190</t>
  </si>
  <si>
    <t>40578</t>
  </si>
  <si>
    <t>58481</t>
  </si>
  <si>
    <t>8351</t>
  </si>
  <si>
    <t xml:space="preserve"> 421854301</t>
  </si>
  <si>
    <t>1175632</t>
  </si>
  <si>
    <t>54685</t>
  </si>
  <si>
    <t xml:space="preserve"> 413709901</t>
  </si>
  <si>
    <t>1541706</t>
  </si>
  <si>
    <t>32835</t>
  </si>
  <si>
    <t xml:space="preserve"> 445201901</t>
  </si>
  <si>
    <t>104355</t>
  </si>
  <si>
    <t>104340</t>
  </si>
  <si>
    <t>180357</t>
  </si>
  <si>
    <t>180490</t>
  </si>
  <si>
    <t>8891</t>
  </si>
  <si>
    <t xml:space="preserve"> 432248701</t>
  </si>
  <si>
    <t>450-334</t>
  </si>
  <si>
    <t>11259</t>
  </si>
  <si>
    <t xml:space="preserve"> 452216501</t>
  </si>
  <si>
    <t>104754</t>
  </si>
  <si>
    <t>105088</t>
  </si>
  <si>
    <t>105204</t>
  </si>
  <si>
    <t xml:space="preserve"> 450464001</t>
  </si>
  <si>
    <t>45082</t>
  </si>
  <si>
    <t xml:space="preserve"> 450407201</t>
  </si>
  <si>
    <t>1178576</t>
  </si>
  <si>
    <t>55173</t>
  </si>
  <si>
    <t xml:space="preserve"> 469861501</t>
  </si>
  <si>
    <t>1563716</t>
  </si>
  <si>
    <t>10417</t>
  </si>
  <si>
    <t xml:space="preserve"> 454558301</t>
  </si>
  <si>
    <t>1563703</t>
  </si>
  <si>
    <t>10479</t>
  </si>
  <si>
    <t>10660</t>
  </si>
  <si>
    <t>10725</t>
  </si>
  <si>
    <t>11063</t>
  </si>
  <si>
    <t>10543</t>
  </si>
  <si>
    <t>10544</t>
  </si>
  <si>
    <t>10597</t>
  </si>
  <si>
    <t>10880</t>
  </si>
  <si>
    <t>10864</t>
  </si>
  <si>
    <t>10703</t>
  </si>
  <si>
    <t xml:space="preserve"> 401455701</t>
  </si>
  <si>
    <t>10444825</t>
  </si>
  <si>
    <t>83643</t>
  </si>
  <si>
    <t xml:space="preserve"> 401456901</t>
  </si>
  <si>
    <t>10447944</t>
  </si>
  <si>
    <t>84193</t>
  </si>
  <si>
    <t xml:space="preserve"> 487909101</t>
  </si>
  <si>
    <t>22285</t>
  </si>
  <si>
    <t>83956</t>
  </si>
  <si>
    <t>84254</t>
  </si>
  <si>
    <t>83888</t>
  </si>
  <si>
    <t xml:space="preserve"> 401435401</t>
  </si>
  <si>
    <t>10441512</t>
  </si>
  <si>
    <t>3048</t>
  </si>
  <si>
    <t>86454</t>
  </si>
  <si>
    <t>168665</t>
  </si>
  <si>
    <t xml:space="preserve"> 401462201</t>
  </si>
  <si>
    <t>10444457</t>
  </si>
  <si>
    <t>3172</t>
  </si>
  <si>
    <t>85728</t>
  </si>
  <si>
    <t xml:space="preserve"> 521921602</t>
  </si>
  <si>
    <t>1037</t>
  </si>
  <si>
    <t xml:space="preserve"> 401435001</t>
  </si>
  <si>
    <t>10441515</t>
  </si>
  <si>
    <t>3121</t>
  </si>
  <si>
    <t>029</t>
  </si>
  <si>
    <t>48323</t>
  </si>
  <si>
    <t>2849</t>
  </si>
  <si>
    <t>3423</t>
  </si>
  <si>
    <t>2846</t>
  </si>
  <si>
    <t xml:space="preserve"> 483701301</t>
  </si>
  <si>
    <t>1184766</t>
  </si>
  <si>
    <t>61804</t>
  </si>
  <si>
    <t>025</t>
  </si>
  <si>
    <t>108245</t>
  </si>
  <si>
    <t xml:space="preserve"> 401465301</t>
  </si>
  <si>
    <t>10448100A</t>
  </si>
  <si>
    <t>86763</t>
  </si>
  <si>
    <t>63625</t>
  </si>
  <si>
    <t xml:space="preserve"> 531052601</t>
  </si>
  <si>
    <t>63768</t>
  </si>
  <si>
    <t xml:space="preserve"> 522122901</t>
  </si>
  <si>
    <t>106722</t>
  </si>
  <si>
    <t>9693</t>
  </si>
  <si>
    <t xml:space="preserve"> 545336401</t>
  </si>
  <si>
    <t>10603523</t>
  </si>
  <si>
    <t>40832</t>
  </si>
  <si>
    <t>66229</t>
  </si>
  <si>
    <t xml:space="preserve"> 561427601</t>
  </si>
  <si>
    <t>10624412</t>
  </si>
  <si>
    <t>89917</t>
  </si>
  <si>
    <t xml:space="preserve"> 549746901</t>
  </si>
  <si>
    <t>10612803</t>
  </si>
  <si>
    <t>89857</t>
  </si>
  <si>
    <t>66184</t>
  </si>
  <si>
    <t>49421</t>
  </si>
  <si>
    <t xml:space="preserve"> 531049801</t>
  </si>
  <si>
    <t>3</t>
  </si>
  <si>
    <t>65347</t>
  </si>
  <si>
    <t xml:space="preserve"> 561427201</t>
  </si>
  <si>
    <t>10624411</t>
  </si>
  <si>
    <t>89921</t>
  </si>
  <si>
    <t>67178</t>
  </si>
  <si>
    <t>40823</t>
  </si>
  <si>
    <t>65344</t>
  </si>
  <si>
    <t xml:space="preserve"> 545344101</t>
  </si>
  <si>
    <t>10603525</t>
  </si>
  <si>
    <t>40756</t>
  </si>
  <si>
    <t xml:space="preserve"> 401454001</t>
  </si>
  <si>
    <t>10448069</t>
  </si>
  <si>
    <t>3355</t>
  </si>
  <si>
    <t xml:space="preserve"> 531055101</t>
  </si>
  <si>
    <t>65651</t>
  </si>
  <si>
    <t xml:space="preserve"> 545349501</t>
  </si>
  <si>
    <t>10608043</t>
  </si>
  <si>
    <t>41560</t>
  </si>
  <si>
    <t>41728</t>
  </si>
  <si>
    <t xml:space="preserve"> 590791701</t>
  </si>
  <si>
    <t>1665</t>
  </si>
  <si>
    <t>41263</t>
  </si>
  <si>
    <t>41496</t>
  </si>
  <si>
    <t>10647558</t>
  </si>
  <si>
    <t>41788</t>
  </si>
  <si>
    <t>41799</t>
  </si>
  <si>
    <t xml:space="preserve"> 587783301</t>
  </si>
  <si>
    <t>1135397</t>
  </si>
  <si>
    <t xml:space="preserve"> 587068101</t>
  </si>
  <si>
    <t>64472</t>
  </si>
  <si>
    <t>10649910</t>
  </si>
  <si>
    <t>41873</t>
  </si>
  <si>
    <t>41245</t>
  </si>
  <si>
    <t>41262</t>
  </si>
  <si>
    <t>1197001</t>
  </si>
  <si>
    <t>68779</t>
  </si>
  <si>
    <t>41690</t>
  </si>
  <si>
    <t>6257495</t>
  </si>
  <si>
    <t>12222</t>
  </si>
  <si>
    <t>1198888</t>
  </si>
  <si>
    <t>69395</t>
  </si>
  <si>
    <t>41986</t>
  </si>
  <si>
    <t>1659901</t>
  </si>
  <si>
    <t>29856</t>
  </si>
  <si>
    <t xml:space="preserve"> 619036701</t>
  </si>
  <si>
    <t xml:space="preserve"> 545347801</t>
  </si>
  <si>
    <t>10608042</t>
  </si>
  <si>
    <t>42025</t>
  </si>
  <si>
    <t>41991</t>
  </si>
  <si>
    <t>69146</t>
  </si>
  <si>
    <t>1197768</t>
  </si>
  <si>
    <t>69130</t>
  </si>
  <si>
    <t xml:space="preserve"> 665575401</t>
  </si>
  <si>
    <t>10704438</t>
  </si>
  <si>
    <t>94412</t>
  </si>
  <si>
    <t>1198887</t>
  </si>
  <si>
    <t>69411</t>
  </si>
  <si>
    <t>94191</t>
  </si>
  <si>
    <t>10704422</t>
  </si>
  <si>
    <t>4221</t>
  </si>
  <si>
    <t>1668032</t>
  </si>
  <si>
    <t>66248</t>
  </si>
  <si>
    <t>10704415</t>
  </si>
  <si>
    <t>4404</t>
  </si>
  <si>
    <t>4418</t>
  </si>
  <si>
    <t>4372</t>
  </si>
  <si>
    <t>10647742</t>
  </si>
  <si>
    <t>96311</t>
  </si>
  <si>
    <t>10704424</t>
  </si>
  <si>
    <t>4495</t>
  </si>
  <si>
    <t>10648673</t>
  </si>
  <si>
    <t>4715</t>
  </si>
  <si>
    <t>96079</t>
  </si>
  <si>
    <t>10647741</t>
  </si>
  <si>
    <t>96422</t>
  </si>
  <si>
    <t>697206146</t>
  </si>
  <si>
    <t>73255</t>
  </si>
  <si>
    <t xml:space="preserve"> 778317301</t>
  </si>
  <si>
    <t>9051328</t>
  </si>
  <si>
    <t>85188</t>
  </si>
  <si>
    <t>12190</t>
  </si>
  <si>
    <t xml:space="preserve"> 778071401</t>
  </si>
  <si>
    <t>912077-1</t>
  </si>
  <si>
    <t>24508</t>
  </si>
  <si>
    <t>035</t>
  </si>
  <si>
    <t>62839</t>
  </si>
  <si>
    <t>697206145</t>
  </si>
  <si>
    <t>12308</t>
  </si>
  <si>
    <t>038</t>
  </si>
  <si>
    <t>67112</t>
  </si>
  <si>
    <t xml:space="preserve"> 790344201</t>
  </si>
  <si>
    <t>2570617</t>
  </si>
  <si>
    <t>80572</t>
  </si>
  <si>
    <t>042</t>
  </si>
  <si>
    <t>67100</t>
  </si>
  <si>
    <t>13037</t>
  </si>
  <si>
    <t>13034</t>
  </si>
  <si>
    <t>12925</t>
  </si>
  <si>
    <t>12945</t>
  </si>
  <si>
    <t>12943</t>
  </si>
  <si>
    <t>13028</t>
  </si>
  <si>
    <t>2570614</t>
  </si>
  <si>
    <t>81005</t>
  </si>
  <si>
    <t>207</t>
  </si>
  <si>
    <t>3074</t>
  </si>
  <si>
    <t xml:space="preserve"> 858111101</t>
  </si>
  <si>
    <t>81035</t>
  </si>
  <si>
    <t>14477</t>
  </si>
  <si>
    <t>82603</t>
  </si>
  <si>
    <t>102230</t>
  </si>
  <si>
    <t>83282</t>
  </si>
  <si>
    <t>2581463</t>
  </si>
  <si>
    <t>110569</t>
  </si>
  <si>
    <t xml:space="preserve"> 885920701</t>
  </si>
  <si>
    <t>10804461</t>
  </si>
  <si>
    <t>49029</t>
  </si>
  <si>
    <t>697222275</t>
  </si>
  <si>
    <t>83260</t>
  </si>
  <si>
    <t>3084</t>
  </si>
  <si>
    <t>26489</t>
  </si>
  <si>
    <t>3083</t>
  </si>
  <si>
    <t>22047</t>
  </si>
  <si>
    <t>104781</t>
  </si>
  <si>
    <t xml:space="preserve"> 883042901</t>
  </si>
  <si>
    <t>57079476</t>
  </si>
  <si>
    <t>BRAVO ARMAZENS GERAIS LTDA</t>
  </si>
  <si>
    <t>22431</t>
  </si>
  <si>
    <t>13476</t>
  </si>
  <si>
    <t>191708</t>
  </si>
  <si>
    <t>191683</t>
  </si>
  <si>
    <t>191694</t>
  </si>
  <si>
    <t>13483</t>
  </si>
  <si>
    <t>13497</t>
  </si>
  <si>
    <t>13494</t>
  </si>
  <si>
    <t>105193</t>
  </si>
  <si>
    <t xml:space="preserve"> 945056901</t>
  </si>
  <si>
    <t>2585779</t>
  </si>
  <si>
    <t>88196</t>
  </si>
  <si>
    <t>88183</t>
  </si>
  <si>
    <t xml:space="preserve"> 938584901</t>
  </si>
  <si>
    <t>D697206145</t>
  </si>
  <si>
    <t>15670</t>
  </si>
  <si>
    <t xml:space="preserve"> 926235501</t>
  </si>
  <si>
    <t>022</t>
  </si>
  <si>
    <t>70997</t>
  </si>
  <si>
    <t xml:space="preserve"> 900203901</t>
  </si>
  <si>
    <t>10862774</t>
  </si>
  <si>
    <t>49445</t>
  </si>
  <si>
    <t>104775</t>
  </si>
  <si>
    <t>13557</t>
  </si>
  <si>
    <t>13550</t>
  </si>
  <si>
    <t>040</t>
  </si>
  <si>
    <t>22867</t>
  </si>
  <si>
    <t>3085</t>
  </si>
  <si>
    <t>41317</t>
  </si>
  <si>
    <t>13572</t>
  </si>
  <si>
    <t>13536</t>
  </si>
  <si>
    <t>105168</t>
  </si>
  <si>
    <t>13512</t>
  </si>
  <si>
    <t>88192</t>
  </si>
  <si>
    <t>5714</t>
  </si>
  <si>
    <t>5753</t>
  </si>
  <si>
    <t>5804</t>
  </si>
  <si>
    <t>5851</t>
  </si>
  <si>
    <t>5883</t>
  </si>
  <si>
    <t>85585</t>
  </si>
  <si>
    <t>6010</t>
  </si>
  <si>
    <t>85619</t>
  </si>
  <si>
    <t>6050</t>
  </si>
  <si>
    <t>85722</t>
  </si>
  <si>
    <t>6097</t>
  </si>
  <si>
    <t>6070</t>
  </si>
  <si>
    <t>85731</t>
  </si>
  <si>
    <t>85723</t>
  </si>
  <si>
    <t>85687</t>
  </si>
  <si>
    <t>6267</t>
  </si>
  <si>
    <t>6227</t>
  </si>
  <si>
    <t>85956</t>
  </si>
  <si>
    <t>6331</t>
  </si>
  <si>
    <t xml:space="preserve">  40703401</t>
  </si>
  <si>
    <t>17877025</t>
  </si>
  <si>
    <t>NUFARM INDUSTRIA QUIMICA E FARMACEUTICA S.A</t>
  </si>
  <si>
    <t xml:space="preserve">  81740402</t>
  </si>
  <si>
    <t xml:space="preserve">  49463501</t>
  </si>
  <si>
    <t>5500107701</t>
  </si>
  <si>
    <t>2956</t>
  </si>
  <si>
    <t xml:space="preserve"> 112368702</t>
  </si>
  <si>
    <t>67843</t>
  </si>
  <si>
    <t>13839</t>
  </si>
  <si>
    <t xml:space="preserve">  45718701</t>
  </si>
  <si>
    <t>905860</t>
  </si>
  <si>
    <t>13836</t>
  </si>
  <si>
    <t xml:space="preserve">  76211902</t>
  </si>
  <si>
    <t>257</t>
  </si>
  <si>
    <t>23213</t>
  </si>
  <si>
    <t>23454</t>
  </si>
  <si>
    <t xml:space="preserve">  68062801</t>
  </si>
  <si>
    <t>143707</t>
  </si>
  <si>
    <t>20978</t>
  </si>
  <si>
    <t>20977</t>
  </si>
  <si>
    <t>23150</t>
  </si>
  <si>
    <t>23143</t>
  </si>
  <si>
    <t xml:space="preserve">  49503601</t>
  </si>
  <si>
    <t>2301485</t>
  </si>
  <si>
    <t>35096</t>
  </si>
  <si>
    <t>4923</t>
  </si>
  <si>
    <t xml:space="preserve">  66783501</t>
  </si>
  <si>
    <t>01/11</t>
  </si>
  <si>
    <t>LAVORO AGROCOMERCIAL LTDA  - EPP</t>
  </si>
  <si>
    <t xml:space="preserve">  69687001</t>
  </si>
  <si>
    <t>62</t>
  </si>
  <si>
    <t>15703</t>
  </si>
  <si>
    <t xml:space="preserve">  82409201</t>
  </si>
  <si>
    <t>1109690CAP</t>
  </si>
  <si>
    <t>26815</t>
  </si>
  <si>
    <t>37446</t>
  </si>
  <si>
    <t>4152</t>
  </si>
  <si>
    <t>172508</t>
  </si>
  <si>
    <t xml:space="preserve"> 104498102</t>
  </si>
  <si>
    <t>3820</t>
  </si>
  <si>
    <t>4154</t>
  </si>
  <si>
    <t>112298</t>
  </si>
  <si>
    <t>41683</t>
  </si>
  <si>
    <t xml:space="preserve"> 138773102</t>
  </si>
  <si>
    <t>75211</t>
  </si>
  <si>
    <t>37493</t>
  </si>
  <si>
    <t>41993</t>
  </si>
  <si>
    <t>42030</t>
  </si>
  <si>
    <t>42098</t>
  </si>
  <si>
    <t>14005</t>
  </si>
  <si>
    <t>31587</t>
  </si>
  <si>
    <t xml:space="preserve">  88902201</t>
  </si>
  <si>
    <t>21084033</t>
  </si>
  <si>
    <t>6588</t>
  </si>
  <si>
    <t>41960</t>
  </si>
  <si>
    <t>42151</t>
  </si>
  <si>
    <t>15371</t>
  </si>
  <si>
    <t>15300</t>
  </si>
  <si>
    <t xml:space="preserve">  85584501</t>
  </si>
  <si>
    <t>35550</t>
  </si>
  <si>
    <t>40890</t>
  </si>
  <si>
    <t>40913</t>
  </si>
  <si>
    <t xml:space="preserve">  95976301</t>
  </si>
  <si>
    <t>1119541CAP</t>
  </si>
  <si>
    <t>27784</t>
  </si>
  <si>
    <t>27785</t>
  </si>
  <si>
    <t>42162</t>
  </si>
  <si>
    <t>18384</t>
  </si>
  <si>
    <t>48060</t>
  </si>
  <si>
    <t>48146</t>
  </si>
  <si>
    <t>70073</t>
  </si>
  <si>
    <t>47402</t>
  </si>
  <si>
    <t>47856</t>
  </si>
  <si>
    <t>47868</t>
  </si>
  <si>
    <t>47857</t>
  </si>
  <si>
    <t>47466</t>
  </si>
  <si>
    <t>47405</t>
  </si>
  <si>
    <t>47464</t>
  </si>
  <si>
    <t xml:space="preserve"> 146582801</t>
  </si>
  <si>
    <t>153356</t>
  </si>
  <si>
    <t>27797</t>
  </si>
  <si>
    <t>49612</t>
  </si>
  <si>
    <t>49463</t>
  </si>
  <si>
    <t>49543</t>
  </si>
  <si>
    <t>49542</t>
  </si>
  <si>
    <t>48298</t>
  </si>
  <si>
    <t>49182</t>
  </si>
  <si>
    <t>49373</t>
  </si>
  <si>
    <t xml:space="preserve">  95754001</t>
  </si>
  <si>
    <t>35502</t>
  </si>
  <si>
    <t>50446</t>
  </si>
  <si>
    <t>49818</t>
  </si>
  <si>
    <t>50289</t>
  </si>
  <si>
    <t xml:space="preserve"> 163468101</t>
  </si>
  <si>
    <t>905998</t>
  </si>
  <si>
    <t>15606</t>
  </si>
  <si>
    <t>50171</t>
  </si>
  <si>
    <t>50302</t>
  </si>
  <si>
    <t>30397</t>
  </si>
  <si>
    <t>50857</t>
  </si>
  <si>
    <t>46481</t>
  </si>
  <si>
    <t>22772</t>
  </si>
  <si>
    <t xml:space="preserve"> 155550501</t>
  </si>
  <si>
    <t>MARCHAND AGRICOLA E PECUARIA LTDA</t>
  </si>
  <si>
    <t>389</t>
  </si>
  <si>
    <t>47488</t>
  </si>
  <si>
    <t xml:space="preserve"> 127858201</t>
  </si>
  <si>
    <t>47985</t>
  </si>
  <si>
    <t xml:space="preserve"> 179305801</t>
  </si>
  <si>
    <t>1136710</t>
  </si>
  <si>
    <t>32890</t>
  </si>
  <si>
    <t xml:space="preserve"> 181948501</t>
  </si>
  <si>
    <t>1464092</t>
  </si>
  <si>
    <t>22154</t>
  </si>
  <si>
    <t>48318</t>
  </si>
  <si>
    <t xml:space="preserve"> 127873101</t>
  </si>
  <si>
    <t>2471602</t>
  </si>
  <si>
    <t>72145</t>
  </si>
  <si>
    <t>72158</t>
  </si>
  <si>
    <t xml:space="preserve"> 160773501</t>
  </si>
  <si>
    <t>56321-12</t>
  </si>
  <si>
    <t>33173</t>
  </si>
  <si>
    <t>34012</t>
  </si>
  <si>
    <t>32284</t>
  </si>
  <si>
    <t>29796</t>
  </si>
  <si>
    <t>40450</t>
  </si>
  <si>
    <t>72112</t>
  </si>
  <si>
    <t>22052</t>
  </si>
  <si>
    <t>30744</t>
  </si>
  <si>
    <t>30587</t>
  </si>
  <si>
    <t>5597</t>
  </si>
  <si>
    <t>52844</t>
  </si>
  <si>
    <t>72064</t>
  </si>
  <si>
    <t>31946</t>
  </si>
  <si>
    <t xml:space="preserve"> 185759101</t>
  </si>
  <si>
    <t>53171</t>
  </si>
  <si>
    <t>36526</t>
  </si>
  <si>
    <t>53235</t>
  </si>
  <si>
    <t>53446</t>
  </si>
  <si>
    <t>53276</t>
  </si>
  <si>
    <t>30769</t>
  </si>
  <si>
    <t>52070</t>
  </si>
  <si>
    <t>52155</t>
  </si>
  <si>
    <t xml:space="preserve"> 181949301</t>
  </si>
  <si>
    <t>1464156</t>
  </si>
  <si>
    <t>24547</t>
  </si>
  <si>
    <t>24525</t>
  </si>
  <si>
    <t>52074</t>
  </si>
  <si>
    <t>53043</t>
  </si>
  <si>
    <t>52134</t>
  </si>
  <si>
    <t>38084</t>
  </si>
  <si>
    <t>38074</t>
  </si>
  <si>
    <t>38098</t>
  </si>
  <si>
    <t>38120</t>
  </si>
  <si>
    <t>38276</t>
  </si>
  <si>
    <t>38384</t>
  </si>
  <si>
    <t>38386</t>
  </si>
  <si>
    <t>38424</t>
  </si>
  <si>
    <t xml:space="preserve"> 244528101</t>
  </si>
  <si>
    <t>001/2013</t>
  </si>
  <si>
    <t>32036</t>
  </si>
  <si>
    <t>38190</t>
  </si>
  <si>
    <t>38396</t>
  </si>
  <si>
    <t>38472</t>
  </si>
  <si>
    <t>38492</t>
  </si>
  <si>
    <t>38182</t>
  </si>
  <si>
    <t>38192</t>
  </si>
  <si>
    <t>6984</t>
  </si>
  <si>
    <t>6978</t>
  </si>
  <si>
    <t>7105</t>
  </si>
  <si>
    <t xml:space="preserve"> 264311401</t>
  </si>
  <si>
    <t>2490078</t>
  </si>
  <si>
    <t>70478</t>
  </si>
  <si>
    <t xml:space="preserve"> 296692302</t>
  </si>
  <si>
    <t>82524</t>
  </si>
  <si>
    <t>151294</t>
  </si>
  <si>
    <t>55404</t>
  </si>
  <si>
    <t xml:space="preserve"> 263886301</t>
  </si>
  <si>
    <t>32397</t>
  </si>
  <si>
    <t>40620</t>
  </si>
  <si>
    <t xml:space="preserve"> 259382901</t>
  </si>
  <si>
    <t>95260</t>
  </si>
  <si>
    <t>7429</t>
  </si>
  <si>
    <t>55492</t>
  </si>
  <si>
    <t>70723</t>
  </si>
  <si>
    <t xml:space="preserve"> 263626801</t>
  </si>
  <si>
    <t>2489623</t>
  </si>
  <si>
    <t>12239</t>
  </si>
  <si>
    <t>27647</t>
  </si>
  <si>
    <t>140770</t>
  </si>
  <si>
    <t>140896</t>
  </si>
  <si>
    <t>141291</t>
  </si>
  <si>
    <t>141319</t>
  </si>
  <si>
    <t>140798</t>
  </si>
  <si>
    <t>140502</t>
  </si>
  <si>
    <t>140733</t>
  </si>
  <si>
    <t>141029</t>
  </si>
  <si>
    <t>140383</t>
  </si>
  <si>
    <t>141781</t>
  </si>
  <si>
    <t>141643</t>
  </si>
  <si>
    <t xml:space="preserve"> 328923701</t>
  </si>
  <si>
    <t>051</t>
  </si>
  <si>
    <t>34245</t>
  </si>
  <si>
    <t xml:space="preserve"> 320133901</t>
  </si>
  <si>
    <t>050</t>
  </si>
  <si>
    <t>33797</t>
  </si>
  <si>
    <t>164977</t>
  </si>
  <si>
    <t>165707</t>
  </si>
  <si>
    <t>165498</t>
  </si>
  <si>
    <t>165313</t>
  </si>
  <si>
    <t>165085</t>
  </si>
  <si>
    <t xml:space="preserve"> 343597601</t>
  </si>
  <si>
    <t>1051</t>
  </si>
  <si>
    <t>1064</t>
  </si>
  <si>
    <t>160295</t>
  </si>
  <si>
    <t>162975</t>
  </si>
  <si>
    <t>92376</t>
  </si>
  <si>
    <t>1062</t>
  </si>
  <si>
    <t xml:space="preserve"> 284093101</t>
  </si>
  <si>
    <t>15632</t>
  </si>
  <si>
    <t>163704</t>
  </si>
  <si>
    <t>163671</t>
  </si>
  <si>
    <t>167471</t>
  </si>
  <si>
    <t>167211</t>
  </si>
  <si>
    <t>167278</t>
  </si>
  <si>
    <t>9922</t>
  </si>
  <si>
    <t>92402</t>
  </si>
  <si>
    <t>1171</t>
  </si>
  <si>
    <t>166583</t>
  </si>
  <si>
    <t>167279</t>
  </si>
  <si>
    <t>167299</t>
  </si>
  <si>
    <t>165318</t>
  </si>
  <si>
    <t>167142</t>
  </si>
  <si>
    <t>170829</t>
  </si>
  <si>
    <t xml:space="preserve"> 365597101</t>
  </si>
  <si>
    <t>1163846</t>
  </si>
  <si>
    <t>48681</t>
  </si>
  <si>
    <t>48794</t>
  </si>
  <si>
    <t xml:space="preserve"> 356666601</t>
  </si>
  <si>
    <t>393-334</t>
  </si>
  <si>
    <t>9937</t>
  </si>
  <si>
    <t xml:space="preserve"> 365102201</t>
  </si>
  <si>
    <t>562500530</t>
  </si>
  <si>
    <t>ADAMA BRASIL S.A.</t>
  </si>
  <si>
    <t>11140</t>
  </si>
  <si>
    <t xml:space="preserve"> 358592101</t>
  </si>
  <si>
    <t>1163090B</t>
  </si>
  <si>
    <t>48111</t>
  </si>
  <si>
    <t xml:space="preserve"> 332503901</t>
  </si>
  <si>
    <t>81177</t>
  </si>
  <si>
    <t>94956</t>
  </si>
  <si>
    <t xml:space="preserve"> 332498301</t>
  </si>
  <si>
    <t>81147</t>
  </si>
  <si>
    <t>96219</t>
  </si>
  <si>
    <t>168558</t>
  </si>
  <si>
    <t xml:space="preserve"> 365093201</t>
  </si>
  <si>
    <t>51060</t>
  </si>
  <si>
    <t>11129</t>
  </si>
  <si>
    <t>10924</t>
  </si>
  <si>
    <t>51084</t>
  </si>
  <si>
    <t>51842</t>
  </si>
  <si>
    <t xml:space="preserve"> 373400701</t>
  </si>
  <si>
    <t>32967</t>
  </si>
  <si>
    <t xml:space="preserve"> 378133701</t>
  </si>
  <si>
    <t>1165530</t>
  </si>
  <si>
    <t>51823</t>
  </si>
  <si>
    <t>36880</t>
  </si>
  <si>
    <t>51083</t>
  </si>
  <si>
    <t>19891</t>
  </si>
  <si>
    <t>35151</t>
  </si>
  <si>
    <t>25633</t>
  </si>
  <si>
    <t>8112</t>
  </si>
  <si>
    <t xml:space="preserve"> 400909001</t>
  </si>
  <si>
    <t>1518602</t>
  </si>
  <si>
    <t>38882</t>
  </si>
  <si>
    <t>175824</t>
  </si>
  <si>
    <t>57760</t>
  </si>
  <si>
    <t>40009</t>
  </si>
  <si>
    <t>57704</t>
  </si>
  <si>
    <t>57792</t>
  </si>
  <si>
    <t>39005</t>
  </si>
  <si>
    <t>5528</t>
  </si>
  <si>
    <t>57718</t>
  </si>
  <si>
    <t>38986</t>
  </si>
  <si>
    <t xml:space="preserve"> 357534501</t>
  </si>
  <si>
    <t>10219P</t>
  </si>
  <si>
    <t>57703</t>
  </si>
  <si>
    <t>40215</t>
  </si>
  <si>
    <t>41027</t>
  </si>
  <si>
    <t>40709</t>
  </si>
  <si>
    <t>4999</t>
  </si>
  <si>
    <t xml:space="preserve"> 413428601</t>
  </si>
  <si>
    <t>1174053</t>
  </si>
  <si>
    <t>54597</t>
  </si>
  <si>
    <t xml:space="preserve"> 400891001</t>
  </si>
  <si>
    <t>89572</t>
  </si>
  <si>
    <t>101782</t>
  </si>
  <si>
    <t>5001</t>
  </si>
  <si>
    <t>8372</t>
  </si>
  <si>
    <t>8075</t>
  </si>
  <si>
    <t>40965</t>
  </si>
  <si>
    <t>58384</t>
  </si>
  <si>
    <t>58333</t>
  </si>
  <si>
    <t>8309</t>
  </si>
  <si>
    <t>41112</t>
  </si>
  <si>
    <t>58467</t>
  </si>
  <si>
    <t>8326</t>
  </si>
  <si>
    <t>8350</t>
  </si>
  <si>
    <t>41114</t>
  </si>
  <si>
    <t>58253</t>
  </si>
  <si>
    <t>58327</t>
  </si>
  <si>
    <t>58469</t>
  </si>
  <si>
    <t>58380</t>
  </si>
  <si>
    <t>104356</t>
  </si>
  <si>
    <t>104354</t>
  </si>
  <si>
    <t>104352</t>
  </si>
  <si>
    <t>8897</t>
  </si>
  <si>
    <t>8062</t>
  </si>
  <si>
    <t xml:space="preserve"> 442450801</t>
  </si>
  <si>
    <t>1082</t>
  </si>
  <si>
    <t xml:space="preserve"> 444460901</t>
  </si>
  <si>
    <t>1106</t>
  </si>
  <si>
    <t>9142</t>
  </si>
  <si>
    <t>10589</t>
  </si>
  <si>
    <t>10418</t>
  </si>
  <si>
    <t>11064</t>
  </si>
  <si>
    <t>11065</t>
  </si>
  <si>
    <t>10871</t>
  </si>
  <si>
    <t>10474</t>
  </si>
  <si>
    <t>10799</t>
  </si>
  <si>
    <t>10884</t>
  </si>
  <si>
    <t>10697</t>
  </si>
  <si>
    <t>83622</t>
  </si>
  <si>
    <t>84385</t>
  </si>
  <si>
    <t>84026</t>
  </si>
  <si>
    <t>84362</t>
  </si>
  <si>
    <t>1563711</t>
  </si>
  <si>
    <t>48434</t>
  </si>
  <si>
    <t xml:space="preserve"> 521799802</t>
  </si>
  <si>
    <t>79120</t>
  </si>
  <si>
    <t xml:space="preserve"> 332502501</t>
  </si>
  <si>
    <t>81149</t>
  </si>
  <si>
    <t>92798</t>
  </si>
  <si>
    <t xml:space="preserve"> 401453401</t>
  </si>
  <si>
    <t>10449406</t>
  </si>
  <si>
    <t>3034</t>
  </si>
  <si>
    <t>3038</t>
  </si>
  <si>
    <t>3050</t>
  </si>
  <si>
    <t>86487</t>
  </si>
  <si>
    <t>85785</t>
  </si>
  <si>
    <t>85918</t>
  </si>
  <si>
    <t>3168</t>
  </si>
  <si>
    <t>85854</t>
  </si>
  <si>
    <t>3126</t>
  </si>
  <si>
    <t xml:space="preserve"> 401457901</t>
  </si>
  <si>
    <t>10448132</t>
  </si>
  <si>
    <t>3268</t>
  </si>
  <si>
    <t xml:space="preserve"> 522060201</t>
  </si>
  <si>
    <t>1563711NF</t>
  </si>
  <si>
    <t>53259</t>
  </si>
  <si>
    <t>88040</t>
  </si>
  <si>
    <t>88041</t>
  </si>
  <si>
    <t xml:space="preserve"> 537614901</t>
  </si>
  <si>
    <t>83</t>
  </si>
  <si>
    <t>63608</t>
  </si>
  <si>
    <t>63607</t>
  </si>
  <si>
    <t>63609</t>
  </si>
  <si>
    <t>38-338</t>
  </si>
  <si>
    <t>46138</t>
  </si>
  <si>
    <t>67160</t>
  </si>
  <si>
    <t>65349</t>
  </si>
  <si>
    <t>40758</t>
  </si>
  <si>
    <t>41195</t>
  </si>
  <si>
    <t>67180</t>
  </si>
  <si>
    <t>41498</t>
  </si>
  <si>
    <t>1659895</t>
  </si>
  <si>
    <t>12293</t>
  </si>
  <si>
    <t>41657</t>
  </si>
  <si>
    <t>41675</t>
  </si>
  <si>
    <t>41387</t>
  </si>
  <si>
    <t>69389</t>
  </si>
  <si>
    <t>1198797</t>
  </si>
  <si>
    <t>69445</t>
  </si>
  <si>
    <t>1659384</t>
  </si>
  <si>
    <t>29977</t>
  </si>
  <si>
    <t>29987</t>
  </si>
  <si>
    <t>41918</t>
  </si>
  <si>
    <t>58-338</t>
  </si>
  <si>
    <t>14511</t>
  </si>
  <si>
    <t>010</t>
  </si>
  <si>
    <t>57310</t>
  </si>
  <si>
    <t>4261</t>
  </si>
  <si>
    <t>66112</t>
  </si>
  <si>
    <t>10704441</t>
  </si>
  <si>
    <t>94187</t>
  </si>
  <si>
    <t>014</t>
  </si>
  <si>
    <t>58919</t>
  </si>
  <si>
    <t>69443</t>
  </si>
  <si>
    <t>94193</t>
  </si>
  <si>
    <t>94172</t>
  </si>
  <si>
    <t>96036</t>
  </si>
  <si>
    <t>10646702</t>
  </si>
  <si>
    <t>4683</t>
  </si>
  <si>
    <t>4705</t>
  </si>
  <si>
    <t>4568</t>
  </si>
  <si>
    <t>96019</t>
  </si>
  <si>
    <t>27926</t>
  </si>
  <si>
    <t>4492</t>
  </si>
  <si>
    <t>96436</t>
  </si>
  <si>
    <t>96518</t>
  </si>
  <si>
    <t>98523</t>
  </si>
  <si>
    <t>96504</t>
  </si>
  <si>
    <t>12753</t>
  </si>
  <si>
    <t xml:space="preserve"> 773924701</t>
  </si>
  <si>
    <t>4065956</t>
  </si>
  <si>
    <t>41971</t>
  </si>
  <si>
    <t>697206149</t>
  </si>
  <si>
    <t>73257</t>
  </si>
  <si>
    <t>12194</t>
  </si>
  <si>
    <t>12195</t>
  </si>
  <si>
    <t>62685</t>
  </si>
  <si>
    <t>1198882</t>
  </si>
  <si>
    <t>73230</t>
  </si>
  <si>
    <t>2570616</t>
  </si>
  <si>
    <t>106631</t>
  </si>
  <si>
    <t>106634</t>
  </si>
  <si>
    <t>62788</t>
  </si>
  <si>
    <t>14062</t>
  </si>
  <si>
    <t>14069</t>
  </si>
  <si>
    <t>13802</t>
  </si>
  <si>
    <t xml:space="preserve"> 831537001</t>
  </si>
  <si>
    <t>178941</t>
  </si>
  <si>
    <t>88445</t>
  </si>
  <si>
    <t>80583</t>
  </si>
  <si>
    <t>80562</t>
  </si>
  <si>
    <t>80530</t>
  </si>
  <si>
    <t>80533</t>
  </si>
  <si>
    <t xml:space="preserve"> 833116101</t>
  </si>
  <si>
    <t>701260</t>
  </si>
  <si>
    <t>80681</t>
  </si>
  <si>
    <t>12936</t>
  </si>
  <si>
    <t>12921</t>
  </si>
  <si>
    <t>12900</t>
  </si>
  <si>
    <t>80518</t>
  </si>
  <si>
    <t>80497</t>
  </si>
  <si>
    <t>80566</t>
  </si>
  <si>
    <t>81006</t>
  </si>
  <si>
    <t>1619</t>
  </si>
  <si>
    <t>81059</t>
  </si>
  <si>
    <t>81057</t>
  </si>
  <si>
    <t>81067</t>
  </si>
  <si>
    <t>1500</t>
  </si>
  <si>
    <t>63125</t>
  </si>
  <si>
    <t>81066</t>
  </si>
  <si>
    <t>81076</t>
  </si>
  <si>
    <t>14481</t>
  </si>
  <si>
    <t>82604</t>
  </si>
  <si>
    <t>2580046</t>
  </si>
  <si>
    <t>20511</t>
  </si>
  <si>
    <t>697223238</t>
  </si>
  <si>
    <t>83036</t>
  </si>
  <si>
    <t>16000</t>
  </si>
  <si>
    <t>82570</t>
  </si>
  <si>
    <t>83261</t>
  </si>
  <si>
    <t>83255</t>
  </si>
  <si>
    <t xml:space="preserve"> 893773501</t>
  </si>
  <si>
    <t>905001</t>
  </si>
  <si>
    <t>1256</t>
  </si>
  <si>
    <t>26517</t>
  </si>
  <si>
    <t>102225</t>
  </si>
  <si>
    <t>102277</t>
  </si>
  <si>
    <t>22092</t>
  </si>
  <si>
    <t>13575</t>
  </si>
  <si>
    <t>22428</t>
  </si>
  <si>
    <t>13513</t>
  </si>
  <si>
    <t>13526</t>
  </si>
  <si>
    <t>13492</t>
  </si>
  <si>
    <t>13535</t>
  </si>
  <si>
    <t>13519</t>
  </si>
  <si>
    <t>13524</t>
  </si>
  <si>
    <t>84053</t>
  </si>
  <si>
    <t>104874</t>
  </si>
  <si>
    <t>104761</t>
  </si>
  <si>
    <t>16263</t>
  </si>
  <si>
    <t>13547</t>
  </si>
  <si>
    <t>13552</t>
  </si>
  <si>
    <t>111487</t>
  </si>
  <si>
    <t>104802</t>
  </si>
  <si>
    <t>5849</t>
  </si>
  <si>
    <t>5879</t>
  </si>
  <si>
    <t>6101</t>
  </si>
  <si>
    <t>85717</t>
  </si>
  <si>
    <t>85725</t>
  </si>
  <si>
    <t>85948</t>
  </si>
  <si>
    <t>85950</t>
  </si>
  <si>
    <t>85953</t>
  </si>
  <si>
    <t>6125</t>
  </si>
  <si>
    <t>6340</t>
  </si>
  <si>
    <t>86315</t>
  </si>
  <si>
    <t>112483</t>
  </si>
  <si>
    <t>5930</t>
  </si>
  <si>
    <t>23113</t>
  </si>
  <si>
    <t>23114</t>
  </si>
  <si>
    <t xml:space="preserve">  81721102</t>
  </si>
  <si>
    <t>57234</t>
  </si>
  <si>
    <t xml:space="preserve">  81755702</t>
  </si>
  <si>
    <t>68738</t>
  </si>
  <si>
    <t>16425</t>
  </si>
  <si>
    <t>16407</t>
  </si>
  <si>
    <t>12651</t>
  </si>
  <si>
    <t>15088</t>
  </si>
  <si>
    <t xml:space="preserve">  41986101</t>
  </si>
  <si>
    <t>57016829</t>
  </si>
  <si>
    <t>14260</t>
  </si>
  <si>
    <t>4736</t>
  </si>
  <si>
    <t>4763</t>
  </si>
  <si>
    <t>35014</t>
  </si>
  <si>
    <t>34485</t>
  </si>
  <si>
    <t xml:space="preserve">  68392601</t>
  </si>
  <si>
    <t>17605</t>
  </si>
  <si>
    <t>15190</t>
  </si>
  <si>
    <t>37362</t>
  </si>
  <si>
    <t>37347</t>
  </si>
  <si>
    <t>37298</t>
  </si>
  <si>
    <t>37358</t>
  </si>
  <si>
    <t>37382</t>
  </si>
  <si>
    <t xml:space="preserve">  78255001</t>
  </si>
  <si>
    <t>2307980</t>
  </si>
  <si>
    <t>62000</t>
  </si>
  <si>
    <t>37218</t>
  </si>
  <si>
    <t>37214</t>
  </si>
  <si>
    <t xml:space="preserve">  68395301</t>
  </si>
  <si>
    <t>4058</t>
  </si>
  <si>
    <t>14192</t>
  </si>
  <si>
    <t>4149</t>
  </si>
  <si>
    <t>61996</t>
  </si>
  <si>
    <t>37494</t>
  </si>
  <si>
    <t>112314</t>
  </si>
  <si>
    <t>112292</t>
  </si>
  <si>
    <t>15717</t>
  </si>
  <si>
    <t>15413</t>
  </si>
  <si>
    <t xml:space="preserve">  86664401</t>
  </si>
  <si>
    <t>42993</t>
  </si>
  <si>
    <t>41976</t>
  </si>
  <si>
    <t>31583</t>
  </si>
  <si>
    <t>15351</t>
  </si>
  <si>
    <t>42122</t>
  </si>
  <si>
    <t xml:space="preserve">  85581801</t>
  </si>
  <si>
    <t>35546</t>
  </si>
  <si>
    <t>40494</t>
  </si>
  <si>
    <t>40484</t>
  </si>
  <si>
    <t>40492</t>
  </si>
  <si>
    <t>41526</t>
  </si>
  <si>
    <t>41741</t>
  </si>
  <si>
    <t>41735</t>
  </si>
  <si>
    <t>15323</t>
  </si>
  <si>
    <t>15333</t>
  </si>
  <si>
    <t>41996</t>
  </si>
  <si>
    <t>41901</t>
  </si>
  <si>
    <t>15296</t>
  </si>
  <si>
    <t>15298</t>
  </si>
  <si>
    <t>40850</t>
  </si>
  <si>
    <t>40858</t>
  </si>
  <si>
    <t>41732</t>
  </si>
  <si>
    <t>42152</t>
  </si>
  <si>
    <t>42158</t>
  </si>
  <si>
    <t>31579</t>
  </si>
  <si>
    <t>41970</t>
  </si>
  <si>
    <t>42154</t>
  </si>
  <si>
    <t xml:space="preserve"> 104839001</t>
  </si>
  <si>
    <t>24224</t>
  </si>
  <si>
    <t>RSP AGROPECUARIA LTDA</t>
  </si>
  <si>
    <t>1881</t>
  </si>
  <si>
    <t>48116</t>
  </si>
  <si>
    <t>47468</t>
  </si>
  <si>
    <t>47442</t>
  </si>
  <si>
    <t>39779</t>
  </si>
  <si>
    <t>49464</t>
  </si>
  <si>
    <t>49536</t>
  </si>
  <si>
    <t>49869</t>
  </si>
  <si>
    <t>49610</t>
  </si>
  <si>
    <t>48480</t>
  </si>
  <si>
    <t>48479</t>
  </si>
  <si>
    <t>49264</t>
  </si>
  <si>
    <t>50870</t>
  </si>
  <si>
    <t xml:space="preserve"> 163466901</t>
  </si>
  <si>
    <t>905997</t>
  </si>
  <si>
    <t>15453</t>
  </si>
  <si>
    <t>50335</t>
  </si>
  <si>
    <t>48027</t>
  </si>
  <si>
    <t>48058</t>
  </si>
  <si>
    <t>48001</t>
  </si>
  <si>
    <t>47791</t>
  </si>
  <si>
    <t>47649</t>
  </si>
  <si>
    <t xml:space="preserve"> 107968501</t>
  </si>
  <si>
    <t>7065</t>
  </si>
  <si>
    <t>51920</t>
  </si>
  <si>
    <t>49245</t>
  </si>
  <si>
    <t>49978</t>
  </si>
  <si>
    <t>47233</t>
  </si>
  <si>
    <t xml:space="preserve"> 107970601</t>
  </si>
  <si>
    <t>6990</t>
  </si>
  <si>
    <t>46290</t>
  </si>
  <si>
    <t>47866</t>
  </si>
  <si>
    <t>50561</t>
  </si>
  <si>
    <t>72182</t>
  </si>
  <si>
    <t>34010</t>
  </si>
  <si>
    <t>34011</t>
  </si>
  <si>
    <t>52083</t>
  </si>
  <si>
    <t xml:space="preserve"> 168197301</t>
  </si>
  <si>
    <t>1466</t>
  </si>
  <si>
    <t>23403</t>
  </si>
  <si>
    <t>32383</t>
  </si>
  <si>
    <t>22782</t>
  </si>
  <si>
    <t xml:space="preserve"> 168196801</t>
  </si>
  <si>
    <t>5601</t>
  </si>
  <si>
    <t>30743</t>
  </si>
  <si>
    <t>29829</t>
  </si>
  <si>
    <t>29828</t>
  </si>
  <si>
    <t>40351</t>
  </si>
  <si>
    <t>32852</t>
  </si>
  <si>
    <t>29752</t>
  </si>
  <si>
    <t>37100</t>
  </si>
  <si>
    <t xml:space="preserve"> 178330401</t>
  </si>
  <si>
    <t>57031873</t>
  </si>
  <si>
    <t>23861</t>
  </si>
  <si>
    <t>36327</t>
  </si>
  <si>
    <t xml:space="preserve"> 196792301</t>
  </si>
  <si>
    <t>154245</t>
  </si>
  <si>
    <t>33347</t>
  </si>
  <si>
    <t>36324</t>
  </si>
  <si>
    <t>52160</t>
  </si>
  <si>
    <t>231311</t>
  </si>
  <si>
    <t xml:space="preserve"> 224256901</t>
  </si>
  <si>
    <t>1475365</t>
  </si>
  <si>
    <t>24552</t>
  </si>
  <si>
    <t>53221</t>
  </si>
  <si>
    <t>53277</t>
  </si>
  <si>
    <t>52084</t>
  </si>
  <si>
    <t>24549</t>
  </si>
  <si>
    <t>53030</t>
  </si>
  <si>
    <t>52999</t>
  </si>
  <si>
    <t>53436</t>
  </si>
  <si>
    <t>52071</t>
  </si>
  <si>
    <t>38143</t>
  </si>
  <si>
    <t>24520</t>
  </si>
  <si>
    <t>53044</t>
  </si>
  <si>
    <t xml:space="preserve"> 243198501</t>
  </si>
  <si>
    <t>1684 -1669</t>
  </si>
  <si>
    <t>7268</t>
  </si>
  <si>
    <t>38152</t>
  </si>
  <si>
    <t>38172</t>
  </si>
  <si>
    <t>38434</t>
  </si>
  <si>
    <t>55290</t>
  </si>
  <si>
    <t>38414</t>
  </si>
  <si>
    <t>55332</t>
  </si>
  <si>
    <t>55270</t>
  </si>
  <si>
    <t>12303</t>
  </si>
  <si>
    <t>55478</t>
  </si>
  <si>
    <t xml:space="preserve"> 223049601</t>
  </si>
  <si>
    <t>2485125</t>
  </si>
  <si>
    <t>55131</t>
  </si>
  <si>
    <t xml:space="preserve"> 256376401</t>
  </si>
  <si>
    <t>2303</t>
  </si>
  <si>
    <t>2218</t>
  </si>
  <si>
    <t xml:space="preserve"> 264204701</t>
  </si>
  <si>
    <t>32444</t>
  </si>
  <si>
    <t>12220</t>
  </si>
  <si>
    <t>27662</t>
  </si>
  <si>
    <t>27646</t>
  </si>
  <si>
    <t>140747</t>
  </si>
  <si>
    <t>140125</t>
  </si>
  <si>
    <t>141527</t>
  </si>
  <si>
    <t>141519</t>
  </si>
  <si>
    <t>160359</t>
  </si>
  <si>
    <t xml:space="preserve"> 329068301</t>
  </si>
  <si>
    <t>056</t>
  </si>
  <si>
    <t>34472</t>
  </si>
  <si>
    <t>34155</t>
  </si>
  <si>
    <t>160490</t>
  </si>
  <si>
    <t>33796</t>
  </si>
  <si>
    <t xml:space="preserve"> 332503101</t>
  </si>
  <si>
    <t>81145</t>
  </si>
  <si>
    <t>92652</t>
  </si>
  <si>
    <t xml:space="preserve"> 332503501</t>
  </si>
  <si>
    <t>81161</t>
  </si>
  <si>
    <t>92447</t>
  </si>
  <si>
    <t xml:space="preserve"> 329076501</t>
  </si>
  <si>
    <t>062</t>
  </si>
  <si>
    <t>35155</t>
  </si>
  <si>
    <t>162766</t>
  </si>
  <si>
    <t>162971</t>
  </si>
  <si>
    <t>92386</t>
  </si>
  <si>
    <t>163599</t>
  </si>
  <si>
    <t xml:space="preserve"> 333861701</t>
  </si>
  <si>
    <t>5081</t>
  </si>
  <si>
    <t>13434</t>
  </si>
  <si>
    <t>165726</t>
  </si>
  <si>
    <t>163779</t>
  </si>
  <si>
    <t>168005</t>
  </si>
  <si>
    <t>166274</t>
  </si>
  <si>
    <t>167263</t>
  </si>
  <si>
    <t>164994</t>
  </si>
  <si>
    <t>166415</t>
  </si>
  <si>
    <t xml:space="preserve"> 332499101</t>
  </si>
  <si>
    <t>81150</t>
  </si>
  <si>
    <t>95393</t>
  </si>
  <si>
    <t>48104</t>
  </si>
  <si>
    <t>167276</t>
  </si>
  <si>
    <t>96234</t>
  </si>
  <si>
    <t>168038</t>
  </si>
  <si>
    <t>168540</t>
  </si>
  <si>
    <t>168632</t>
  </si>
  <si>
    <t>168653</t>
  </si>
  <si>
    <t xml:space="preserve"> 365599101</t>
  </si>
  <si>
    <t>1163846A</t>
  </si>
  <si>
    <t>48688</t>
  </si>
  <si>
    <t>51611</t>
  </si>
  <si>
    <t>96235</t>
  </si>
  <si>
    <t xml:space="preserve"> 387061801</t>
  </si>
  <si>
    <t>1518580</t>
  </si>
  <si>
    <t>36591</t>
  </si>
  <si>
    <t>51637</t>
  </si>
  <si>
    <t xml:space="preserve"> 393620001</t>
  </si>
  <si>
    <t>938</t>
  </si>
  <si>
    <t>51081</t>
  </si>
  <si>
    <t>8077</t>
  </si>
  <si>
    <t>38794</t>
  </si>
  <si>
    <t>39136</t>
  </si>
  <si>
    <t>8114</t>
  </si>
  <si>
    <t>8113</t>
  </si>
  <si>
    <t>39973</t>
  </si>
  <si>
    <t xml:space="preserve"> 380026901</t>
  </si>
  <si>
    <t>1172918</t>
  </si>
  <si>
    <t>174659</t>
  </si>
  <si>
    <t>38979</t>
  </si>
  <si>
    <t>175471</t>
  </si>
  <si>
    <t>38795</t>
  </si>
  <si>
    <t>38872</t>
  </si>
  <si>
    <t>5526</t>
  </si>
  <si>
    <t>174775</t>
  </si>
  <si>
    <t>57720</t>
  </si>
  <si>
    <t>38987</t>
  </si>
  <si>
    <t>38895</t>
  </si>
  <si>
    <t>38999</t>
  </si>
  <si>
    <t>57681</t>
  </si>
  <si>
    <t xml:space="preserve"> 405249001</t>
  </si>
  <si>
    <t>508</t>
  </si>
  <si>
    <t>16379</t>
  </si>
  <si>
    <t>40967</t>
  </si>
  <si>
    <t>32189</t>
  </si>
  <si>
    <t>40759</t>
  </si>
  <si>
    <t>101916</t>
  </si>
  <si>
    <t>58482</t>
  </si>
  <si>
    <t>8386</t>
  </si>
  <si>
    <t>58575</t>
  </si>
  <si>
    <t>8364</t>
  </si>
  <si>
    <t>58246</t>
  </si>
  <si>
    <t>58273</t>
  </si>
  <si>
    <t>8895</t>
  </si>
  <si>
    <t>8898</t>
  </si>
  <si>
    <t>17183</t>
  </si>
  <si>
    <t xml:space="preserve"> 436090301</t>
  </si>
  <si>
    <t>44735</t>
  </si>
  <si>
    <t>105199</t>
  </si>
  <si>
    <t>10536</t>
  </si>
  <si>
    <t>10372</t>
  </si>
  <si>
    <t>10473</t>
  </si>
  <si>
    <t xml:space="preserve"> 450408701</t>
  </si>
  <si>
    <t>1178578</t>
  </si>
  <si>
    <t>55176</t>
  </si>
  <si>
    <t>33010</t>
  </si>
  <si>
    <t>10505</t>
  </si>
  <si>
    <t>10538</t>
  </si>
  <si>
    <t>10657</t>
  </si>
  <si>
    <t>10916</t>
  </si>
  <si>
    <t>83690</t>
  </si>
  <si>
    <t>83796</t>
  </si>
  <si>
    <t xml:space="preserve"> 483700901</t>
  </si>
  <si>
    <t>1184748</t>
  </si>
  <si>
    <t>57165</t>
  </si>
  <si>
    <t>10727</t>
  </si>
  <si>
    <t>83992</t>
  </si>
  <si>
    <t>84029</t>
  </si>
  <si>
    <t>84208</t>
  </si>
  <si>
    <t>84058</t>
  </si>
  <si>
    <t>84364</t>
  </si>
  <si>
    <t>84088</t>
  </si>
  <si>
    <t>83960</t>
  </si>
  <si>
    <t>84004</t>
  </si>
  <si>
    <t>94971</t>
  </si>
  <si>
    <t>84253</t>
  </si>
  <si>
    <t>84315</t>
  </si>
  <si>
    <t>83844</t>
  </si>
  <si>
    <t>86211</t>
  </si>
  <si>
    <t>85667</t>
  </si>
  <si>
    <t>3149</t>
  </si>
  <si>
    <t>85972</t>
  </si>
  <si>
    <t>85842</t>
  </si>
  <si>
    <t>85750</t>
  </si>
  <si>
    <t>87589</t>
  </si>
  <si>
    <t>2866</t>
  </si>
  <si>
    <t>3396</t>
  </si>
  <si>
    <t>2847</t>
  </si>
  <si>
    <t>3422</t>
  </si>
  <si>
    <t>9051253</t>
  </si>
  <si>
    <t>70593</t>
  </si>
  <si>
    <t>026</t>
  </si>
  <si>
    <t>48335</t>
  </si>
  <si>
    <t>9051261</t>
  </si>
  <si>
    <t>21748</t>
  </si>
  <si>
    <t>49514</t>
  </si>
  <si>
    <t xml:space="preserve"> 516363301</t>
  </si>
  <si>
    <t>1364</t>
  </si>
  <si>
    <t>3232</t>
  </si>
  <si>
    <t>9051266</t>
  </si>
  <si>
    <t>71792</t>
  </si>
  <si>
    <t>9051258</t>
  </si>
  <si>
    <t>70598</t>
  </si>
  <si>
    <t xml:space="preserve"> 526426301</t>
  </si>
  <si>
    <t>2844</t>
  </si>
  <si>
    <t>3421</t>
  </si>
  <si>
    <t>86542</t>
  </si>
  <si>
    <t>40632</t>
  </si>
  <si>
    <t xml:space="preserve"> 531051901</t>
  </si>
  <si>
    <t>4</t>
  </si>
  <si>
    <t>66995</t>
  </si>
  <si>
    <t>41102</t>
  </si>
  <si>
    <t>66192</t>
  </si>
  <si>
    <t xml:space="preserve"> 549720301</t>
  </si>
  <si>
    <t>57064418</t>
  </si>
  <si>
    <t>41302</t>
  </si>
  <si>
    <t xml:space="preserve"> 531054401</t>
  </si>
  <si>
    <t>67020</t>
  </si>
  <si>
    <t>3363</t>
  </si>
  <si>
    <t xml:space="preserve"> 557885301</t>
  </si>
  <si>
    <t>298</t>
  </si>
  <si>
    <t>67184</t>
  </si>
  <si>
    <t xml:space="preserve"> 596177901</t>
  </si>
  <si>
    <t>17275</t>
  </si>
  <si>
    <t>41680</t>
  </si>
  <si>
    <t xml:space="preserve"> 583559101</t>
  </si>
  <si>
    <t>14149</t>
  </si>
  <si>
    <t>41331</t>
  </si>
  <si>
    <t>41358</t>
  </si>
  <si>
    <t>41761</t>
  </si>
  <si>
    <t>41411</t>
  </si>
  <si>
    <t>41580</t>
  </si>
  <si>
    <t>42153</t>
  </si>
  <si>
    <t>14510</t>
  </si>
  <si>
    <t xml:space="preserve"> 665048501</t>
  </si>
  <si>
    <t>1809</t>
  </si>
  <si>
    <t>1198880</t>
  </si>
  <si>
    <t>69787</t>
  </si>
  <si>
    <t>1198883</t>
  </si>
  <si>
    <t>69877</t>
  </si>
  <si>
    <t>94201</t>
  </si>
  <si>
    <t>4276</t>
  </si>
  <si>
    <t xml:space="preserve"> 692179501</t>
  </si>
  <si>
    <t>1860</t>
  </si>
  <si>
    <t>94170</t>
  </si>
  <si>
    <t>4468</t>
  </si>
  <si>
    <t>96014</t>
  </si>
  <si>
    <t>96037</t>
  </si>
  <si>
    <t>4510</t>
  </si>
  <si>
    <t>10647212</t>
  </si>
  <si>
    <t>4788</t>
  </si>
  <si>
    <t>4780</t>
  </si>
  <si>
    <t>96325</t>
  </si>
  <si>
    <t>71867</t>
  </si>
  <si>
    <t>12747</t>
  </si>
  <si>
    <t xml:space="preserve"> 778315301</t>
  </si>
  <si>
    <t>9051330</t>
  </si>
  <si>
    <t>85177</t>
  </si>
  <si>
    <t>027</t>
  </si>
  <si>
    <t>61061</t>
  </si>
  <si>
    <t>106289</t>
  </si>
  <si>
    <t>912075</t>
  </si>
  <si>
    <t>87749</t>
  </si>
  <si>
    <t>62785</t>
  </si>
  <si>
    <t xml:space="preserve"> 778070001</t>
  </si>
  <si>
    <t>912077</t>
  </si>
  <si>
    <t>24507</t>
  </si>
  <si>
    <t>039</t>
  </si>
  <si>
    <t>62729</t>
  </si>
  <si>
    <t>106652</t>
  </si>
  <si>
    <t>62862</t>
  </si>
  <si>
    <t>2570618</t>
  </si>
  <si>
    <t>106595</t>
  </si>
  <si>
    <t>697206225</t>
  </si>
  <si>
    <t>73210</t>
  </si>
  <si>
    <t>62871</t>
  </si>
  <si>
    <t xml:space="preserve"> 845016301</t>
  </si>
  <si>
    <t>MACROSEEDS INDUSTRIA E COMERCIO DE INSUMOS AGRICOL</t>
  </si>
  <si>
    <t>29</t>
  </si>
  <si>
    <t>57077055</t>
  </si>
  <si>
    <t>48456</t>
  </si>
  <si>
    <t xml:space="preserve"> 832385201</t>
  </si>
  <si>
    <t>9051336</t>
  </si>
  <si>
    <t>88438</t>
  </si>
  <si>
    <t xml:space="preserve"> 833102401</t>
  </si>
  <si>
    <t>698129</t>
  </si>
  <si>
    <t>80505</t>
  </si>
  <si>
    <t>80589</t>
  </si>
  <si>
    <t>106836</t>
  </si>
  <si>
    <t>80554</t>
  </si>
  <si>
    <t>81053</t>
  </si>
  <si>
    <t>912078</t>
  </si>
  <si>
    <t>87750</t>
  </si>
  <si>
    <t>12935</t>
  </si>
  <si>
    <t>12934</t>
  </si>
  <si>
    <t>12923</t>
  </si>
  <si>
    <t>041</t>
  </si>
  <si>
    <t>67109</t>
  </si>
  <si>
    <t>15217</t>
  </si>
  <si>
    <t>1646</t>
  </si>
  <si>
    <t>102228</t>
  </si>
  <si>
    <t>83284</t>
  </si>
  <si>
    <t>21984</t>
  </si>
  <si>
    <t xml:space="preserve"> 881016401</t>
  </si>
  <si>
    <t>57079476B</t>
  </si>
  <si>
    <t>49800</t>
  </si>
  <si>
    <t xml:space="preserve"> 883041601</t>
  </si>
  <si>
    <t>57080254B</t>
  </si>
  <si>
    <t>49870</t>
  </si>
  <si>
    <t>22064</t>
  </si>
  <si>
    <t>83273</t>
  </si>
  <si>
    <t>83262</t>
  </si>
  <si>
    <t xml:space="preserve"> 885913701</t>
  </si>
  <si>
    <t>10848495</t>
  </si>
  <si>
    <t>49013</t>
  </si>
  <si>
    <t>49011</t>
  </si>
  <si>
    <t>26495</t>
  </si>
  <si>
    <t>26490</t>
  </si>
  <si>
    <t>26514</t>
  </si>
  <si>
    <t>26505</t>
  </si>
  <si>
    <t>110599</t>
  </si>
  <si>
    <t>22076</t>
  </si>
  <si>
    <t>49439</t>
  </si>
  <si>
    <t>037</t>
  </si>
  <si>
    <t>22868</t>
  </si>
  <si>
    <t>13500</t>
  </si>
  <si>
    <t>105183</t>
  </si>
  <si>
    <t>88238</t>
  </si>
  <si>
    <t>191661</t>
  </si>
  <si>
    <t>49443</t>
  </si>
  <si>
    <t>104553</t>
  </si>
  <si>
    <t>104738</t>
  </si>
  <si>
    <t>13518</t>
  </si>
  <si>
    <t>13545</t>
  </si>
  <si>
    <t>13555</t>
  </si>
  <si>
    <t>111488</t>
  </si>
  <si>
    <t xml:space="preserve"> 905288801</t>
  </si>
  <si>
    <t>9120111</t>
  </si>
  <si>
    <t>92864</t>
  </si>
  <si>
    <t>88195</t>
  </si>
  <si>
    <t>5744</t>
  </si>
  <si>
    <t>5722</t>
  </si>
  <si>
    <t>5817</t>
  </si>
  <si>
    <t>85614</t>
  </si>
  <si>
    <t>5887</t>
  </si>
  <si>
    <t>85587</t>
  </si>
  <si>
    <t>6145</t>
  </si>
  <si>
    <t>6006</t>
  </si>
  <si>
    <t>6075</t>
  </si>
  <si>
    <t>85669</t>
  </si>
  <si>
    <t>6000</t>
  </si>
  <si>
    <t>85949</t>
  </si>
  <si>
    <t>6291</t>
  </si>
  <si>
    <t>85954</t>
  </si>
  <si>
    <t>112441</t>
  </si>
  <si>
    <t>85966</t>
  </si>
  <si>
    <t>85993</t>
  </si>
  <si>
    <t>25745</t>
  </si>
  <si>
    <t>34449</t>
  </si>
  <si>
    <t>23160</t>
  </si>
  <si>
    <t>20842</t>
  </si>
  <si>
    <t xml:space="preserve">  41785901</t>
  </si>
  <si>
    <t>39808</t>
  </si>
  <si>
    <t>15347</t>
  </si>
  <si>
    <t>23145</t>
  </si>
  <si>
    <t xml:space="preserve">  75291701</t>
  </si>
  <si>
    <t>2461</t>
  </si>
  <si>
    <t>12745</t>
  </si>
  <si>
    <t>35136</t>
  </si>
  <si>
    <t>35015</t>
  </si>
  <si>
    <t>35048</t>
  </si>
  <si>
    <t>17565</t>
  </si>
  <si>
    <t xml:space="preserve"> 104477302</t>
  </si>
  <si>
    <t>531</t>
  </si>
  <si>
    <t>37227</t>
  </si>
  <si>
    <t xml:space="preserve">  81140401</t>
  </si>
  <si>
    <t>19230</t>
  </si>
  <si>
    <t>37366</t>
  </si>
  <si>
    <t xml:space="preserve">  85726501</t>
  </si>
  <si>
    <t>21083381</t>
  </si>
  <si>
    <t>6496</t>
  </si>
  <si>
    <t xml:space="preserve"> 104116102</t>
  </si>
  <si>
    <t>54541</t>
  </si>
  <si>
    <t>39536</t>
  </si>
  <si>
    <t>112423</t>
  </si>
  <si>
    <t>112389</t>
  </si>
  <si>
    <t>3693</t>
  </si>
  <si>
    <t xml:space="preserve">  80564001</t>
  </si>
  <si>
    <t>1423410</t>
  </si>
  <si>
    <t>99902</t>
  </si>
  <si>
    <t xml:space="preserve">  85157201</t>
  </si>
  <si>
    <t>DDMAT DESINSETIZADORA LTDA -ME</t>
  </si>
  <si>
    <t>1282</t>
  </si>
  <si>
    <t xml:space="preserve"> 137710902</t>
  </si>
  <si>
    <t>7763</t>
  </si>
  <si>
    <t>15335</t>
  </si>
  <si>
    <t>41569</t>
  </si>
  <si>
    <t>17245</t>
  </si>
  <si>
    <t xml:space="preserve"> 105497101</t>
  </si>
  <si>
    <t>DEVOLVER</t>
  </si>
  <si>
    <t>15395</t>
  </si>
  <si>
    <t>41686</t>
  </si>
  <si>
    <t>15321</t>
  </si>
  <si>
    <t>15373</t>
  </si>
  <si>
    <t>42102</t>
  </si>
  <si>
    <t>15279</t>
  </si>
  <si>
    <t>8688</t>
  </si>
  <si>
    <t>15343</t>
  </si>
  <si>
    <t>41995</t>
  </si>
  <si>
    <t>43009</t>
  </si>
  <si>
    <t>41057</t>
  </si>
  <si>
    <t>41083</t>
  </si>
  <si>
    <t>15389</t>
  </si>
  <si>
    <t>47709</t>
  </si>
  <si>
    <t>48059</t>
  </si>
  <si>
    <t>47779</t>
  </si>
  <si>
    <t>48147</t>
  </si>
  <si>
    <t>70070</t>
  </si>
  <si>
    <t>47491</t>
  </si>
  <si>
    <t>47483</t>
  </si>
  <si>
    <t>70077</t>
  </si>
  <si>
    <t>47437</t>
  </si>
  <si>
    <t>49358</t>
  </si>
  <si>
    <t>49424</t>
  </si>
  <si>
    <t>49571</t>
  </si>
  <si>
    <t>49265</t>
  </si>
  <si>
    <t>50032</t>
  </si>
  <si>
    <t>49750</t>
  </si>
  <si>
    <t>49748</t>
  </si>
  <si>
    <t>49816</t>
  </si>
  <si>
    <t>49645</t>
  </si>
  <si>
    <t>49874</t>
  </si>
  <si>
    <t>49651</t>
  </si>
  <si>
    <t>48687</t>
  </si>
  <si>
    <t>48437</t>
  </si>
  <si>
    <t>49934</t>
  </si>
  <si>
    <t>49148</t>
  </si>
  <si>
    <t>50423</t>
  </si>
  <si>
    <t>50202</t>
  </si>
  <si>
    <t>50670</t>
  </si>
  <si>
    <t>30459</t>
  </si>
  <si>
    <t>30461</t>
  </si>
  <si>
    <t>50431</t>
  </si>
  <si>
    <t>6994</t>
  </si>
  <si>
    <t>50174</t>
  </si>
  <si>
    <t>50315</t>
  </si>
  <si>
    <t>50115</t>
  </si>
  <si>
    <t>48009</t>
  </si>
  <si>
    <t>30463</t>
  </si>
  <si>
    <t>50311</t>
  </si>
  <si>
    <t>7442</t>
  </si>
  <si>
    <t>22770</t>
  </si>
  <si>
    <t>47899</t>
  </si>
  <si>
    <t>47558</t>
  </si>
  <si>
    <t>22806</t>
  </si>
  <si>
    <t>39152</t>
  </si>
  <si>
    <t>30398</t>
  </si>
  <si>
    <t>50034</t>
  </si>
  <si>
    <t>50095</t>
  </si>
  <si>
    <t>50122</t>
  </si>
  <si>
    <t>39385</t>
  </si>
  <si>
    <t>50542</t>
  </si>
  <si>
    <t>72154</t>
  </si>
  <si>
    <t>48629</t>
  </si>
  <si>
    <t xml:space="preserve"> 129494501</t>
  </si>
  <si>
    <t>4061</t>
  </si>
  <si>
    <t>40421</t>
  </si>
  <si>
    <t>40353</t>
  </si>
  <si>
    <t>40354</t>
  </si>
  <si>
    <t>33198</t>
  </si>
  <si>
    <t>29857</t>
  </si>
  <si>
    <t xml:space="preserve"> 140589901</t>
  </si>
  <si>
    <t>1445252</t>
  </si>
  <si>
    <t>21754</t>
  </si>
  <si>
    <t>21854</t>
  </si>
  <si>
    <t>32935</t>
  </si>
  <si>
    <t>22130</t>
  </si>
  <si>
    <t>30679</t>
  </si>
  <si>
    <t>29846</t>
  </si>
  <si>
    <t>22110</t>
  </si>
  <si>
    <t>22164</t>
  </si>
  <si>
    <t>29774</t>
  </si>
  <si>
    <t>29689</t>
  </si>
  <si>
    <t xml:space="preserve"> 205596201</t>
  </si>
  <si>
    <t>1470752</t>
  </si>
  <si>
    <t>22861</t>
  </si>
  <si>
    <t>36321</t>
  </si>
  <si>
    <t xml:space="preserve"> 195596101</t>
  </si>
  <si>
    <t>155371</t>
  </si>
  <si>
    <t>33349</t>
  </si>
  <si>
    <t xml:space="preserve"> 155351501</t>
  </si>
  <si>
    <t>56264</t>
  </si>
  <si>
    <t>31340</t>
  </si>
  <si>
    <t xml:space="preserve"> 142357401</t>
  </si>
  <si>
    <t>2067</t>
  </si>
  <si>
    <t>2052</t>
  </si>
  <si>
    <t>53482</t>
  </si>
  <si>
    <t>52876</t>
  </si>
  <si>
    <t>30680</t>
  </si>
  <si>
    <t>53220</t>
  </si>
  <si>
    <t>53054</t>
  </si>
  <si>
    <t>53272</t>
  </si>
  <si>
    <t>52163</t>
  </si>
  <si>
    <t>53431</t>
  </si>
  <si>
    <t>24598</t>
  </si>
  <si>
    <t>52133</t>
  </si>
  <si>
    <t>52069</t>
  </si>
  <si>
    <t>53028</t>
  </si>
  <si>
    <t>53027</t>
  </si>
  <si>
    <t>53439</t>
  </si>
  <si>
    <t>38130</t>
  </si>
  <si>
    <t>38200</t>
  </si>
  <si>
    <t>38146</t>
  </si>
  <si>
    <t>38228</t>
  </si>
  <si>
    <t>38356</t>
  </si>
  <si>
    <t>38436</t>
  </si>
  <si>
    <t>38218</t>
  </si>
  <si>
    <t>38186</t>
  </si>
  <si>
    <t>38364</t>
  </si>
  <si>
    <t>38402</t>
  </si>
  <si>
    <t>38474</t>
  </si>
  <si>
    <t>38476</t>
  </si>
  <si>
    <t>38454</t>
  </si>
  <si>
    <t>55424</t>
  </si>
  <si>
    <t>70942</t>
  </si>
  <si>
    <t>55359</t>
  </si>
  <si>
    <t>55338</t>
  </si>
  <si>
    <t>151411</t>
  </si>
  <si>
    <t>55421</t>
  </si>
  <si>
    <t>151410</t>
  </si>
  <si>
    <t xml:space="preserve"> 257067301</t>
  </si>
  <si>
    <t>1142535</t>
  </si>
  <si>
    <t>6976</t>
  </si>
  <si>
    <t>40694</t>
  </si>
  <si>
    <t>70445</t>
  </si>
  <si>
    <t>27658</t>
  </si>
  <si>
    <t>141332</t>
  </si>
  <si>
    <t>140557</t>
  </si>
  <si>
    <t>140558</t>
  </si>
  <si>
    <t>140488</t>
  </si>
  <si>
    <t>140579</t>
  </si>
  <si>
    <t>140592</t>
  </si>
  <si>
    <t xml:space="preserve"> 160776101</t>
  </si>
  <si>
    <t>56324-12</t>
  </si>
  <si>
    <t>35379</t>
  </si>
  <si>
    <t>160332</t>
  </si>
  <si>
    <t>160306</t>
  </si>
  <si>
    <t xml:space="preserve"> 343689101</t>
  </si>
  <si>
    <t>16596</t>
  </si>
  <si>
    <t>165506</t>
  </si>
  <si>
    <t>92348</t>
  </si>
  <si>
    <t>162767</t>
  </si>
  <si>
    <t>163433</t>
  </si>
  <si>
    <t xml:space="preserve"> 338577201</t>
  </si>
  <si>
    <t>7010356824</t>
  </si>
  <si>
    <t>BASF S.A</t>
  </si>
  <si>
    <t>21057</t>
  </si>
  <si>
    <t>165329</t>
  </si>
  <si>
    <t>164312</t>
  </si>
  <si>
    <t>164340</t>
  </si>
  <si>
    <t>163709</t>
  </si>
  <si>
    <t>167731</t>
  </si>
  <si>
    <t>167473</t>
  </si>
  <si>
    <t>18938</t>
  </si>
  <si>
    <t>167261</t>
  </si>
  <si>
    <t>34244</t>
  </si>
  <si>
    <t>167192</t>
  </si>
  <si>
    <t>167876</t>
  </si>
  <si>
    <t xml:space="preserve"> 351996001</t>
  </si>
  <si>
    <t>9051164</t>
  </si>
  <si>
    <t>18939</t>
  </si>
  <si>
    <t>18936</t>
  </si>
  <si>
    <t>165087</t>
  </si>
  <si>
    <t>93594</t>
  </si>
  <si>
    <t>48093</t>
  </si>
  <si>
    <t>48664</t>
  </si>
  <si>
    <t>48112</t>
  </si>
  <si>
    <t>168646</t>
  </si>
  <si>
    <t>168686</t>
  </si>
  <si>
    <t>168695</t>
  </si>
  <si>
    <t>168676</t>
  </si>
  <si>
    <t>168702</t>
  </si>
  <si>
    <t>168847</t>
  </si>
  <si>
    <t>51437</t>
  </si>
  <si>
    <t xml:space="preserve"> 373399801</t>
  </si>
  <si>
    <t>32182</t>
  </si>
  <si>
    <t>36528</t>
  </si>
  <si>
    <t>51601</t>
  </si>
  <si>
    <t>35148</t>
  </si>
  <si>
    <t>50935</t>
  </si>
  <si>
    <t>50936</t>
  </si>
  <si>
    <t>24316</t>
  </si>
  <si>
    <t xml:space="preserve"> 357338301</t>
  </si>
  <si>
    <t>254</t>
  </si>
  <si>
    <t>989</t>
  </si>
  <si>
    <t>15738</t>
  </si>
  <si>
    <t>57761</t>
  </si>
  <si>
    <t>38823</t>
  </si>
  <si>
    <t>38799</t>
  </si>
  <si>
    <t>1160</t>
  </si>
  <si>
    <t>175567</t>
  </si>
  <si>
    <t>39134</t>
  </si>
  <si>
    <t>8079</t>
  </si>
  <si>
    <t>40051</t>
  </si>
  <si>
    <t>8116</t>
  </si>
  <si>
    <t>40036</t>
  </si>
  <si>
    <t>174671</t>
  </si>
  <si>
    <t>5492</t>
  </si>
  <si>
    <t xml:space="preserve"> 400880301</t>
  </si>
  <si>
    <t>89575</t>
  </si>
  <si>
    <t>174668</t>
  </si>
  <si>
    <t xml:space="preserve"> 421906601</t>
  </si>
  <si>
    <t>1044</t>
  </si>
  <si>
    <t xml:space="preserve"> 413706001</t>
  </si>
  <si>
    <t>1541716</t>
  </si>
  <si>
    <t>240728</t>
  </si>
  <si>
    <t>58460</t>
  </si>
  <si>
    <t>58464</t>
  </si>
  <si>
    <t>58483</t>
  </si>
  <si>
    <t>8305</t>
  </si>
  <si>
    <t>8310</t>
  </si>
  <si>
    <t>58248</t>
  </si>
  <si>
    <t>58383</t>
  </si>
  <si>
    <t>32871</t>
  </si>
  <si>
    <t xml:space="preserve"> 413710401</t>
  </si>
  <si>
    <t>1541417</t>
  </si>
  <si>
    <t>42869</t>
  </si>
  <si>
    <t>104350</t>
  </si>
  <si>
    <t>104021</t>
  </si>
  <si>
    <t>33020</t>
  </si>
  <si>
    <t>105194</t>
  </si>
  <si>
    <t>32993</t>
  </si>
  <si>
    <t>10365</t>
  </si>
  <si>
    <t>10658</t>
  </si>
  <si>
    <t>10441</t>
  </si>
  <si>
    <t>11118</t>
  </si>
  <si>
    <t>10794</t>
  </si>
  <si>
    <t>10797</t>
  </si>
  <si>
    <t xml:space="preserve"> 482115901</t>
  </si>
  <si>
    <t>017</t>
  </si>
  <si>
    <t>46167</t>
  </si>
  <si>
    <t>83571</t>
  </si>
  <si>
    <t>83618</t>
  </si>
  <si>
    <t>84052</t>
  </si>
  <si>
    <t>84189</t>
  </si>
  <si>
    <t xml:space="preserve"> 506380402</t>
  </si>
  <si>
    <t>115712</t>
  </si>
  <si>
    <t xml:space="preserve"> 485248401</t>
  </si>
  <si>
    <t>1251</t>
  </si>
  <si>
    <t>84251</t>
  </si>
  <si>
    <t>84299</t>
  </si>
  <si>
    <t xml:space="preserve"> 485383901</t>
  </si>
  <si>
    <t>1253</t>
  </si>
  <si>
    <t>84017</t>
  </si>
  <si>
    <t>83781</t>
  </si>
  <si>
    <t>83812</t>
  </si>
  <si>
    <t>10363</t>
  </si>
  <si>
    <t>92806</t>
  </si>
  <si>
    <t>3046</t>
  </si>
  <si>
    <t xml:space="preserve"> 380005201</t>
  </si>
  <si>
    <t>1165538</t>
  </si>
  <si>
    <t>51843</t>
  </si>
  <si>
    <t>3164</t>
  </si>
  <si>
    <t>85657</t>
  </si>
  <si>
    <t xml:space="preserve"> 401432401</t>
  </si>
  <si>
    <t>10441313</t>
  </si>
  <si>
    <t>3070</t>
  </si>
  <si>
    <t>87989</t>
  </si>
  <si>
    <t>9051262</t>
  </si>
  <si>
    <t>21747</t>
  </si>
  <si>
    <t>48345</t>
  </si>
  <si>
    <t>2868</t>
  </si>
  <si>
    <t>3439</t>
  </si>
  <si>
    <t>61807</t>
  </si>
  <si>
    <t>87991</t>
  </si>
  <si>
    <t>87792</t>
  </si>
  <si>
    <t>86896</t>
  </si>
  <si>
    <t>033</t>
  </si>
  <si>
    <t>50890</t>
  </si>
  <si>
    <t>63053</t>
  </si>
  <si>
    <t>63623</t>
  </si>
  <si>
    <t>63613</t>
  </si>
  <si>
    <t>34-338</t>
  </si>
  <si>
    <t>46139</t>
  </si>
  <si>
    <t>36-338</t>
  </si>
  <si>
    <t>45697</t>
  </si>
  <si>
    <t>50434</t>
  </si>
  <si>
    <t xml:space="preserve"> 531055801</t>
  </si>
  <si>
    <t>7</t>
  </si>
  <si>
    <t>65937</t>
  </si>
  <si>
    <t>65870</t>
  </si>
  <si>
    <t>89690</t>
  </si>
  <si>
    <t>41030</t>
  </si>
  <si>
    <t>66191</t>
  </si>
  <si>
    <t xml:space="preserve"> 573310401</t>
  </si>
  <si>
    <t>1629</t>
  </si>
  <si>
    <t>37-338</t>
  </si>
  <si>
    <t>46141</t>
  </si>
  <si>
    <t>54-338</t>
  </si>
  <si>
    <t>14357</t>
  </si>
  <si>
    <t>67174</t>
  </si>
  <si>
    <t>39-338</t>
  </si>
  <si>
    <t>13849</t>
  </si>
  <si>
    <t xml:space="preserve"> 582868301</t>
  </si>
  <si>
    <t>413539</t>
  </si>
  <si>
    <t>3359</t>
  </si>
  <si>
    <t>65533</t>
  </si>
  <si>
    <t>41591</t>
  </si>
  <si>
    <t xml:space="preserve"> 585752701</t>
  </si>
  <si>
    <t>395067</t>
  </si>
  <si>
    <t xml:space="preserve"> 600844501</t>
  </si>
  <si>
    <t>1551</t>
  </si>
  <si>
    <t>41902</t>
  </si>
  <si>
    <t xml:space="preserve"> 609955001</t>
  </si>
  <si>
    <t>1695</t>
  </si>
  <si>
    <t xml:space="preserve"> 610185101</t>
  </si>
  <si>
    <t>1697</t>
  </si>
  <si>
    <t>41503</t>
  </si>
  <si>
    <t>41743</t>
  </si>
  <si>
    <t>41289</t>
  </si>
  <si>
    <t>41955</t>
  </si>
  <si>
    <t>1197851</t>
  </si>
  <si>
    <t>69193</t>
  </si>
  <si>
    <t>29980</t>
  </si>
  <si>
    <t>41992</t>
  </si>
  <si>
    <t>12483</t>
  </si>
  <si>
    <t>14509</t>
  </si>
  <si>
    <t>57163</t>
  </si>
  <si>
    <t>69448</t>
  </si>
  <si>
    <t>9051299</t>
  </si>
  <si>
    <t>4278</t>
  </si>
  <si>
    <t>94106</t>
  </si>
  <si>
    <t>4311</t>
  </si>
  <si>
    <t>4412</t>
  </si>
  <si>
    <t>110411</t>
  </si>
  <si>
    <t>11040</t>
  </si>
  <si>
    <t>143-2</t>
  </si>
  <si>
    <t>27307</t>
  </si>
  <si>
    <t>66280</t>
  </si>
  <si>
    <t>26787</t>
  </si>
  <si>
    <t>4297</t>
  </si>
  <si>
    <t>4367</t>
  </si>
  <si>
    <t>4542</t>
  </si>
  <si>
    <t>96012</t>
  </si>
  <si>
    <t>4561</t>
  </si>
  <si>
    <t>10646691</t>
  </si>
  <si>
    <t>4703</t>
  </si>
  <si>
    <t>96112</t>
  </si>
  <si>
    <t>4498</t>
  </si>
  <si>
    <t>96071</t>
  </si>
  <si>
    <t>96206</t>
  </si>
  <si>
    <t>96309</t>
  </si>
  <si>
    <t>96506</t>
  </si>
  <si>
    <t xml:space="preserve"> 773244601</t>
  </si>
  <si>
    <t>4065902</t>
  </si>
  <si>
    <t>22926</t>
  </si>
  <si>
    <t>10742314</t>
  </si>
  <si>
    <t>4751</t>
  </si>
  <si>
    <t>22925</t>
  </si>
  <si>
    <t>96510</t>
  </si>
  <si>
    <t>96710</t>
  </si>
  <si>
    <t>12754</t>
  </si>
  <si>
    <t>12750</t>
  </si>
  <si>
    <t xml:space="preserve"> 778313801</t>
  </si>
  <si>
    <t>9051329</t>
  </si>
  <si>
    <t>85173</t>
  </si>
  <si>
    <t>036</t>
  </si>
  <si>
    <t>62790</t>
  </si>
  <si>
    <t>62787</t>
  </si>
  <si>
    <t>62733</t>
  </si>
  <si>
    <t>62864</t>
  </si>
  <si>
    <t>028</t>
  </si>
  <si>
    <t>61021</t>
  </si>
  <si>
    <t>106639</t>
  </si>
  <si>
    <t>106659</t>
  </si>
  <si>
    <t>106654</t>
  </si>
  <si>
    <t>62867</t>
  </si>
  <si>
    <t>106610</t>
  </si>
  <si>
    <t>106640</t>
  </si>
  <si>
    <t xml:space="preserve"> 831530401</t>
  </si>
  <si>
    <t>178942</t>
  </si>
  <si>
    <t>88443</t>
  </si>
  <si>
    <t xml:space="preserve"> 833105701</t>
  </si>
  <si>
    <t>710068</t>
  </si>
  <si>
    <t>80516</t>
  </si>
  <si>
    <t>80499</t>
  </si>
  <si>
    <t>106579</t>
  </si>
  <si>
    <t>80509</t>
  </si>
  <si>
    <t>13036</t>
  </si>
  <si>
    <t>12926</t>
  </si>
  <si>
    <t>80524</t>
  </si>
  <si>
    <t>80523</t>
  </si>
  <si>
    <t>80564</t>
  </si>
  <si>
    <t>209</t>
  </si>
  <si>
    <t>3045</t>
  </si>
  <si>
    <t>80990</t>
  </si>
  <si>
    <t>81060</t>
  </si>
  <si>
    <t>1681</t>
  </si>
  <si>
    <t>102302</t>
  </si>
  <si>
    <t>81669</t>
  </si>
  <si>
    <t>22030</t>
  </si>
  <si>
    <t>22032</t>
  </si>
  <si>
    <t>49435</t>
  </si>
  <si>
    <t>26518</t>
  </si>
  <si>
    <t>83265</t>
  </si>
  <si>
    <t>83267</t>
  </si>
  <si>
    <t>83266</t>
  </si>
  <si>
    <t>83256</t>
  </si>
  <si>
    <t>49028</t>
  </si>
  <si>
    <t>15666</t>
  </si>
  <si>
    <t>20603</t>
  </si>
  <si>
    <t>102241</t>
  </si>
  <si>
    <t>13464</t>
  </si>
  <si>
    <t>191710</t>
  </si>
  <si>
    <t>13484</t>
  </si>
  <si>
    <t>13480</t>
  </si>
  <si>
    <t>13468</t>
  </si>
  <si>
    <t>13514</t>
  </si>
  <si>
    <t>88193</t>
  </si>
  <si>
    <t>88227</t>
  </si>
  <si>
    <t>104889</t>
  </si>
  <si>
    <t>104740</t>
  </si>
  <si>
    <t>13488</t>
  </si>
  <si>
    <t>105238</t>
  </si>
  <si>
    <t>41315</t>
  </si>
  <si>
    <t xml:space="preserve"> 921183601</t>
  </si>
  <si>
    <t>021</t>
  </si>
  <si>
    <t>70955</t>
  </si>
  <si>
    <t xml:space="preserve"> 950616501</t>
  </si>
  <si>
    <t>562500624</t>
  </si>
  <si>
    <t>18763</t>
  </si>
  <si>
    <t>5863</t>
  </si>
  <si>
    <t>85592</t>
  </si>
  <si>
    <t>85595</t>
  </si>
  <si>
    <t>6127</t>
  </si>
  <si>
    <t>6058</t>
  </si>
  <si>
    <t>6025</t>
  </si>
  <si>
    <t>85672</t>
  </si>
  <si>
    <t>6241</t>
  </si>
  <si>
    <t>6069</t>
  </si>
  <si>
    <t>6281</t>
  </si>
  <si>
    <t>85969</t>
  </si>
  <si>
    <t>57279</t>
  </si>
  <si>
    <t>13838</t>
  </si>
  <si>
    <t>23101</t>
  </si>
  <si>
    <t>23196</t>
  </si>
  <si>
    <t>13837</t>
  </si>
  <si>
    <t>20965</t>
  </si>
  <si>
    <t>23152</t>
  </si>
  <si>
    <t>23142</t>
  </si>
  <si>
    <t xml:space="preserve">  49753901</t>
  </si>
  <si>
    <t>2300040</t>
  </si>
  <si>
    <t>56647</t>
  </si>
  <si>
    <t>4973</t>
  </si>
  <si>
    <t>37361</t>
  </si>
  <si>
    <t>37219</t>
  </si>
  <si>
    <t>37225</t>
  </si>
  <si>
    <t>39738</t>
  </si>
  <si>
    <t>39705</t>
  </si>
  <si>
    <t>4151</t>
  </si>
  <si>
    <t>112384</t>
  </si>
  <si>
    <t>112286</t>
  </si>
  <si>
    <t>3863</t>
  </si>
  <si>
    <t>39531</t>
  </si>
  <si>
    <t xml:space="preserve">  82968301</t>
  </si>
  <si>
    <t>5368</t>
  </si>
  <si>
    <t>40535</t>
  </si>
  <si>
    <t>37492</t>
  </si>
  <si>
    <t>27596</t>
  </si>
  <si>
    <t>42939</t>
  </si>
  <si>
    <t>42989</t>
  </si>
  <si>
    <t xml:space="preserve"> 138781102</t>
  </si>
  <si>
    <t>75199</t>
  </si>
  <si>
    <t>15331</t>
  </si>
  <si>
    <t>41734</t>
  </si>
  <si>
    <t>47842</t>
  </si>
  <si>
    <t>31580</t>
  </si>
  <si>
    <t>41824</t>
  </si>
  <si>
    <t>15431</t>
  </si>
  <si>
    <t>41939</t>
  </si>
  <si>
    <t xml:space="preserve">  97942801</t>
  </si>
  <si>
    <t>21894</t>
  </si>
  <si>
    <t>1839</t>
  </si>
  <si>
    <t>15375</t>
  </si>
  <si>
    <t>15379</t>
  </si>
  <si>
    <t>15301</t>
  </si>
  <si>
    <t>40889</t>
  </si>
  <si>
    <t>41635</t>
  </si>
  <si>
    <t>43004</t>
  </si>
  <si>
    <t>42991</t>
  </si>
  <si>
    <t>47761</t>
  </si>
  <si>
    <t>47948</t>
  </si>
  <si>
    <t>48119</t>
  </si>
  <si>
    <t>47844</t>
  </si>
  <si>
    <t>47907</t>
  </si>
  <si>
    <t>49372</t>
  </si>
  <si>
    <t>49465</t>
  </si>
  <si>
    <t>49428</t>
  </si>
  <si>
    <t>49572</t>
  </si>
  <si>
    <t>49570</t>
  </si>
  <si>
    <t xml:space="preserve"> 140589201</t>
  </si>
  <si>
    <t>1445251</t>
  </si>
  <si>
    <t>18213</t>
  </si>
  <si>
    <t>49584</t>
  </si>
  <si>
    <t>49220</t>
  </si>
  <si>
    <t>49368</t>
  </si>
  <si>
    <t>30485</t>
  </si>
  <si>
    <t xml:space="preserve"> 163445901</t>
  </si>
  <si>
    <t>905889</t>
  </si>
  <si>
    <t>15470</t>
  </si>
  <si>
    <t>50520</t>
  </si>
  <si>
    <t>47721</t>
  </si>
  <si>
    <t>47986</t>
  </si>
  <si>
    <t>50312</t>
  </si>
  <si>
    <t>50304</t>
  </si>
  <si>
    <t>47703</t>
  </si>
  <si>
    <t>50856</t>
  </si>
  <si>
    <t>50663</t>
  </si>
  <si>
    <t>46406</t>
  </si>
  <si>
    <t>22850</t>
  </si>
  <si>
    <t>49757</t>
  </si>
  <si>
    <t>50461</t>
  </si>
  <si>
    <t>50462</t>
  </si>
  <si>
    <t>47018</t>
  </si>
  <si>
    <t>39407</t>
  </si>
  <si>
    <t>39775</t>
  </si>
  <si>
    <t>47763</t>
  </si>
  <si>
    <t>48319</t>
  </si>
  <si>
    <t>34014</t>
  </si>
  <si>
    <t xml:space="preserve"> 156454501</t>
  </si>
  <si>
    <t>39</t>
  </si>
  <si>
    <t>22763</t>
  </si>
  <si>
    <t>40451</t>
  </si>
  <si>
    <t>21299</t>
  </si>
  <si>
    <t>22045</t>
  </si>
  <si>
    <t>22080</t>
  </si>
  <si>
    <t>23136</t>
  </si>
  <si>
    <t>53170</t>
  </si>
  <si>
    <t>48350</t>
  </si>
  <si>
    <t>6368</t>
  </si>
  <si>
    <t xml:space="preserve"> 198212201</t>
  </si>
  <si>
    <t>1470543</t>
  </si>
  <si>
    <t>23149</t>
  </si>
  <si>
    <t xml:space="preserve"> 183923601</t>
  </si>
  <si>
    <t>18743</t>
  </si>
  <si>
    <t>17903</t>
  </si>
  <si>
    <t>36147</t>
  </si>
  <si>
    <t>53035</t>
  </si>
  <si>
    <t>53222</t>
  </si>
  <si>
    <t>7108</t>
  </si>
  <si>
    <t>52297</t>
  </si>
  <si>
    <t>19294</t>
  </si>
  <si>
    <t>24555</t>
  </si>
  <si>
    <t>53452</t>
  </si>
  <si>
    <t>53483</t>
  </si>
  <si>
    <t>52025</t>
  </si>
  <si>
    <t>24559</t>
  </si>
  <si>
    <t>24608</t>
  </si>
  <si>
    <t>24532</t>
  </si>
  <si>
    <t>24546</t>
  </si>
  <si>
    <t xml:space="preserve"> 222094001</t>
  </si>
  <si>
    <t>69</t>
  </si>
  <si>
    <t>6436</t>
  </si>
  <si>
    <t>30768</t>
  </si>
  <si>
    <t>53039</t>
  </si>
  <si>
    <t>38206</t>
  </si>
  <si>
    <t>38262</t>
  </si>
  <si>
    <t>38216</t>
  </si>
  <si>
    <t>24560</t>
  </si>
  <si>
    <t>38282</t>
  </si>
  <si>
    <t>38370</t>
  </si>
  <si>
    <t>38128</t>
  </si>
  <si>
    <t>39052</t>
  </si>
  <si>
    <t>55288</t>
  </si>
  <si>
    <t>31744</t>
  </si>
  <si>
    <t>7103</t>
  </si>
  <si>
    <t>151465</t>
  </si>
  <si>
    <t>55449</t>
  </si>
  <si>
    <t>7213</t>
  </si>
  <si>
    <t>12238</t>
  </si>
  <si>
    <t xml:space="preserve"> 256225601</t>
  </si>
  <si>
    <t>9051052</t>
  </si>
  <si>
    <t>17155</t>
  </si>
  <si>
    <t>40619</t>
  </si>
  <si>
    <t>27666</t>
  </si>
  <si>
    <t>141217</t>
  </si>
  <si>
    <t>140347</t>
  </si>
  <si>
    <t>140771</t>
  </si>
  <si>
    <t>139819</t>
  </si>
  <si>
    <t>142233</t>
  </si>
  <si>
    <t xml:space="preserve"> 310893701</t>
  </si>
  <si>
    <t>047</t>
  </si>
  <si>
    <t>33311</t>
  </si>
  <si>
    <t xml:space="preserve"> 303978401</t>
  </si>
  <si>
    <t>1353</t>
  </si>
  <si>
    <t>34156</t>
  </si>
  <si>
    <t>34154</t>
  </si>
  <si>
    <t xml:space="preserve"> 371447202</t>
  </si>
  <si>
    <t>83247</t>
  </si>
  <si>
    <t>34242</t>
  </si>
  <si>
    <t xml:space="preserve"> 259748201</t>
  </si>
  <si>
    <t>14390</t>
  </si>
  <si>
    <t>93007</t>
  </si>
  <si>
    <t>92387</t>
  </si>
  <si>
    <t>165501</t>
  </si>
  <si>
    <t>165547</t>
  </si>
  <si>
    <t>162923</t>
  </si>
  <si>
    <t>91974</t>
  </si>
  <si>
    <t>91973</t>
  </si>
  <si>
    <t>165682</t>
  </si>
  <si>
    <t>163984</t>
  </si>
  <si>
    <t>168003</t>
  </si>
  <si>
    <t>93954</t>
  </si>
  <si>
    <t>167670</t>
  </si>
  <si>
    <t>167208</t>
  </si>
  <si>
    <t>167260</t>
  </si>
  <si>
    <t>165096</t>
  </si>
  <si>
    <t>166584</t>
  </si>
  <si>
    <t>170832</t>
  </si>
  <si>
    <t>48683</t>
  </si>
  <si>
    <t>48674</t>
  </si>
  <si>
    <t>168647</t>
  </si>
  <si>
    <t xml:space="preserve"> 367236201</t>
  </si>
  <si>
    <t>VIA FERTIL PRODUTOS AGROPECUARIOS LTDA</t>
  </si>
  <si>
    <t>10220</t>
  </si>
  <si>
    <t>16290</t>
  </si>
  <si>
    <t>51602</t>
  </si>
  <si>
    <t>51604</t>
  </si>
  <si>
    <t>32483</t>
  </si>
  <si>
    <t>32484</t>
  </si>
  <si>
    <t>51576</t>
  </si>
  <si>
    <t>51599</t>
  </si>
  <si>
    <t>33824</t>
  </si>
  <si>
    <t>25641</t>
  </si>
  <si>
    <t>51079</t>
  </si>
  <si>
    <t>51831</t>
  </si>
  <si>
    <t>51832</t>
  </si>
  <si>
    <t>57743</t>
  </si>
  <si>
    <t xml:space="preserve"> 413715001</t>
  </si>
  <si>
    <t>2834958</t>
  </si>
  <si>
    <t>38883</t>
  </si>
  <si>
    <t>38984</t>
  </si>
  <si>
    <t>176060</t>
  </si>
  <si>
    <t>175362</t>
  </si>
  <si>
    <t>175364</t>
  </si>
  <si>
    <t>8099</t>
  </si>
  <si>
    <t>57789</t>
  </si>
  <si>
    <t>40042</t>
  </si>
  <si>
    <t>8115</t>
  </si>
  <si>
    <t>5511</t>
  </si>
  <si>
    <t>175832</t>
  </si>
  <si>
    <t>174648</t>
  </si>
  <si>
    <t>41019</t>
  </si>
  <si>
    <t>40970</t>
  </si>
  <si>
    <t xml:space="preserve"> 418471701</t>
  </si>
  <si>
    <t>905</t>
  </si>
  <si>
    <t>CROPFIELD DISTRIBUIDORA DE INSUMOS AGRICOLAS LTDA</t>
  </si>
  <si>
    <t>357</t>
  </si>
  <si>
    <t xml:space="preserve"> 414466301</t>
  </si>
  <si>
    <t>1049006</t>
  </si>
  <si>
    <t>302</t>
  </si>
  <si>
    <t xml:space="preserve"> 422745001</t>
  </si>
  <si>
    <t>57052800</t>
  </si>
  <si>
    <t>35423</t>
  </si>
  <si>
    <t xml:space="preserve"> 416955501</t>
  </si>
  <si>
    <t>101937</t>
  </si>
  <si>
    <t>8836</t>
  </si>
  <si>
    <t>8325</t>
  </si>
  <si>
    <t>58465</t>
  </si>
  <si>
    <t>58459</t>
  </si>
  <si>
    <t>8374</t>
  </si>
  <si>
    <t>41191</t>
  </si>
  <si>
    <t>8363</t>
  </si>
  <si>
    <t>58238</t>
  </si>
  <si>
    <t>104342</t>
  </si>
  <si>
    <t>103920</t>
  </si>
  <si>
    <t>180427</t>
  </si>
  <si>
    <t xml:space="preserve"> 450266201</t>
  </si>
  <si>
    <t>104778</t>
  </si>
  <si>
    <t xml:space="preserve"> 450469401</t>
  </si>
  <si>
    <t>9051184</t>
  </si>
  <si>
    <t>20618</t>
  </si>
  <si>
    <t xml:space="preserve"> 441861401</t>
  </si>
  <si>
    <t>2513169/A</t>
  </si>
  <si>
    <t>58606</t>
  </si>
  <si>
    <t xml:space="preserve"> 440990101</t>
  </si>
  <si>
    <t>2513172/A</t>
  </si>
  <si>
    <t xml:space="preserve"> 444447501</t>
  </si>
  <si>
    <t>1105</t>
  </si>
  <si>
    <t>55130</t>
  </si>
  <si>
    <t>55133</t>
  </si>
  <si>
    <t>10539</t>
  </si>
  <si>
    <t>10537</t>
  </si>
  <si>
    <t>10376</t>
  </si>
  <si>
    <t>10377</t>
  </si>
  <si>
    <t>10425</t>
  </si>
  <si>
    <t>11163</t>
  </si>
  <si>
    <t>11164</t>
  </si>
  <si>
    <t>10879</t>
  </si>
  <si>
    <t>10914</t>
  </si>
  <si>
    <t>83686</t>
  </si>
  <si>
    <t xml:space="preserve"> 485064601</t>
  </si>
  <si>
    <t>1249</t>
  </si>
  <si>
    <t>83999</t>
  </si>
  <si>
    <t>84024</t>
  </si>
  <si>
    <t>84015</t>
  </si>
  <si>
    <t>84272</t>
  </si>
  <si>
    <t>83814</t>
  </si>
  <si>
    <t>84170</t>
  </si>
  <si>
    <t>84313</t>
  </si>
  <si>
    <t>83779</t>
  </si>
  <si>
    <t>83788</t>
  </si>
  <si>
    <t>48432</t>
  </si>
  <si>
    <t>51636</t>
  </si>
  <si>
    <t>3036</t>
  </si>
  <si>
    <t>13771</t>
  </si>
  <si>
    <t>2994</t>
  </si>
  <si>
    <t>3158</t>
  </si>
  <si>
    <t xml:space="preserve"> 401466701</t>
  </si>
  <si>
    <t>10448100</t>
  </si>
  <si>
    <t>3236</t>
  </si>
  <si>
    <t>57303</t>
  </si>
  <si>
    <t>85757</t>
  </si>
  <si>
    <t xml:space="preserve"> 401452701</t>
  </si>
  <si>
    <t>10441337</t>
  </si>
  <si>
    <t>3093</t>
  </si>
  <si>
    <t xml:space="preserve"> 522225701</t>
  </si>
  <si>
    <t>106723</t>
  </si>
  <si>
    <t>9496</t>
  </si>
  <si>
    <t>49524</t>
  </si>
  <si>
    <t>86893</t>
  </si>
  <si>
    <t>49432</t>
  </si>
  <si>
    <t xml:space="preserve"> 551900801</t>
  </si>
  <si>
    <t>3215</t>
  </si>
  <si>
    <t>MOCELLIN AGROCOMÉRCIO DE INSUMOS LTDA</t>
  </si>
  <si>
    <t>2141</t>
  </si>
  <si>
    <t>63051</t>
  </si>
  <si>
    <t>88042</t>
  </si>
  <si>
    <t>64742</t>
  </si>
  <si>
    <t>032</t>
  </si>
  <si>
    <t>50889</t>
  </si>
  <si>
    <t>65871</t>
  </si>
  <si>
    <t>41189</t>
  </si>
  <si>
    <t xml:space="preserve"> 562114501</t>
  </si>
  <si>
    <t>74643</t>
  </si>
  <si>
    <t>41612</t>
  </si>
  <si>
    <t>41811</t>
  </si>
  <si>
    <t>41716</t>
  </si>
  <si>
    <t xml:space="preserve"> 621626601</t>
  </si>
  <si>
    <t>1715</t>
  </si>
  <si>
    <t>69197</t>
  </si>
  <si>
    <t>69388</t>
  </si>
  <si>
    <t>41957</t>
  </si>
  <si>
    <t>29971</t>
  </si>
  <si>
    <t>12468</t>
  </si>
  <si>
    <t>1668268</t>
  </si>
  <si>
    <t>185307</t>
  </si>
  <si>
    <t xml:space="preserve"> 647563101</t>
  </si>
  <si>
    <t>1769</t>
  </si>
  <si>
    <t>57069428</t>
  </si>
  <si>
    <t>43376</t>
  </si>
  <si>
    <t>57373</t>
  </si>
  <si>
    <t xml:space="preserve"> 665174401</t>
  </si>
  <si>
    <t>1815</t>
  </si>
  <si>
    <t>4290</t>
  </si>
  <si>
    <t>4245</t>
  </si>
  <si>
    <t>94100</t>
  </si>
  <si>
    <t>143-1</t>
  </si>
  <si>
    <t>27308</t>
  </si>
  <si>
    <t>4365</t>
  </si>
  <si>
    <t>4307</t>
  </si>
  <si>
    <t>96015</t>
  </si>
  <si>
    <t>4699</t>
  </si>
  <si>
    <t>4563</t>
  </si>
  <si>
    <t>4546</t>
  </si>
  <si>
    <t>96134</t>
  </si>
  <si>
    <t>1198886</t>
  </si>
  <si>
    <t>71134</t>
  </si>
  <si>
    <t>96890</t>
  </si>
  <si>
    <t>96455</t>
  </si>
  <si>
    <t>12166</t>
  </si>
  <si>
    <t>12165</t>
  </si>
  <si>
    <t>96407</t>
  </si>
  <si>
    <t>106168</t>
  </si>
  <si>
    <t xml:space="preserve"> 778311601</t>
  </si>
  <si>
    <t>9051316</t>
  </si>
  <si>
    <t>23663</t>
  </si>
  <si>
    <t>62873</t>
  </si>
  <si>
    <t xml:space="preserve"> 773882101</t>
  </si>
  <si>
    <t>4065978</t>
  </si>
  <si>
    <t>41973</t>
  </si>
  <si>
    <t>106658</t>
  </si>
  <si>
    <t>106593</t>
  </si>
  <si>
    <t>12309</t>
  </si>
  <si>
    <t>106646</t>
  </si>
  <si>
    <t>12932</t>
  </si>
  <si>
    <t>697206150</t>
  </si>
  <si>
    <t>12193</t>
  </si>
  <si>
    <t>106835</t>
  </si>
  <si>
    <t>106612</t>
  </si>
  <si>
    <t>77939</t>
  </si>
  <si>
    <t>80592</t>
  </si>
  <si>
    <t>77337</t>
  </si>
  <si>
    <t>67108</t>
  </si>
  <si>
    <t>12914</t>
  </si>
  <si>
    <t>12924</t>
  </si>
  <si>
    <t>697206148</t>
  </si>
  <si>
    <t>73234</t>
  </si>
  <si>
    <t xml:space="preserve"> 832354701</t>
  </si>
  <si>
    <t>9051335</t>
  </si>
  <si>
    <t>88437</t>
  </si>
  <si>
    <t xml:space="preserve"> 817757301</t>
  </si>
  <si>
    <t>10797218</t>
  </si>
  <si>
    <t>4839</t>
  </si>
  <si>
    <t>15483</t>
  </si>
  <si>
    <t>15482</t>
  </si>
  <si>
    <t>81063</t>
  </si>
  <si>
    <t>81017</t>
  </si>
  <si>
    <t>81010</t>
  </si>
  <si>
    <t>19800</t>
  </si>
  <si>
    <t>81073</t>
  </si>
  <si>
    <t>82605</t>
  </si>
  <si>
    <t>1643</t>
  </si>
  <si>
    <t>3673540</t>
  </si>
  <si>
    <t>70338</t>
  </si>
  <si>
    <t>81677</t>
  </si>
  <si>
    <t>22042</t>
  </si>
  <si>
    <t>81664</t>
  </si>
  <si>
    <t>83258</t>
  </si>
  <si>
    <t>15667</t>
  </si>
  <si>
    <t>26498</t>
  </si>
  <si>
    <t>82716</t>
  </si>
  <si>
    <t>102343</t>
  </si>
  <si>
    <t>102407</t>
  </si>
  <si>
    <t>81671</t>
  </si>
  <si>
    <t>104773</t>
  </si>
  <si>
    <t>104774</t>
  </si>
  <si>
    <t>191656</t>
  </si>
  <si>
    <t>191712</t>
  </si>
  <si>
    <t>111486</t>
  </si>
  <si>
    <t>13459</t>
  </si>
  <si>
    <t>13534</t>
  </si>
  <si>
    <t>41323</t>
  </si>
  <si>
    <t>13495</t>
  </si>
  <si>
    <t>13580</t>
  </si>
  <si>
    <t xml:space="preserve"> 900115001</t>
  </si>
  <si>
    <t>9051371</t>
  </si>
  <si>
    <t>92861</t>
  </si>
  <si>
    <t>88225</t>
  </si>
  <si>
    <t>5811</t>
  </si>
  <si>
    <t>5877</t>
  </si>
  <si>
    <t>5875</t>
  </si>
  <si>
    <t>85593</t>
  </si>
  <si>
    <t>5894</t>
  </si>
  <si>
    <t>6016</t>
  </si>
  <si>
    <t>6210</t>
  </si>
  <si>
    <t>85724</t>
  </si>
  <si>
    <t>6061</t>
  </si>
  <si>
    <t>85632</t>
  </si>
  <si>
    <t>85923</t>
  </si>
  <si>
    <t>85985</t>
  </si>
  <si>
    <t>85988</t>
  </si>
  <si>
    <t>112439</t>
  </si>
  <si>
    <t xml:space="preserve">  48252201</t>
  </si>
  <si>
    <t>1935</t>
  </si>
  <si>
    <t>1332</t>
  </si>
  <si>
    <t xml:space="preserve">  81769202</t>
  </si>
  <si>
    <t>254561</t>
  </si>
  <si>
    <t>17795</t>
  </si>
  <si>
    <t xml:space="preserve">  76229002</t>
  </si>
  <si>
    <t>175</t>
  </si>
  <si>
    <t xml:space="preserve">  76207802</t>
  </si>
  <si>
    <t>178</t>
  </si>
  <si>
    <t>23158</t>
  </si>
  <si>
    <t>23214</t>
  </si>
  <si>
    <t>23933</t>
  </si>
  <si>
    <t>23935</t>
  </si>
  <si>
    <t>23200</t>
  </si>
  <si>
    <t>23151</t>
  </si>
  <si>
    <t xml:space="preserve">  41845301</t>
  </si>
  <si>
    <t>15/23/24</t>
  </si>
  <si>
    <t>15183</t>
  </si>
  <si>
    <t>5016</t>
  </si>
  <si>
    <t>23198</t>
  </si>
  <si>
    <t xml:space="preserve">  49455101</t>
  </si>
  <si>
    <t>905865</t>
  </si>
  <si>
    <t>12472</t>
  </si>
  <si>
    <t>39886</t>
  </si>
  <si>
    <t>37087</t>
  </si>
  <si>
    <t>37345</t>
  </si>
  <si>
    <t xml:space="preserve"> 104281602</t>
  </si>
  <si>
    <t>73904</t>
  </si>
  <si>
    <t>61995</t>
  </si>
  <si>
    <t>39760</t>
  </si>
  <si>
    <t>16315</t>
  </si>
  <si>
    <t xml:space="preserve"> 104516302</t>
  </si>
  <si>
    <t>478</t>
  </si>
  <si>
    <t>39533</t>
  </si>
  <si>
    <t xml:space="preserve">  79932001</t>
  </si>
  <si>
    <t>18756</t>
  </si>
  <si>
    <t>40538</t>
  </si>
  <si>
    <t xml:space="preserve">  78247401</t>
  </si>
  <si>
    <t>17882362</t>
  </si>
  <si>
    <t>6446</t>
  </si>
  <si>
    <t>4728</t>
  </si>
  <si>
    <t>41666</t>
  </si>
  <si>
    <t>43333</t>
  </si>
  <si>
    <t>15397</t>
  </si>
  <si>
    <t>41750</t>
  </si>
  <si>
    <t>15400</t>
  </si>
  <si>
    <t>47790</t>
  </si>
  <si>
    <t>15345</t>
  </si>
  <si>
    <t>42135</t>
  </si>
  <si>
    <t>33851</t>
  </si>
  <si>
    <t>15368</t>
  </si>
  <si>
    <t>15370</t>
  </si>
  <si>
    <t>15378</t>
  </si>
  <si>
    <t>42010</t>
  </si>
  <si>
    <t>41821</t>
  </si>
  <si>
    <t>15377</t>
  </si>
  <si>
    <t>42049</t>
  </si>
  <si>
    <t>99971</t>
  </si>
  <si>
    <t>42149</t>
  </si>
  <si>
    <t>41878</t>
  </si>
  <si>
    <t>40920</t>
  </si>
  <si>
    <t>31577</t>
  </si>
  <si>
    <t xml:space="preserve"> 105334401</t>
  </si>
  <si>
    <t>113706</t>
  </si>
  <si>
    <t>5870</t>
  </si>
  <si>
    <t>41994</t>
  </si>
  <si>
    <t>15369</t>
  </si>
  <si>
    <t>47949</t>
  </si>
  <si>
    <t>47719</t>
  </si>
  <si>
    <t>48117</t>
  </si>
  <si>
    <t>47380</t>
  </si>
  <si>
    <t>48061</t>
  </si>
  <si>
    <t xml:space="preserve"> 144692502</t>
  </si>
  <si>
    <t>18459</t>
  </si>
  <si>
    <t>49742</t>
  </si>
  <si>
    <t>49566</t>
  </si>
  <si>
    <t>49583</t>
  </si>
  <si>
    <t>49489</t>
  </si>
  <si>
    <t>49490</t>
  </si>
  <si>
    <t>49817</t>
  </si>
  <si>
    <t>49900</t>
  </si>
  <si>
    <t>48686</t>
  </si>
  <si>
    <t>49244</t>
  </si>
  <si>
    <t>50861</t>
  </si>
  <si>
    <t>50877</t>
  </si>
  <si>
    <t>50232</t>
  </si>
  <si>
    <t>50129</t>
  </si>
  <si>
    <t>49759</t>
  </si>
  <si>
    <t>50303</t>
  </si>
  <si>
    <t>50411</t>
  </si>
  <si>
    <t>22775</t>
  </si>
  <si>
    <t>47500</t>
  </si>
  <si>
    <t>47559</t>
  </si>
  <si>
    <t>50001</t>
  </si>
  <si>
    <t>39156</t>
  </si>
  <si>
    <t>50526</t>
  </si>
  <si>
    <t>22764</t>
  </si>
  <si>
    <t>50540</t>
  </si>
  <si>
    <t>39390</t>
  </si>
  <si>
    <t>22153</t>
  </si>
  <si>
    <t>55016</t>
  </si>
  <si>
    <t>31966</t>
  </si>
  <si>
    <t>29833</t>
  </si>
  <si>
    <t>40377</t>
  </si>
  <si>
    <t>40350</t>
  </si>
  <si>
    <t>22051</t>
  </si>
  <si>
    <t>32912</t>
  </si>
  <si>
    <t>36265</t>
  </si>
  <si>
    <t>35369</t>
  </si>
  <si>
    <t>17902</t>
  </si>
  <si>
    <t>35333</t>
  </si>
  <si>
    <t>35334</t>
  </si>
  <si>
    <t>36145</t>
  </si>
  <si>
    <t>22859</t>
  </si>
  <si>
    <t>22860</t>
  </si>
  <si>
    <t>36131</t>
  </si>
  <si>
    <t>36656</t>
  </si>
  <si>
    <t>53485</t>
  </si>
  <si>
    <t>53029</t>
  </si>
  <si>
    <t>52106</t>
  </si>
  <si>
    <t>52270</t>
  </si>
  <si>
    <t xml:space="preserve"> 224329401</t>
  </si>
  <si>
    <t>2183</t>
  </si>
  <si>
    <t>2083</t>
  </si>
  <si>
    <t>23634</t>
  </si>
  <si>
    <t>53234</t>
  </si>
  <si>
    <t>53621</t>
  </si>
  <si>
    <t>2103</t>
  </si>
  <si>
    <t>53273</t>
  </si>
  <si>
    <t>53274</t>
  </si>
  <si>
    <t>38144</t>
  </si>
  <si>
    <t>24551</t>
  </si>
  <si>
    <t>24517</t>
  </si>
  <si>
    <t>53037</t>
  </si>
  <si>
    <t>6453</t>
  </si>
  <si>
    <t>52107</t>
  </si>
  <si>
    <t>38234</t>
  </si>
  <si>
    <t>38156</t>
  </si>
  <si>
    <t>38108</t>
  </si>
  <si>
    <t>38092</t>
  </si>
  <si>
    <t>38106</t>
  </si>
  <si>
    <t>38214</t>
  </si>
  <si>
    <t>38210</t>
  </si>
  <si>
    <t>38100</t>
  </si>
  <si>
    <t>38204</t>
  </si>
  <si>
    <t>38330</t>
  </si>
  <si>
    <t>38358</t>
  </si>
  <si>
    <t>38404</t>
  </si>
  <si>
    <t>38482</t>
  </si>
  <si>
    <t>38490</t>
  </si>
  <si>
    <t>7052</t>
  </si>
  <si>
    <t>7398</t>
  </si>
  <si>
    <t>6981</t>
  </si>
  <si>
    <t>55276</t>
  </si>
  <si>
    <t>55475</t>
  </si>
  <si>
    <t>70565</t>
  </si>
  <si>
    <t>70568</t>
  </si>
  <si>
    <t xml:space="preserve"> 269477401</t>
  </si>
  <si>
    <t>031-2013</t>
  </si>
  <si>
    <t>32532</t>
  </si>
  <si>
    <t>40693</t>
  </si>
  <si>
    <t>70446</t>
  </si>
  <si>
    <t>140767</t>
  </si>
  <si>
    <t>141201</t>
  </si>
  <si>
    <t>141261</t>
  </si>
  <si>
    <t>140707</t>
  </si>
  <si>
    <t>140588</t>
  </si>
  <si>
    <t>140811</t>
  </si>
  <si>
    <t>140097</t>
  </si>
  <si>
    <t>140991</t>
  </si>
  <si>
    <t>141169</t>
  </si>
  <si>
    <t>140559</t>
  </si>
  <si>
    <t>141522</t>
  </si>
  <si>
    <t>24257</t>
  </si>
  <si>
    <t>34153</t>
  </si>
  <si>
    <t>161069</t>
  </si>
  <si>
    <t>160358</t>
  </si>
  <si>
    <t xml:space="preserve"> 329056101</t>
  </si>
  <si>
    <t>052</t>
  </si>
  <si>
    <t>34497</t>
  </si>
  <si>
    <t>92382</t>
  </si>
  <si>
    <t>165794</t>
  </si>
  <si>
    <t>162991</t>
  </si>
  <si>
    <t>163013</t>
  </si>
  <si>
    <t>91975</t>
  </si>
  <si>
    <t>163015</t>
  </si>
  <si>
    <t>1046</t>
  </si>
  <si>
    <t>1065</t>
  </si>
  <si>
    <t>92881</t>
  </si>
  <si>
    <t>165731</t>
  </si>
  <si>
    <t>164001</t>
  </si>
  <si>
    <t>165729</t>
  </si>
  <si>
    <t>163725</t>
  </si>
  <si>
    <t>163417</t>
  </si>
  <si>
    <t>167189</t>
  </si>
  <si>
    <t>166585</t>
  </si>
  <si>
    <t>164090</t>
  </si>
  <si>
    <t>167879</t>
  </si>
  <si>
    <t>167284</t>
  </si>
  <si>
    <t>164618</t>
  </si>
  <si>
    <t>166051</t>
  </si>
  <si>
    <t>58212</t>
  </si>
  <si>
    <t>48671</t>
  </si>
  <si>
    <t>48672</t>
  </si>
  <si>
    <t>48668</t>
  </si>
  <si>
    <t>48685</t>
  </si>
  <si>
    <t>48666</t>
  </si>
  <si>
    <t xml:space="preserve"> 349868801</t>
  </si>
  <si>
    <t>1828</t>
  </si>
  <si>
    <t>16597</t>
  </si>
  <si>
    <t>48670</t>
  </si>
  <si>
    <t>96271</t>
  </si>
  <si>
    <t>95394</t>
  </si>
  <si>
    <t>31843</t>
  </si>
  <si>
    <t>171650</t>
  </si>
  <si>
    <t>48689</t>
  </si>
  <si>
    <t>48691</t>
  </si>
  <si>
    <t>51836</t>
  </si>
  <si>
    <t>50934</t>
  </si>
  <si>
    <t>51634</t>
  </si>
  <si>
    <t>51826</t>
  </si>
  <si>
    <t>8078</t>
  </si>
  <si>
    <t>5491</t>
  </si>
  <si>
    <t xml:space="preserve"> 329061201</t>
  </si>
  <si>
    <t>053</t>
  </si>
  <si>
    <t>10433</t>
  </si>
  <si>
    <t>175546</t>
  </si>
  <si>
    <t>38982</t>
  </si>
  <si>
    <t>38792</t>
  </si>
  <si>
    <t>54234</t>
  </si>
  <si>
    <t>176078</t>
  </si>
  <si>
    <t>39970</t>
  </si>
  <si>
    <t>39974</t>
  </si>
  <si>
    <t>38980</t>
  </si>
  <si>
    <t>5532</t>
  </si>
  <si>
    <t>5502</t>
  </si>
  <si>
    <t>176061</t>
  </si>
  <si>
    <t>38990</t>
  </si>
  <si>
    <t>40579</t>
  </si>
  <si>
    <t xml:space="preserve"> 416090301</t>
  </si>
  <si>
    <t>1049005</t>
  </si>
  <si>
    <t>303</t>
  </si>
  <si>
    <t>5002</t>
  </si>
  <si>
    <t>41001</t>
  </si>
  <si>
    <t>58461</t>
  </si>
  <si>
    <t>8396</t>
  </si>
  <si>
    <t>41192</t>
  </si>
  <si>
    <t>58254</t>
  </si>
  <si>
    <t>8390</t>
  </si>
  <si>
    <t>8349</t>
  </si>
  <si>
    <t>8773</t>
  </si>
  <si>
    <t>58607</t>
  </si>
  <si>
    <t>104777</t>
  </si>
  <si>
    <t xml:space="preserve"> 442444001</t>
  </si>
  <si>
    <t>1083</t>
  </si>
  <si>
    <t>104974</t>
  </si>
  <si>
    <t>105207</t>
  </si>
  <si>
    <t>105195</t>
  </si>
  <si>
    <t>55174</t>
  </si>
  <si>
    <t>55175</t>
  </si>
  <si>
    <t>10508</t>
  </si>
  <si>
    <t>10601</t>
  </si>
  <si>
    <t>10483</t>
  </si>
  <si>
    <t>10590</t>
  </si>
  <si>
    <t>10701</t>
  </si>
  <si>
    <t>10867</t>
  </si>
  <si>
    <t>11167</t>
  </si>
  <si>
    <t>10501</t>
  </si>
  <si>
    <t>10594</t>
  </si>
  <si>
    <t>83496</t>
  </si>
  <si>
    <t>84144</t>
  </si>
  <si>
    <t>84323</t>
  </si>
  <si>
    <t>83857</t>
  </si>
  <si>
    <t>83840</t>
  </si>
  <si>
    <t>84176</t>
  </si>
  <si>
    <t>92830</t>
  </si>
  <si>
    <t>92653</t>
  </si>
  <si>
    <t>2989</t>
  </si>
  <si>
    <t>3054</t>
  </si>
  <si>
    <t>86613</t>
  </si>
  <si>
    <t>12539</t>
  </si>
  <si>
    <t xml:space="preserve"> 401445401</t>
  </si>
  <si>
    <t>10441337A</t>
  </si>
  <si>
    <t>3099</t>
  </si>
  <si>
    <t>85805</t>
  </si>
  <si>
    <t>85745</t>
  </si>
  <si>
    <t>85914</t>
  </si>
  <si>
    <t>87596</t>
  </si>
  <si>
    <t>21783</t>
  </si>
  <si>
    <t>3240</t>
  </si>
  <si>
    <t>3242</t>
  </si>
  <si>
    <t>86891</t>
  </si>
  <si>
    <t>86898</t>
  </si>
  <si>
    <t>86765</t>
  </si>
  <si>
    <t>48334</t>
  </si>
  <si>
    <t>2950</t>
  </si>
  <si>
    <t>3613</t>
  </si>
  <si>
    <t>64344</t>
  </si>
  <si>
    <t>63054</t>
  </si>
  <si>
    <t>63108</t>
  </si>
  <si>
    <t>50433</t>
  </si>
  <si>
    <t>9051264</t>
  </si>
  <si>
    <t>71788</t>
  </si>
  <si>
    <t xml:space="preserve"> 491054501</t>
  </si>
  <si>
    <t>10784</t>
  </si>
  <si>
    <t>5706</t>
  </si>
  <si>
    <t>32-338</t>
  </si>
  <si>
    <t>13159</t>
  </si>
  <si>
    <t>40821</t>
  </si>
  <si>
    <t>40830</t>
  </si>
  <si>
    <t>66997</t>
  </si>
  <si>
    <t>89904</t>
  </si>
  <si>
    <t>108356</t>
  </si>
  <si>
    <t>10647</t>
  </si>
  <si>
    <t>13850</t>
  </si>
  <si>
    <t>67014</t>
  </si>
  <si>
    <t xml:space="preserve"> 580721201</t>
  </si>
  <si>
    <t>393946</t>
  </si>
  <si>
    <t>65531</t>
  </si>
  <si>
    <t>40686</t>
  </si>
  <si>
    <t>41205</t>
  </si>
  <si>
    <t>67182</t>
  </si>
  <si>
    <t>41552</t>
  </si>
  <si>
    <t xml:space="preserve"> 585783901</t>
  </si>
  <si>
    <t>329395</t>
  </si>
  <si>
    <t>41662</t>
  </si>
  <si>
    <t>41678</t>
  </si>
  <si>
    <t>12285</t>
  </si>
  <si>
    <t xml:space="preserve"> 590847501</t>
  </si>
  <si>
    <t>1659</t>
  </si>
  <si>
    <t>41269</t>
  </si>
  <si>
    <t>41792</t>
  </si>
  <si>
    <t>41247</t>
  </si>
  <si>
    <t>41248</t>
  </si>
  <si>
    <t>41314</t>
  </si>
  <si>
    <t>41636</t>
  </si>
  <si>
    <t>41273</t>
  </si>
  <si>
    <t>69392</t>
  </si>
  <si>
    <t>42033</t>
  </si>
  <si>
    <t>42035</t>
  </si>
  <si>
    <t xml:space="preserve"> 649901101</t>
  </si>
  <si>
    <t>1786</t>
  </si>
  <si>
    <t>1198884</t>
  </si>
  <si>
    <t>69386</t>
  </si>
  <si>
    <t xml:space="preserve"> 667363901</t>
  </si>
  <si>
    <t>1698</t>
  </si>
  <si>
    <t xml:space="preserve"> 684304201</t>
  </si>
  <si>
    <t>63-338</t>
  </si>
  <si>
    <t>14670</t>
  </si>
  <si>
    <t>27282</t>
  </si>
  <si>
    <t>4259</t>
  </si>
  <si>
    <t>26811</t>
  </si>
  <si>
    <t>26785</t>
  </si>
  <si>
    <t>26799</t>
  </si>
  <si>
    <t xml:space="preserve"> 712604701</t>
  </si>
  <si>
    <t>1884</t>
  </si>
  <si>
    <t>4387</t>
  </si>
  <si>
    <t>4466</t>
  </si>
  <si>
    <t>4305</t>
  </si>
  <si>
    <t>4559</t>
  </si>
  <si>
    <t>4646</t>
  </si>
  <si>
    <t>4719</t>
  </si>
  <si>
    <t>4761</t>
  </si>
  <si>
    <t>96138</t>
  </si>
  <si>
    <t>71921</t>
  </si>
  <si>
    <t>96453</t>
  </si>
  <si>
    <t>62728</t>
  </si>
  <si>
    <t>62868</t>
  </si>
  <si>
    <t>62789</t>
  </si>
  <si>
    <t>62840</t>
  </si>
  <si>
    <t>697206226</t>
  </si>
  <si>
    <t>73677</t>
  </si>
  <si>
    <t>62793</t>
  </si>
  <si>
    <t>73267</t>
  </si>
  <si>
    <t>106576</t>
  </si>
  <si>
    <t xml:space="preserve"> 773881701</t>
  </si>
  <si>
    <t>4065971</t>
  </si>
  <si>
    <t>41972</t>
  </si>
  <si>
    <t>12744</t>
  </si>
  <si>
    <t>106569</t>
  </si>
  <si>
    <t xml:space="preserve"> 801476801</t>
  </si>
  <si>
    <t>483117</t>
  </si>
  <si>
    <t>77138</t>
  </si>
  <si>
    <t>13359</t>
  </si>
  <si>
    <t>80553</t>
  </si>
  <si>
    <t>80531</t>
  </si>
  <si>
    <t>80529</t>
  </si>
  <si>
    <t>4835</t>
  </si>
  <si>
    <t xml:space="preserve"> 832548001</t>
  </si>
  <si>
    <t>178951</t>
  </si>
  <si>
    <t>88595</t>
  </si>
  <si>
    <t>12919</t>
  </si>
  <si>
    <t>12913</t>
  </si>
  <si>
    <t>80565</t>
  </si>
  <si>
    <t>80525</t>
  </si>
  <si>
    <t>80512</t>
  </si>
  <si>
    <t xml:space="preserve"> 863578901</t>
  </si>
  <si>
    <t>3183</t>
  </si>
  <si>
    <t>1523</t>
  </si>
  <si>
    <t>81024</t>
  </si>
  <si>
    <t>81031</t>
  </si>
  <si>
    <t>14423</t>
  </si>
  <si>
    <t>81051</t>
  </si>
  <si>
    <t>9042857</t>
  </si>
  <si>
    <t>70344</t>
  </si>
  <si>
    <t>81002</t>
  </si>
  <si>
    <t>102267</t>
  </si>
  <si>
    <t>22037</t>
  </si>
  <si>
    <t>1277801</t>
  </si>
  <si>
    <t>70337</t>
  </si>
  <si>
    <t>26496</t>
  </si>
  <si>
    <t>26494</t>
  </si>
  <si>
    <t>49085</t>
  </si>
  <si>
    <t>21940</t>
  </si>
  <si>
    <t>21909</t>
  </si>
  <si>
    <t>49436</t>
  </si>
  <si>
    <t>22423</t>
  </si>
  <si>
    <t>22426</t>
  </si>
  <si>
    <t>13460</t>
  </si>
  <si>
    <t>191646</t>
  </si>
  <si>
    <t>13527</t>
  </si>
  <si>
    <t>105167</t>
  </si>
  <si>
    <t>88184</t>
  </si>
  <si>
    <t>15663</t>
  </si>
  <si>
    <t>104599</t>
  </si>
  <si>
    <t>13467</t>
  </si>
  <si>
    <t>88262</t>
  </si>
  <si>
    <t>13577</t>
  </si>
  <si>
    <t>13471</t>
  </si>
  <si>
    <t>13559</t>
  </si>
  <si>
    <t>5736</t>
  </si>
  <si>
    <t>5667</t>
  </si>
  <si>
    <t>85621</t>
  </si>
  <si>
    <t>6085</t>
  </si>
  <si>
    <t>6090</t>
  </si>
  <si>
    <t>85832</t>
  </si>
  <si>
    <t>6162</t>
  </si>
  <si>
    <t>6095</t>
  </si>
  <si>
    <t>85740</t>
  </si>
  <si>
    <t>5695</t>
  </si>
  <si>
    <t>85984</t>
  </si>
  <si>
    <t>6215</t>
  </si>
  <si>
    <t>85942</t>
  </si>
  <si>
    <t>112395</t>
  </si>
  <si>
    <t>112456</t>
  </si>
  <si>
    <t xml:space="preserve">  37806601</t>
  </si>
  <si>
    <t>CHEMTURA INDUSTRIA QUIMICA DO BRASIL LTDA</t>
  </si>
  <si>
    <t xml:space="preserve">  41784401</t>
  </si>
  <si>
    <t>39688</t>
  </si>
  <si>
    <t>1909</t>
  </si>
  <si>
    <t>34460</t>
  </si>
  <si>
    <t>34464</t>
  </si>
  <si>
    <t>16258</t>
  </si>
  <si>
    <t>15293</t>
  </si>
  <si>
    <t xml:space="preserve">  81503902</t>
  </si>
  <si>
    <t>4930</t>
  </si>
  <si>
    <t xml:space="preserve">  69184201</t>
  </si>
  <si>
    <t>10027433</t>
  </si>
  <si>
    <t xml:space="preserve">FIAGRIL LTDA </t>
  </si>
  <si>
    <t>22292</t>
  </si>
  <si>
    <t>23215</t>
  </si>
  <si>
    <t>23934</t>
  </si>
  <si>
    <t>20964</t>
  </si>
  <si>
    <t>16339</t>
  </si>
  <si>
    <t>23203</t>
  </si>
  <si>
    <t>23148</t>
  </si>
  <si>
    <t>15087</t>
  </si>
  <si>
    <t>35034</t>
  </si>
  <si>
    <t>13624</t>
  </si>
  <si>
    <t>15718</t>
  </si>
  <si>
    <t>14449</t>
  </si>
  <si>
    <t>37235</t>
  </si>
  <si>
    <t>16079</t>
  </si>
  <si>
    <t>16083</t>
  </si>
  <si>
    <t>37346</t>
  </si>
  <si>
    <t>37471</t>
  </si>
  <si>
    <t>3718</t>
  </si>
  <si>
    <t>16363</t>
  </si>
  <si>
    <t>39607</t>
  </si>
  <si>
    <t>39619</t>
  </si>
  <si>
    <t>40500</t>
  </si>
  <si>
    <t>15390</t>
  </si>
  <si>
    <t>41797</t>
  </si>
  <si>
    <t>15386</t>
  </si>
  <si>
    <t xml:space="preserve"> 103139101</t>
  </si>
  <si>
    <t>1120845</t>
  </si>
  <si>
    <t>28042</t>
  </si>
  <si>
    <t>42963</t>
  </si>
  <si>
    <t>31616</t>
  </si>
  <si>
    <t>41608</t>
  </si>
  <si>
    <t>41711</t>
  </si>
  <si>
    <t>15410</t>
  </si>
  <si>
    <t>41951</t>
  </si>
  <si>
    <t>15394</t>
  </si>
  <si>
    <t>15372</t>
  </si>
  <si>
    <t>40915</t>
  </si>
  <si>
    <t>40831</t>
  </si>
  <si>
    <t>18363</t>
  </si>
  <si>
    <t>41034</t>
  </si>
  <si>
    <t>47984</t>
  </si>
  <si>
    <t>47908</t>
  </si>
  <si>
    <t>47963</t>
  </si>
  <si>
    <t>47378</t>
  </si>
  <si>
    <t>47781</t>
  </si>
  <si>
    <t>47404</t>
  </si>
  <si>
    <t>49341</t>
  </si>
  <si>
    <t>49729</t>
  </si>
  <si>
    <t>49580</t>
  </si>
  <si>
    <t>49578</t>
  </si>
  <si>
    <t>49480</t>
  </si>
  <si>
    <t>49412</t>
  </si>
  <si>
    <t>49404</t>
  </si>
  <si>
    <t>49364</t>
  </si>
  <si>
    <t>49385</t>
  </si>
  <si>
    <t xml:space="preserve"> 163444701</t>
  </si>
  <si>
    <t>905887</t>
  </si>
  <si>
    <t>15454</t>
  </si>
  <si>
    <t>50125</t>
  </si>
  <si>
    <t>50525</t>
  </si>
  <si>
    <t>47604</t>
  </si>
  <si>
    <t>50149</t>
  </si>
  <si>
    <t>50350</t>
  </si>
  <si>
    <t>50340</t>
  </si>
  <si>
    <t>51034</t>
  </si>
  <si>
    <t>46846</t>
  </si>
  <si>
    <t>50524</t>
  </si>
  <si>
    <t>49755</t>
  </si>
  <si>
    <t>50417</t>
  </si>
  <si>
    <t>50531</t>
  </si>
  <si>
    <t>39778</t>
  </si>
  <si>
    <t>72132</t>
  </si>
  <si>
    <t>21865</t>
  </si>
  <si>
    <t>21867</t>
  </si>
  <si>
    <t>21866</t>
  </si>
  <si>
    <t>40436</t>
  </si>
  <si>
    <t>32936</t>
  </si>
  <si>
    <t>30588</t>
  </si>
  <si>
    <t>29783</t>
  </si>
  <si>
    <t xml:space="preserve"> 168676201</t>
  </si>
  <si>
    <t>1461549</t>
  </si>
  <si>
    <t>41687</t>
  </si>
  <si>
    <t>29706</t>
  </si>
  <si>
    <t>53176</t>
  </si>
  <si>
    <t xml:space="preserve"> 151990601</t>
  </si>
  <si>
    <t>2474582</t>
  </si>
  <si>
    <t>63058</t>
  </si>
  <si>
    <t>29743</t>
  </si>
  <si>
    <t>22083</t>
  </si>
  <si>
    <t>10041</t>
  </si>
  <si>
    <t>36529</t>
  </si>
  <si>
    <t>53456</t>
  </si>
  <si>
    <t>53275</t>
  </si>
  <si>
    <t>53225</t>
  </si>
  <si>
    <t xml:space="preserve"> 178909201</t>
  </si>
  <si>
    <t>30401</t>
  </si>
  <si>
    <t>52078</t>
  </si>
  <si>
    <t>38724</t>
  </si>
  <si>
    <t>19443</t>
  </si>
  <si>
    <t>52011</t>
  </si>
  <si>
    <t>53450</t>
  </si>
  <si>
    <t>38314</t>
  </si>
  <si>
    <t>38268</t>
  </si>
  <si>
    <t>38334</t>
  </si>
  <si>
    <t>38140</t>
  </si>
  <si>
    <t>38256</t>
  </si>
  <si>
    <t>38248</t>
  </si>
  <si>
    <t>38352</t>
  </si>
  <si>
    <t>38362</t>
  </si>
  <si>
    <t>38342</t>
  </si>
  <si>
    <t>38488</t>
  </si>
  <si>
    <t>54971</t>
  </si>
  <si>
    <t>55273</t>
  </si>
  <si>
    <t>7497</t>
  </si>
  <si>
    <t xml:space="preserve"> 249225901</t>
  </si>
  <si>
    <t>155827</t>
  </si>
  <si>
    <t>36309</t>
  </si>
  <si>
    <t>55355</t>
  </si>
  <si>
    <t>71044</t>
  </si>
  <si>
    <t>151412</t>
  </si>
  <si>
    <t>70573</t>
  </si>
  <si>
    <t>70558</t>
  </si>
  <si>
    <t>55378</t>
  </si>
  <si>
    <t>70629</t>
  </si>
  <si>
    <t>12266</t>
  </si>
  <si>
    <t>151466</t>
  </si>
  <si>
    <t>140096</t>
  </si>
  <si>
    <t>140319</t>
  </si>
  <si>
    <t>140481</t>
  </si>
  <si>
    <t>140460</t>
  </si>
  <si>
    <t>140693</t>
  </si>
  <si>
    <t xml:space="preserve"> 298879201</t>
  </si>
  <si>
    <t>1496540</t>
  </si>
  <si>
    <t>28397</t>
  </si>
  <si>
    <t>141876</t>
  </si>
  <si>
    <t>141783</t>
  </si>
  <si>
    <t>142069</t>
  </si>
  <si>
    <t>141279</t>
  </si>
  <si>
    <t>141513</t>
  </si>
  <si>
    <t>34161</t>
  </si>
  <si>
    <t xml:space="preserve"> 329072901</t>
  </si>
  <si>
    <t>058</t>
  </si>
  <si>
    <t>34469</t>
  </si>
  <si>
    <t>161114</t>
  </si>
  <si>
    <t>34151</t>
  </si>
  <si>
    <t xml:space="preserve"> 329065701</t>
  </si>
  <si>
    <t>055</t>
  </si>
  <si>
    <t>34164</t>
  </si>
  <si>
    <t>34496</t>
  </si>
  <si>
    <t>165476</t>
  </si>
  <si>
    <t>165278</t>
  </si>
  <si>
    <t>165280</t>
  </si>
  <si>
    <t>163422</t>
  </si>
  <si>
    <t>163008</t>
  </si>
  <si>
    <t xml:space="preserve"> 329064101</t>
  </si>
  <si>
    <t>054</t>
  </si>
  <si>
    <t>34471</t>
  </si>
  <si>
    <t>164049</t>
  </si>
  <si>
    <t>163493</t>
  </si>
  <si>
    <t xml:space="preserve"> 338077401</t>
  </si>
  <si>
    <t>7010356820</t>
  </si>
  <si>
    <t>21058</t>
  </si>
  <si>
    <t>165327</t>
  </si>
  <si>
    <t>165733</t>
  </si>
  <si>
    <t>165507</t>
  </si>
  <si>
    <t>5403</t>
  </si>
  <si>
    <t>165854</t>
  </si>
  <si>
    <t>163933</t>
  </si>
  <si>
    <t>94327</t>
  </si>
  <si>
    <t>167721</t>
  </si>
  <si>
    <t>19076</t>
  </si>
  <si>
    <t>166944</t>
  </si>
  <si>
    <t>33030</t>
  </si>
  <si>
    <t>166600</t>
  </si>
  <si>
    <t>166959</t>
  </si>
  <si>
    <t xml:space="preserve"> 350187501</t>
  </si>
  <si>
    <t>1829</t>
  </si>
  <si>
    <t>1287</t>
  </si>
  <si>
    <t>167248</t>
  </si>
  <si>
    <t>94046</t>
  </si>
  <si>
    <t>54869</t>
  </si>
  <si>
    <t xml:space="preserve"> 356476901</t>
  </si>
  <si>
    <t>47746</t>
  </si>
  <si>
    <t>545</t>
  </si>
  <si>
    <t>48678</t>
  </si>
  <si>
    <t>48797</t>
  </si>
  <si>
    <t>48676</t>
  </si>
  <si>
    <t xml:space="preserve"> 357533701</t>
  </si>
  <si>
    <t>10223</t>
  </si>
  <si>
    <t>45767</t>
  </si>
  <si>
    <t>48106</t>
  </si>
  <si>
    <t>34468</t>
  </si>
  <si>
    <t xml:space="preserve"> 365094801</t>
  </si>
  <si>
    <t>51061</t>
  </si>
  <si>
    <t>92030</t>
  </si>
  <si>
    <t xml:space="preserve"> 357533301</t>
  </si>
  <si>
    <t>45766</t>
  </si>
  <si>
    <t>168667</t>
  </si>
  <si>
    <t>168539</t>
  </si>
  <si>
    <t>48693</t>
  </si>
  <si>
    <t>10922</t>
  </si>
  <si>
    <t>51143</t>
  </si>
  <si>
    <t>36840</t>
  </si>
  <si>
    <t xml:space="preserve"> 387037501</t>
  </si>
  <si>
    <t>141</t>
  </si>
  <si>
    <t>24325</t>
  </si>
  <si>
    <t>35143</t>
  </si>
  <si>
    <t>51080</t>
  </si>
  <si>
    <t>38885</t>
  </si>
  <si>
    <t>39048</t>
  </si>
  <si>
    <t>5533</t>
  </si>
  <si>
    <t>175566</t>
  </si>
  <si>
    <t>51844</t>
  </si>
  <si>
    <t>57695</t>
  </si>
  <si>
    <t>174723</t>
  </si>
  <si>
    <t>38995</t>
  </si>
  <si>
    <t>100061</t>
  </si>
  <si>
    <t>40216</t>
  </si>
  <si>
    <t>4995</t>
  </si>
  <si>
    <t>356</t>
  </si>
  <si>
    <t>5018</t>
  </si>
  <si>
    <t>5019</t>
  </si>
  <si>
    <t>5020</t>
  </si>
  <si>
    <t>54660</t>
  </si>
  <si>
    <t>58567</t>
  </si>
  <si>
    <t>41067</t>
  </si>
  <si>
    <t>8081</t>
  </si>
  <si>
    <t>8091</t>
  </si>
  <si>
    <t>8377</t>
  </si>
  <si>
    <t>58340</t>
  </si>
  <si>
    <t>8214</t>
  </si>
  <si>
    <t>42818</t>
  </si>
  <si>
    <t>104197</t>
  </si>
  <si>
    <t>104793</t>
  </si>
  <si>
    <t>33006</t>
  </si>
  <si>
    <t>10481</t>
  </si>
  <si>
    <t>10424</t>
  </si>
  <si>
    <t>10420</t>
  </si>
  <si>
    <t>10659</t>
  </si>
  <si>
    <t>10599</t>
  </si>
  <si>
    <t>10800</t>
  </si>
  <si>
    <t>10373</t>
  </si>
  <si>
    <t>10378</t>
  </si>
  <si>
    <t>10429</t>
  </si>
  <si>
    <t>10426</t>
  </si>
  <si>
    <t>11113</t>
  </si>
  <si>
    <t>11165</t>
  </si>
  <si>
    <t>83502</t>
  </si>
  <si>
    <t>57162</t>
  </si>
  <si>
    <t>83995</t>
  </si>
  <si>
    <t>84210</t>
  </si>
  <si>
    <t>84245</t>
  </si>
  <si>
    <t>83886</t>
  </si>
  <si>
    <t>83997</t>
  </si>
  <si>
    <t>84293</t>
  </si>
  <si>
    <t xml:space="preserve"> 510563801</t>
  </si>
  <si>
    <t>5838</t>
  </si>
  <si>
    <t>92628</t>
  </si>
  <si>
    <t>3058</t>
  </si>
  <si>
    <t xml:space="preserve"> 497155401</t>
  </si>
  <si>
    <t>020</t>
  </si>
  <si>
    <t>46545</t>
  </si>
  <si>
    <t>86516</t>
  </si>
  <si>
    <t>3015</t>
  </si>
  <si>
    <t>3156</t>
  </si>
  <si>
    <t>3290</t>
  </si>
  <si>
    <t>85803</t>
  </si>
  <si>
    <t xml:space="preserve"> 507604901</t>
  </si>
  <si>
    <t>1327</t>
  </si>
  <si>
    <t>3119</t>
  </si>
  <si>
    <t>70592</t>
  </si>
  <si>
    <t xml:space="preserve"> 522076201</t>
  </si>
  <si>
    <t>001189246</t>
  </si>
  <si>
    <t>60954</t>
  </si>
  <si>
    <t>21750</t>
  </si>
  <si>
    <t>21749</t>
  </si>
  <si>
    <t>49527</t>
  </si>
  <si>
    <t>48346</t>
  </si>
  <si>
    <t>87590</t>
  </si>
  <si>
    <t>50426</t>
  </si>
  <si>
    <t>9051265</t>
  </si>
  <si>
    <t>71860</t>
  </si>
  <si>
    <t>50427</t>
  </si>
  <si>
    <t>63614</t>
  </si>
  <si>
    <t>40634</t>
  </si>
  <si>
    <t>50965</t>
  </si>
  <si>
    <t>3076</t>
  </si>
  <si>
    <t>3577</t>
  </si>
  <si>
    <t xml:space="preserve"> 549780801</t>
  </si>
  <si>
    <t>57064421B</t>
  </si>
  <si>
    <t>42134</t>
  </si>
  <si>
    <t>67156</t>
  </si>
  <si>
    <t>13262</t>
  </si>
  <si>
    <t xml:space="preserve"> 573968101</t>
  </si>
  <si>
    <t>7087</t>
  </si>
  <si>
    <t>6168</t>
  </si>
  <si>
    <t>66199</t>
  </si>
  <si>
    <t xml:space="preserve"> 573359101</t>
  </si>
  <si>
    <t>1627</t>
  </si>
  <si>
    <t>13851</t>
  </si>
  <si>
    <t>41198</t>
  </si>
  <si>
    <t>40754</t>
  </si>
  <si>
    <t>89688</t>
  </si>
  <si>
    <t>67183</t>
  </si>
  <si>
    <t>41544</t>
  </si>
  <si>
    <t>41610</t>
  </si>
  <si>
    <t>41611</t>
  </si>
  <si>
    <t>41660</t>
  </si>
  <si>
    <t xml:space="preserve"> 596171401</t>
  </si>
  <si>
    <t>766115</t>
  </si>
  <si>
    <t>47193</t>
  </si>
  <si>
    <t>30284</t>
  </si>
  <si>
    <t xml:space="preserve"> 583563801</t>
  </si>
  <si>
    <t>394545</t>
  </si>
  <si>
    <t>41351</t>
  </si>
  <si>
    <t>41756</t>
  </si>
  <si>
    <t>41812</t>
  </si>
  <si>
    <t>41800</t>
  </si>
  <si>
    <t>41638</t>
  </si>
  <si>
    <t>69391</t>
  </si>
  <si>
    <t>69401</t>
  </si>
  <si>
    <t>69402</t>
  </si>
  <si>
    <t>42034</t>
  </si>
  <si>
    <t>41926</t>
  </si>
  <si>
    <t>12469</t>
  </si>
  <si>
    <t>12369</t>
  </si>
  <si>
    <t>30815</t>
  </si>
  <si>
    <t>1198885</t>
  </si>
  <si>
    <t>69383</t>
  </si>
  <si>
    <t>69387</t>
  </si>
  <si>
    <t>94110</t>
  </si>
  <si>
    <t>001198957</t>
  </si>
  <si>
    <t>69886</t>
  </si>
  <si>
    <t>94094</t>
  </si>
  <si>
    <t>65764</t>
  </si>
  <si>
    <t>4422</t>
  </si>
  <si>
    <t>4379</t>
  </si>
  <si>
    <t>4374</t>
  </si>
  <si>
    <t>96321</t>
  </si>
  <si>
    <t>96214</t>
  </si>
  <si>
    <t>96315</t>
  </si>
  <si>
    <t>10647751</t>
  </si>
  <si>
    <t>4743</t>
  </si>
  <si>
    <t>96420</t>
  </si>
  <si>
    <t>22927</t>
  </si>
  <si>
    <t>12748</t>
  </si>
  <si>
    <t>12756</t>
  </si>
  <si>
    <t xml:space="preserve"> 798872801</t>
  </si>
  <si>
    <t>29507</t>
  </si>
  <si>
    <t>697206147</t>
  </si>
  <si>
    <t>73254</t>
  </si>
  <si>
    <t xml:space="preserve"> 807229101</t>
  </si>
  <si>
    <t>94142</t>
  </si>
  <si>
    <t>218</t>
  </si>
  <si>
    <t>23657</t>
  </si>
  <si>
    <t>12196</t>
  </si>
  <si>
    <t>73265</t>
  </si>
  <si>
    <t>62744</t>
  </si>
  <si>
    <t>106604</t>
  </si>
  <si>
    <t>106657</t>
  </si>
  <si>
    <t>62886</t>
  </si>
  <si>
    <t xml:space="preserve"> 832544801</t>
  </si>
  <si>
    <t>178950</t>
  </si>
  <si>
    <t>88596</t>
  </si>
  <si>
    <t>80532</t>
  </si>
  <si>
    <t>80575</t>
  </si>
  <si>
    <t>106660</t>
  </si>
  <si>
    <t>80537</t>
  </si>
  <si>
    <t>4841</t>
  </si>
  <si>
    <t>1671</t>
  </si>
  <si>
    <t>20499</t>
  </si>
  <si>
    <t>21935</t>
  </si>
  <si>
    <t>22058</t>
  </si>
  <si>
    <t xml:space="preserve"> 893765301</t>
  </si>
  <si>
    <t>912001</t>
  </si>
  <si>
    <t>1264</t>
  </si>
  <si>
    <t>697222965</t>
  </si>
  <si>
    <t>83038</t>
  </si>
  <si>
    <t>81660</t>
  </si>
  <si>
    <t xml:space="preserve"> 893772601</t>
  </si>
  <si>
    <t>905002</t>
  </si>
  <si>
    <t>1263</t>
  </si>
  <si>
    <t>2581876</t>
  </si>
  <si>
    <t>190102</t>
  </si>
  <si>
    <t>102200</t>
  </si>
  <si>
    <t>102220</t>
  </si>
  <si>
    <t>22024</t>
  </si>
  <si>
    <t>49427</t>
  </si>
  <si>
    <t>49442</t>
  </si>
  <si>
    <t>13574</t>
  </si>
  <si>
    <t>12967</t>
  </si>
  <si>
    <t>13496</t>
  </si>
  <si>
    <t>13520</t>
  </si>
  <si>
    <t>105176</t>
  </si>
  <si>
    <t>41316</t>
  </si>
  <si>
    <t>191633</t>
  </si>
  <si>
    <t>12981</t>
  </si>
  <si>
    <t>104560</t>
  </si>
  <si>
    <t>13561</t>
  </si>
  <si>
    <t>13568</t>
  </si>
  <si>
    <t>13470</t>
  </si>
  <si>
    <t>88180</t>
  </si>
  <si>
    <t xml:space="preserve"> 957894801</t>
  </si>
  <si>
    <t>71190</t>
  </si>
  <si>
    <t>5762</t>
  </si>
  <si>
    <t>5746</t>
  </si>
  <si>
    <t>5703</t>
  </si>
  <si>
    <t>6052</t>
  </si>
  <si>
    <t>6005</t>
  </si>
  <si>
    <t>6051</t>
  </si>
  <si>
    <t>85715</t>
  </si>
  <si>
    <t>85742</t>
  </si>
  <si>
    <t>6040</t>
  </si>
  <si>
    <t>85807</t>
  </si>
  <si>
    <t>6026</t>
  </si>
  <si>
    <t>6301</t>
  </si>
  <si>
    <t>85981</t>
  </si>
  <si>
    <t>6245</t>
  </si>
  <si>
    <t>85955</t>
  </si>
  <si>
    <t>6103</t>
  </si>
  <si>
    <t>85992</t>
  </si>
  <si>
    <t xml:space="preserve">  49468201</t>
  </si>
  <si>
    <t>5500104264</t>
  </si>
  <si>
    <t>2019</t>
  </si>
  <si>
    <t>34455</t>
  </si>
  <si>
    <t>34454</t>
  </si>
  <si>
    <t>23097</t>
  </si>
  <si>
    <t xml:space="preserve">  81770402</t>
  </si>
  <si>
    <t>5794</t>
  </si>
  <si>
    <t xml:space="preserve">  81525302</t>
  </si>
  <si>
    <t>6841</t>
  </si>
  <si>
    <t>23157</t>
  </si>
  <si>
    <t>23212</t>
  </si>
  <si>
    <t>23573</t>
  </si>
  <si>
    <t>20927</t>
  </si>
  <si>
    <t>16408</t>
  </si>
  <si>
    <t>23199</t>
  </si>
  <si>
    <t>23201</t>
  </si>
  <si>
    <t>23204</t>
  </si>
  <si>
    <t>13801</t>
  </si>
  <si>
    <t xml:space="preserve">  41974901</t>
  </si>
  <si>
    <t>14951</t>
  </si>
  <si>
    <t>5098</t>
  </si>
  <si>
    <t xml:space="preserve">  77010801</t>
  </si>
  <si>
    <t>3124</t>
  </si>
  <si>
    <t>37348</t>
  </si>
  <si>
    <t xml:space="preserve"> 104433102</t>
  </si>
  <si>
    <t>JOSE UMBELINO DOS SANTOS VIDRACARIA</t>
  </si>
  <si>
    <t>583</t>
  </si>
  <si>
    <t>39737</t>
  </si>
  <si>
    <t xml:space="preserve">  80562901</t>
  </si>
  <si>
    <t>1423408</t>
  </si>
  <si>
    <t>14328</t>
  </si>
  <si>
    <t xml:space="preserve">  74800301</t>
  </si>
  <si>
    <t>27565</t>
  </si>
  <si>
    <t>3826</t>
  </si>
  <si>
    <t>18798</t>
  </si>
  <si>
    <t>14504</t>
  </si>
  <si>
    <t>14195</t>
  </si>
  <si>
    <t xml:space="preserve">  88849101</t>
  </si>
  <si>
    <t>18151</t>
  </si>
  <si>
    <t>RURAL SOLUCOES E SERVICOS LTDA</t>
  </si>
  <si>
    <t>4205</t>
  </si>
  <si>
    <t>31599</t>
  </si>
  <si>
    <t>4852</t>
  </si>
  <si>
    <t xml:space="preserve"> 137701102</t>
  </si>
  <si>
    <t>7762</t>
  </si>
  <si>
    <t>31586</t>
  </si>
  <si>
    <t xml:space="preserve"> 109929001</t>
  </si>
  <si>
    <t>21041</t>
  </si>
  <si>
    <t>41592</t>
  </si>
  <si>
    <t>15334</t>
  </si>
  <si>
    <t>27852</t>
  </si>
  <si>
    <t>41874</t>
  </si>
  <si>
    <t>39868</t>
  </si>
  <si>
    <t xml:space="preserve">  93481801</t>
  </si>
  <si>
    <t>87695</t>
  </si>
  <si>
    <t>5728</t>
  </si>
  <si>
    <t>1883</t>
  </si>
  <si>
    <t>42004</t>
  </si>
  <si>
    <t>41900</t>
  </si>
  <si>
    <t>42038</t>
  </si>
  <si>
    <t>15278</t>
  </si>
  <si>
    <t>15384</t>
  </si>
  <si>
    <t>15366</t>
  </si>
  <si>
    <t>41977</t>
  </si>
  <si>
    <t>42164</t>
  </si>
  <si>
    <t>42167</t>
  </si>
  <si>
    <t>47853</t>
  </si>
  <si>
    <t>47947</t>
  </si>
  <si>
    <t xml:space="preserve"> 132221301</t>
  </si>
  <si>
    <t>130913</t>
  </si>
  <si>
    <t>26906</t>
  </si>
  <si>
    <t>48095</t>
  </si>
  <si>
    <t>48049</t>
  </si>
  <si>
    <t>47788</t>
  </si>
  <si>
    <t>47301</t>
  </si>
  <si>
    <t>47773</t>
  </si>
  <si>
    <t>49346</t>
  </si>
  <si>
    <t>49345</t>
  </si>
  <si>
    <t>49467</t>
  </si>
  <si>
    <t>49479</t>
  </si>
  <si>
    <t>49286</t>
  </si>
  <si>
    <t>50871</t>
  </si>
  <si>
    <t>47494</t>
  </si>
  <si>
    <t>15605</t>
  </si>
  <si>
    <t>47764</t>
  </si>
  <si>
    <t>39786</t>
  </si>
  <si>
    <t>47865</t>
  </si>
  <si>
    <t xml:space="preserve"> 107972401</t>
  </si>
  <si>
    <t>29469</t>
  </si>
  <si>
    <t>50061</t>
  </si>
  <si>
    <t>30394</t>
  </si>
  <si>
    <t xml:space="preserve"> 127871001</t>
  </si>
  <si>
    <t>2474589</t>
  </si>
  <si>
    <t>45536</t>
  </si>
  <si>
    <t>50530</t>
  </si>
  <si>
    <t>46490</t>
  </si>
  <si>
    <t>50119</t>
  </si>
  <si>
    <t>50150</t>
  </si>
  <si>
    <t>49730</t>
  </si>
  <si>
    <t xml:space="preserve"> 163458301</t>
  </si>
  <si>
    <t>905994</t>
  </si>
  <si>
    <t>15523</t>
  </si>
  <si>
    <t>39788</t>
  </si>
  <si>
    <t>32022</t>
  </si>
  <si>
    <t>40422</t>
  </si>
  <si>
    <t>40430</t>
  </si>
  <si>
    <t>72067</t>
  </si>
  <si>
    <t xml:space="preserve"> 139090601</t>
  </si>
  <si>
    <t>8301</t>
  </si>
  <si>
    <t>30589</t>
  </si>
  <si>
    <t>29803</t>
  </si>
  <si>
    <t xml:space="preserve"> 140590501</t>
  </si>
  <si>
    <t>1446349</t>
  </si>
  <si>
    <t>21732</t>
  </si>
  <si>
    <t>48275</t>
  </si>
  <si>
    <t>36325</t>
  </si>
  <si>
    <t>36531</t>
  </si>
  <si>
    <t>35376</t>
  </si>
  <si>
    <t>53041</t>
  </si>
  <si>
    <t>52262</t>
  </si>
  <si>
    <t>53224</t>
  </si>
  <si>
    <t>38511</t>
  </si>
  <si>
    <t>53245</t>
  </si>
  <si>
    <t xml:space="preserve"> 163447201</t>
  </si>
  <si>
    <t>905991</t>
  </si>
  <si>
    <t>16877</t>
  </si>
  <si>
    <t>52138</t>
  </si>
  <si>
    <t>24597</t>
  </si>
  <si>
    <t>24518</t>
  </si>
  <si>
    <t>24553</t>
  </si>
  <si>
    <t>52263</t>
  </si>
  <si>
    <t>52109</t>
  </si>
  <si>
    <t>38394</t>
  </si>
  <si>
    <t>38164</t>
  </si>
  <si>
    <t>38274</t>
  </si>
  <si>
    <t>38184</t>
  </si>
  <si>
    <t>38432</t>
  </si>
  <si>
    <t>38162</t>
  </si>
  <si>
    <t>38270</t>
  </si>
  <si>
    <t>38494</t>
  </si>
  <si>
    <t>38390</t>
  </si>
  <si>
    <t>55326</t>
  </si>
  <si>
    <t>151321</t>
  </si>
  <si>
    <t>55490</t>
  </si>
  <si>
    <t>55293</t>
  </si>
  <si>
    <t>12269</t>
  </si>
  <si>
    <t xml:space="preserve"> 268146301</t>
  </si>
  <si>
    <t>7689</t>
  </si>
  <si>
    <t>70619</t>
  </si>
  <si>
    <t>40695</t>
  </si>
  <si>
    <t>12302</t>
  </si>
  <si>
    <t>12234</t>
  </si>
  <si>
    <t>140692</t>
  </si>
  <si>
    <t>140440</t>
  </si>
  <si>
    <t>140210</t>
  </si>
  <si>
    <t>142231</t>
  </si>
  <si>
    <t>140372</t>
  </si>
  <si>
    <t>141514</t>
  </si>
  <si>
    <t>161068</t>
  </si>
  <si>
    <t>160325</t>
  </si>
  <si>
    <t>34587</t>
  </si>
  <si>
    <t>34565</t>
  </si>
  <si>
    <t>165730</t>
  </si>
  <si>
    <t xml:space="preserve"> 343587301</t>
  </si>
  <si>
    <t>1135</t>
  </si>
  <si>
    <t>1033</t>
  </si>
  <si>
    <t>163419</t>
  </si>
  <si>
    <t>163605</t>
  </si>
  <si>
    <t>163680</t>
  </si>
  <si>
    <t>164043</t>
  </si>
  <si>
    <t>164088</t>
  </si>
  <si>
    <t>165909</t>
  </si>
  <si>
    <t>165850</t>
  </si>
  <si>
    <t>163997</t>
  </si>
  <si>
    <t>164199</t>
  </si>
  <si>
    <t>166245</t>
  </si>
  <si>
    <t>93944</t>
  </si>
  <si>
    <t>167213</t>
  </si>
  <si>
    <t>165097</t>
  </si>
  <si>
    <t>167901</t>
  </si>
  <si>
    <t>167902</t>
  </si>
  <si>
    <t xml:space="preserve"> 351996401</t>
  </si>
  <si>
    <t>9051165</t>
  </si>
  <si>
    <t>18967</t>
  </si>
  <si>
    <t>167535</t>
  </si>
  <si>
    <t>167246</t>
  </si>
  <si>
    <t>18935</t>
  </si>
  <si>
    <t>164572</t>
  </si>
  <si>
    <t>166260</t>
  </si>
  <si>
    <t>167144</t>
  </si>
  <si>
    <t>170834</t>
  </si>
  <si>
    <t>170830</t>
  </si>
  <si>
    <t>19109</t>
  </si>
  <si>
    <t>48110</t>
  </si>
  <si>
    <t xml:space="preserve"> 365328201</t>
  </si>
  <si>
    <t>4112</t>
  </si>
  <si>
    <t>15043</t>
  </si>
  <si>
    <t>14924</t>
  </si>
  <si>
    <t>94973</t>
  </si>
  <si>
    <t>51610</t>
  </si>
  <si>
    <t>51516</t>
  </si>
  <si>
    <t>36523</t>
  </si>
  <si>
    <t>33477</t>
  </si>
  <si>
    <t>51833</t>
  </si>
  <si>
    <t>8073</t>
  </si>
  <si>
    <t>57765</t>
  </si>
  <si>
    <t>38804</t>
  </si>
  <si>
    <t>38983</t>
  </si>
  <si>
    <t>54235</t>
  </si>
  <si>
    <t xml:space="preserve"> 407064301</t>
  </si>
  <si>
    <t>9512</t>
  </si>
  <si>
    <t xml:space="preserve"> 405397401</t>
  </si>
  <si>
    <t>10551</t>
  </si>
  <si>
    <t>8071</t>
  </si>
  <si>
    <t xml:space="preserve"> 395819701</t>
  </si>
  <si>
    <t>397-334</t>
  </si>
  <si>
    <t>39045</t>
  </si>
  <si>
    <t>39131</t>
  </si>
  <si>
    <t>39130</t>
  </si>
  <si>
    <t>174708</t>
  </si>
  <si>
    <t>5498</t>
  </si>
  <si>
    <t>39008</t>
  </si>
  <si>
    <t>57691</t>
  </si>
  <si>
    <t>57689</t>
  </si>
  <si>
    <t>57679</t>
  </si>
  <si>
    <t>57682</t>
  </si>
  <si>
    <t>40217</t>
  </si>
  <si>
    <t>4997</t>
  </si>
  <si>
    <t>40964</t>
  </si>
  <si>
    <t>8211</t>
  </si>
  <si>
    <t>8378</t>
  </si>
  <si>
    <t>8313</t>
  </si>
  <si>
    <t>8395</t>
  </si>
  <si>
    <t>40854</t>
  </si>
  <si>
    <t>8389</t>
  </si>
  <si>
    <t>8054</t>
  </si>
  <si>
    <t>8076</t>
  </si>
  <si>
    <t>8083</t>
  </si>
  <si>
    <t>8345</t>
  </si>
  <si>
    <t>41117</t>
  </si>
  <si>
    <t>58330</t>
  </si>
  <si>
    <t>58265</t>
  </si>
  <si>
    <t>8222</t>
  </si>
  <si>
    <t xml:space="preserve"> 412375501</t>
  </si>
  <si>
    <t>9051179</t>
  </si>
  <si>
    <t>20343</t>
  </si>
  <si>
    <t xml:space="preserve"> 412380601</t>
  </si>
  <si>
    <t>9051177</t>
  </si>
  <si>
    <t>20344</t>
  </si>
  <si>
    <t>58237</t>
  </si>
  <si>
    <t>58320</t>
  </si>
  <si>
    <t>104337</t>
  </si>
  <si>
    <t>8384</t>
  </si>
  <si>
    <t>8399</t>
  </si>
  <si>
    <t>8394</t>
  </si>
  <si>
    <t>104770</t>
  </si>
  <si>
    <t>9143</t>
  </si>
  <si>
    <t xml:space="preserve"> 450462401</t>
  </si>
  <si>
    <t>007</t>
  </si>
  <si>
    <t>45120</t>
  </si>
  <si>
    <t>10700</t>
  </si>
  <si>
    <t>10506</t>
  </si>
  <si>
    <t>10798</t>
  </si>
  <si>
    <t>10885</t>
  </si>
  <si>
    <t>11203</t>
  </si>
  <si>
    <t>10868</t>
  </si>
  <si>
    <t>10874</t>
  </si>
  <si>
    <t>83708</t>
  </si>
  <si>
    <t>83683</t>
  </si>
  <si>
    <t>84319</t>
  </si>
  <si>
    <t>84055</t>
  </si>
  <si>
    <t>83947</t>
  </si>
  <si>
    <t>84063</t>
  </si>
  <si>
    <t>83979</t>
  </si>
  <si>
    <t>84247</t>
  </si>
  <si>
    <t>83881</t>
  </si>
  <si>
    <t>2993</t>
  </si>
  <si>
    <t>3060</t>
  </si>
  <si>
    <t>85783</t>
  </si>
  <si>
    <t>30-338</t>
  </si>
  <si>
    <t>44607</t>
  </si>
  <si>
    <t>44608</t>
  </si>
  <si>
    <t>60953</t>
  </si>
  <si>
    <t>61802</t>
  </si>
  <si>
    <t xml:space="preserve"> 516984101</t>
  </si>
  <si>
    <t>2934</t>
  </si>
  <si>
    <t>3380</t>
  </si>
  <si>
    <t>21763</t>
  </si>
  <si>
    <t>86857</t>
  </si>
  <si>
    <t>87592</t>
  </si>
  <si>
    <t>3114</t>
  </si>
  <si>
    <t>3292</t>
  </si>
  <si>
    <t>86919</t>
  </si>
  <si>
    <t>86863</t>
  </si>
  <si>
    <t>86761</t>
  </si>
  <si>
    <t>86859</t>
  </si>
  <si>
    <t>53255</t>
  </si>
  <si>
    <t>49433</t>
  </si>
  <si>
    <t>9051263</t>
  </si>
  <si>
    <t>71785</t>
  </si>
  <si>
    <t>9051260</t>
  </si>
  <si>
    <t>21930</t>
  </si>
  <si>
    <t>63109</t>
  </si>
  <si>
    <t>63626</t>
  </si>
  <si>
    <t>63612</t>
  </si>
  <si>
    <t>3077</t>
  </si>
  <si>
    <t>3583</t>
  </si>
  <si>
    <t>13264</t>
  </si>
  <si>
    <t>40828</t>
  </si>
  <si>
    <t>66185</t>
  </si>
  <si>
    <t>89925</t>
  </si>
  <si>
    <t>66719</t>
  </si>
  <si>
    <t>89715</t>
  </si>
  <si>
    <t xml:space="preserve"> 600650601</t>
  </si>
  <si>
    <t>41908</t>
  </si>
  <si>
    <t>41272</t>
  </si>
  <si>
    <t>416291</t>
  </si>
  <si>
    <t>9051285</t>
  </si>
  <si>
    <t>22943</t>
  </si>
  <si>
    <t>41730</t>
  </si>
  <si>
    <t>41760</t>
  </si>
  <si>
    <t>41813</t>
  </si>
  <si>
    <t>41704</t>
  </si>
  <si>
    <t>69393</t>
  </si>
  <si>
    <t>69397</t>
  </si>
  <si>
    <t>42173</t>
  </si>
  <si>
    <t>41990</t>
  </si>
  <si>
    <t>26813</t>
  </si>
  <si>
    <t xml:space="preserve"> 677624601</t>
  </si>
  <si>
    <t>70035</t>
  </si>
  <si>
    <t>26777</t>
  </si>
  <si>
    <t>4363</t>
  </si>
  <si>
    <t>4520</t>
  </si>
  <si>
    <t>4309</t>
  </si>
  <si>
    <t>4697</t>
  </si>
  <si>
    <t>4573</t>
  </si>
  <si>
    <t>4569</t>
  </si>
  <si>
    <t>4717</t>
  </si>
  <si>
    <t>4502</t>
  </si>
  <si>
    <t>4518</t>
  </si>
  <si>
    <t>96547</t>
  </si>
  <si>
    <t>96819</t>
  </si>
  <si>
    <t>96707</t>
  </si>
  <si>
    <t>96086</t>
  </si>
  <si>
    <t xml:space="preserve"> 773921701</t>
  </si>
  <si>
    <t>4066005</t>
  </si>
  <si>
    <t>22961</t>
  </si>
  <si>
    <t>96317</t>
  </si>
  <si>
    <t>4747</t>
  </si>
  <si>
    <t>96413</t>
  </si>
  <si>
    <t>96333</t>
  </si>
  <si>
    <t>96822</t>
  </si>
  <si>
    <t>4759</t>
  </si>
  <si>
    <t>12237</t>
  </si>
  <si>
    <t xml:space="preserve"> 779924201</t>
  </si>
  <si>
    <t>93338</t>
  </si>
  <si>
    <t>15477</t>
  </si>
  <si>
    <t>62674</t>
  </si>
  <si>
    <t xml:space="preserve"> 777869001</t>
  </si>
  <si>
    <t>9051350-2</t>
  </si>
  <si>
    <t>73232</t>
  </si>
  <si>
    <t>106596</t>
  </si>
  <si>
    <t>106637</t>
  </si>
  <si>
    <t>14058</t>
  </si>
  <si>
    <t>106677</t>
  </si>
  <si>
    <t>67099</t>
  </si>
  <si>
    <t>80571</t>
  </si>
  <si>
    <t>77136</t>
  </si>
  <si>
    <t>12944</t>
  </si>
  <si>
    <t xml:space="preserve"> 807226801</t>
  </si>
  <si>
    <t>94295</t>
  </si>
  <si>
    <t>409</t>
  </si>
  <si>
    <t>13027</t>
  </si>
  <si>
    <t>13423</t>
  </si>
  <si>
    <t>14492</t>
  </si>
  <si>
    <t>80998</t>
  </si>
  <si>
    <t>81025</t>
  </si>
  <si>
    <t>14484</t>
  </si>
  <si>
    <t>20602</t>
  </si>
  <si>
    <t>82606</t>
  </si>
  <si>
    <t>82607</t>
  </si>
  <si>
    <t>102300</t>
  </si>
  <si>
    <t xml:space="preserve"> 896567601</t>
  </si>
  <si>
    <t>2605</t>
  </si>
  <si>
    <t>4977</t>
  </si>
  <si>
    <t>5138</t>
  </si>
  <si>
    <t>81665</t>
  </si>
  <si>
    <t>26503</t>
  </si>
  <si>
    <t xml:space="preserve"> 898464401</t>
  </si>
  <si>
    <t>9051369</t>
  </si>
  <si>
    <t>92318</t>
  </si>
  <si>
    <t>102410</t>
  </si>
  <si>
    <t>21936</t>
  </si>
  <si>
    <t>191659</t>
  </si>
  <si>
    <t>13499</t>
  </si>
  <si>
    <t>191704</t>
  </si>
  <si>
    <t>88186</t>
  </si>
  <si>
    <t>88240</t>
  </si>
  <si>
    <t>22870</t>
  </si>
  <si>
    <t>13554</t>
  </si>
  <si>
    <t>104832</t>
  </si>
  <si>
    <t>13517</t>
  </si>
  <si>
    <t>13485</t>
  </si>
  <si>
    <t>5707</t>
  </si>
  <si>
    <t>6029</t>
  </si>
  <si>
    <t>85713</t>
  </si>
  <si>
    <t>85806</t>
  </si>
  <si>
    <t>6169</t>
  </si>
  <si>
    <t>6057</t>
  </si>
  <si>
    <t>85983</t>
  </si>
  <si>
    <t>85940</t>
  </si>
  <si>
    <t>6297</t>
  </si>
  <si>
    <t>85991</t>
  </si>
  <si>
    <t xml:space="preserve">  44699901</t>
  </si>
  <si>
    <t>37770</t>
  </si>
  <si>
    <t>54973</t>
  </si>
  <si>
    <t>2217</t>
  </si>
  <si>
    <t>34458</t>
  </si>
  <si>
    <t>34447</t>
  </si>
  <si>
    <t>17050</t>
  </si>
  <si>
    <t xml:space="preserve">  81533102</t>
  </si>
  <si>
    <t>1602</t>
  </si>
  <si>
    <t xml:space="preserve">  76205402</t>
  </si>
  <si>
    <t>179</t>
  </si>
  <si>
    <t>23159</t>
  </si>
  <si>
    <t>15719</t>
  </si>
  <si>
    <t>16340</t>
  </si>
  <si>
    <t>16427</t>
  </si>
  <si>
    <t>14872</t>
  </si>
  <si>
    <t>4712</t>
  </si>
  <si>
    <t>4557</t>
  </si>
  <si>
    <t>37230</t>
  </si>
  <si>
    <t>61992</t>
  </si>
  <si>
    <t>39706</t>
  </si>
  <si>
    <t>4153</t>
  </si>
  <si>
    <t>4156</t>
  </si>
  <si>
    <t xml:space="preserve"> 104513502</t>
  </si>
  <si>
    <t>4832</t>
  </si>
  <si>
    <t>3819</t>
  </si>
  <si>
    <t>18755</t>
  </si>
  <si>
    <t>112300</t>
  </si>
  <si>
    <t>4186</t>
  </si>
  <si>
    <t>39617</t>
  </si>
  <si>
    <t>39608</t>
  </si>
  <si>
    <t>8300</t>
  </si>
  <si>
    <t xml:space="preserve">  88554301</t>
  </si>
  <si>
    <t>24011</t>
  </si>
  <si>
    <t>8230</t>
  </si>
  <si>
    <t>4727</t>
  </si>
  <si>
    <t>40495</t>
  </si>
  <si>
    <t>42997</t>
  </si>
  <si>
    <t>42876</t>
  </si>
  <si>
    <t>15399</t>
  </si>
  <si>
    <t>27879</t>
  </si>
  <si>
    <t>41899</t>
  </si>
  <si>
    <t>41885</t>
  </si>
  <si>
    <t>39862</t>
  </si>
  <si>
    <t>42048</t>
  </si>
  <si>
    <t>15393</t>
  </si>
  <si>
    <t>15391</t>
  </si>
  <si>
    <t>42937</t>
  </si>
  <si>
    <t>47992</t>
  </si>
  <si>
    <t>49741</t>
  </si>
  <si>
    <t>49174</t>
  </si>
  <si>
    <t xml:space="preserve"> 144461401</t>
  </si>
  <si>
    <t>49461</t>
  </si>
  <si>
    <t>49473</t>
  </si>
  <si>
    <t xml:space="preserve"> 150566101</t>
  </si>
  <si>
    <t>8842</t>
  </si>
  <si>
    <t>49848</t>
  </si>
  <si>
    <t>49863</t>
  </si>
  <si>
    <t>49582</t>
  </si>
  <si>
    <t>50285</t>
  </si>
  <si>
    <t>50297</t>
  </si>
  <si>
    <t>50858</t>
  </si>
  <si>
    <t>50874</t>
  </si>
  <si>
    <t>50876</t>
  </si>
  <si>
    <t>50833</t>
  </si>
  <si>
    <t xml:space="preserve"> 142357001</t>
  </si>
  <si>
    <t>2065</t>
  </si>
  <si>
    <t>1891</t>
  </si>
  <si>
    <t xml:space="preserve"> 163463201</t>
  </si>
  <si>
    <t>905996</t>
  </si>
  <si>
    <t>15451</t>
  </si>
  <si>
    <t>50317</t>
  </si>
  <si>
    <t>7400</t>
  </si>
  <si>
    <t>50033</t>
  </si>
  <si>
    <t>39155</t>
  </si>
  <si>
    <t>45884</t>
  </si>
  <si>
    <t>47792</t>
  </si>
  <si>
    <t>49965</t>
  </si>
  <si>
    <t>39380</t>
  </si>
  <si>
    <t>39404</t>
  </si>
  <si>
    <t>17609</t>
  </si>
  <si>
    <t>72049</t>
  </si>
  <si>
    <t>72208</t>
  </si>
  <si>
    <t>72078</t>
  </si>
  <si>
    <t>33088</t>
  </si>
  <si>
    <t>8139</t>
  </si>
  <si>
    <t>33839</t>
  </si>
  <si>
    <t>30590</t>
  </si>
  <si>
    <t>5596</t>
  </si>
  <si>
    <t>5594</t>
  </si>
  <si>
    <t>72219</t>
  </si>
  <si>
    <t>49092</t>
  </si>
  <si>
    <t>22128</t>
  </si>
  <si>
    <t>10614</t>
  </si>
  <si>
    <t>36369</t>
  </si>
  <si>
    <t>53073</t>
  </si>
  <si>
    <t>53246</t>
  </si>
  <si>
    <t>53288</t>
  </si>
  <si>
    <t>53448</t>
  </si>
  <si>
    <t>23669</t>
  </si>
  <si>
    <t>24596</t>
  </si>
  <si>
    <t>24557</t>
  </si>
  <si>
    <t>53223</t>
  </si>
  <si>
    <t>53437</t>
  </si>
  <si>
    <t>38398</t>
  </si>
  <si>
    <t>38222</t>
  </si>
  <si>
    <t>38244</t>
  </si>
  <si>
    <t>38198</t>
  </si>
  <si>
    <t>38428</t>
  </si>
  <si>
    <t>38438</t>
  </si>
  <si>
    <t>7354</t>
  </si>
  <si>
    <t>38452</t>
  </si>
  <si>
    <t>6977</t>
  </si>
  <si>
    <t>38484</t>
  </si>
  <si>
    <t>38320</t>
  </si>
  <si>
    <t>55451</t>
  </si>
  <si>
    <t>12267</t>
  </si>
  <si>
    <t>40505</t>
  </si>
  <si>
    <t>70622</t>
  </si>
  <si>
    <t>40621</t>
  </si>
  <si>
    <t>55727</t>
  </si>
  <si>
    <t>12214</t>
  </si>
  <si>
    <t>151515</t>
  </si>
  <si>
    <t xml:space="preserve"> 291030401</t>
  </si>
  <si>
    <t>137289</t>
  </si>
  <si>
    <t>5222</t>
  </si>
  <si>
    <t>140494</t>
  </si>
  <si>
    <t>140690</t>
  </si>
  <si>
    <t>140322</t>
  </si>
  <si>
    <t>141257</t>
  </si>
  <si>
    <t>141373</t>
  </si>
  <si>
    <t>160494</t>
  </si>
  <si>
    <t>34437</t>
  </si>
  <si>
    <t>34316</t>
  </si>
  <si>
    <t>160434</t>
  </si>
  <si>
    <t>160307</t>
  </si>
  <si>
    <t xml:space="preserve"> 322080501</t>
  </si>
  <si>
    <t>60</t>
  </si>
  <si>
    <t>33821</t>
  </si>
  <si>
    <t>165316</t>
  </si>
  <si>
    <t>163123</t>
  </si>
  <si>
    <t>91992</t>
  </si>
  <si>
    <t>92383</t>
  </si>
  <si>
    <t>34505</t>
  </si>
  <si>
    <t>164087</t>
  </si>
  <si>
    <t>164615</t>
  </si>
  <si>
    <t>165804</t>
  </si>
  <si>
    <t>165860</t>
  </si>
  <si>
    <t xml:space="preserve"> 337141701</t>
  </si>
  <si>
    <t>308130</t>
  </si>
  <si>
    <t>15430</t>
  </si>
  <si>
    <t>163950</t>
  </si>
  <si>
    <t>167882</t>
  </si>
  <si>
    <t>163978</t>
  </si>
  <si>
    <t>19108</t>
  </si>
  <si>
    <t>167265</t>
  </si>
  <si>
    <t>33031</t>
  </si>
  <si>
    <t>166100</t>
  </si>
  <si>
    <t>94048</t>
  </si>
  <si>
    <t>18968</t>
  </si>
  <si>
    <t>165086</t>
  </si>
  <si>
    <t>10003</t>
  </si>
  <si>
    <t>17558</t>
  </si>
  <si>
    <t>48663</t>
  </si>
  <si>
    <t>96230</t>
  </si>
  <si>
    <t>96229</t>
  </si>
  <si>
    <t>31724</t>
  </si>
  <si>
    <t>168654</t>
  </si>
  <si>
    <t>168648</t>
  </si>
  <si>
    <t>51436</t>
  </si>
  <si>
    <t>36838</t>
  </si>
  <si>
    <t>36839</t>
  </si>
  <si>
    <t>50939</t>
  </si>
  <si>
    <t>38850</t>
  </si>
  <si>
    <t>38797</t>
  </si>
  <si>
    <t>175549</t>
  </si>
  <si>
    <t>277936</t>
  </si>
  <si>
    <t>54074</t>
  </si>
  <si>
    <t>57751</t>
  </si>
  <si>
    <t>99853</t>
  </si>
  <si>
    <t>99839</t>
  </si>
  <si>
    <t>38998</t>
  </si>
  <si>
    <t>38849</t>
  </si>
  <si>
    <t>39046</t>
  </si>
  <si>
    <t>38873</t>
  </si>
  <si>
    <t>5534</t>
  </si>
  <si>
    <t>174698</t>
  </si>
  <si>
    <t>38985</t>
  </si>
  <si>
    <t>39000</t>
  </si>
  <si>
    <t>39024</t>
  </si>
  <si>
    <t>57713</t>
  </si>
  <si>
    <t>57697</t>
  </si>
  <si>
    <t>40760</t>
  </si>
  <si>
    <t>8318</t>
  </si>
  <si>
    <t>58458</t>
  </si>
  <si>
    <t>101780</t>
  </si>
  <si>
    <t>58349</t>
  </si>
  <si>
    <t>8064</t>
  </si>
  <si>
    <t>58493</t>
  </si>
  <si>
    <t>41035</t>
  </si>
  <si>
    <t>57705</t>
  </si>
  <si>
    <t>41120</t>
  </si>
  <si>
    <t>58593</t>
  </si>
  <si>
    <t>58239</t>
  </si>
  <si>
    <t>58245</t>
  </si>
  <si>
    <t>32758</t>
  </si>
  <si>
    <t>104241</t>
  </si>
  <si>
    <t>8402</t>
  </si>
  <si>
    <t>104772</t>
  </si>
  <si>
    <t>104779</t>
  </si>
  <si>
    <t>10588</t>
  </si>
  <si>
    <t>10595</t>
  </si>
  <si>
    <t>10535</t>
  </si>
  <si>
    <t>10724</t>
  </si>
  <si>
    <t>10694</t>
  </si>
  <si>
    <t>83806</t>
  </si>
  <si>
    <t>57166</t>
  </si>
  <si>
    <t>84206</t>
  </si>
  <si>
    <t>83848</t>
  </si>
  <si>
    <t>83899</t>
  </si>
  <si>
    <t>83890</t>
  </si>
  <si>
    <t>84339</t>
  </si>
  <si>
    <t>83810</t>
  </si>
  <si>
    <t>95546</t>
  </si>
  <si>
    <t>86411</t>
  </si>
  <si>
    <t>3009</t>
  </si>
  <si>
    <t>3071</t>
  </si>
  <si>
    <t>3233</t>
  </si>
  <si>
    <t xml:space="preserve"> 450461601</t>
  </si>
  <si>
    <t>008</t>
  </si>
  <si>
    <t>46422</t>
  </si>
  <si>
    <t>85735</t>
  </si>
  <si>
    <t>85778</t>
  </si>
  <si>
    <t>85753</t>
  </si>
  <si>
    <t>85916</t>
  </si>
  <si>
    <t xml:space="preserve"> 526714501</t>
  </si>
  <si>
    <t>183041</t>
  </si>
  <si>
    <t>8652</t>
  </si>
  <si>
    <t xml:space="preserve"> 366479601</t>
  </si>
  <si>
    <t>401-334</t>
  </si>
  <si>
    <t>35706</t>
  </si>
  <si>
    <t>3270</t>
  </si>
  <si>
    <t>3282</t>
  </si>
  <si>
    <t>86889</t>
  </si>
  <si>
    <t>86865</t>
  </si>
  <si>
    <t>86920</t>
  </si>
  <si>
    <t>64469</t>
  </si>
  <si>
    <t>64165</t>
  </si>
  <si>
    <t>50926</t>
  </si>
  <si>
    <t>71787</t>
  </si>
  <si>
    <t xml:space="preserve"> 549728401</t>
  </si>
  <si>
    <t>3211</t>
  </si>
  <si>
    <t>2100</t>
  </si>
  <si>
    <t>66996</t>
  </si>
  <si>
    <t>67159</t>
  </si>
  <si>
    <t>89835</t>
  </si>
  <si>
    <t xml:space="preserve"> 531051301</t>
  </si>
  <si>
    <t>2</t>
  </si>
  <si>
    <t>65352</t>
  </si>
  <si>
    <t>42767</t>
  </si>
  <si>
    <t>67177</t>
  </si>
  <si>
    <t>40829</t>
  </si>
  <si>
    <t>65345</t>
  </si>
  <si>
    <t>67017</t>
  </si>
  <si>
    <t>41197</t>
  </si>
  <si>
    <t xml:space="preserve"> 596171601</t>
  </si>
  <si>
    <t>17248</t>
  </si>
  <si>
    <t>41507</t>
  </si>
  <si>
    <t>41738</t>
  </si>
  <si>
    <t xml:space="preserve"> 587035201</t>
  </si>
  <si>
    <t>1132771</t>
  </si>
  <si>
    <t xml:space="preserve"> 599289201</t>
  </si>
  <si>
    <t>556428</t>
  </si>
  <si>
    <t>41199</t>
  </si>
  <si>
    <t>41291</t>
  </si>
  <si>
    <t>41270</t>
  </si>
  <si>
    <t>9051287</t>
  </si>
  <si>
    <t>23025</t>
  </si>
  <si>
    <t>12357</t>
  </si>
  <si>
    <t xml:space="preserve"> 621607501</t>
  </si>
  <si>
    <t>1716</t>
  </si>
  <si>
    <t>69190</t>
  </si>
  <si>
    <t>41925</t>
  </si>
  <si>
    <t>12666</t>
  </si>
  <si>
    <t xml:space="preserve"> 665495801</t>
  </si>
  <si>
    <t>1816</t>
  </si>
  <si>
    <t>69788</t>
  </si>
  <si>
    <t>69946</t>
  </si>
  <si>
    <t xml:space="preserve"> 677851001</t>
  </si>
  <si>
    <t>1833</t>
  </si>
  <si>
    <t>94092</t>
  </si>
  <si>
    <t>4538</t>
  </si>
  <si>
    <t>96210</t>
  </si>
  <si>
    <t>4565</t>
  </si>
  <si>
    <t>4577</t>
  </si>
  <si>
    <t>4575</t>
  </si>
  <si>
    <t>4544</t>
  </si>
  <si>
    <t>4508</t>
  </si>
  <si>
    <t>59483</t>
  </si>
  <si>
    <t>71922</t>
  </si>
  <si>
    <t>96689</t>
  </si>
  <si>
    <t xml:space="preserve"> 768989301</t>
  </si>
  <si>
    <t>29624</t>
  </si>
  <si>
    <t>4755</t>
  </si>
  <si>
    <t>4753</t>
  </si>
  <si>
    <t>96438</t>
  </si>
  <si>
    <t xml:space="preserve"> 744516601</t>
  </si>
  <si>
    <t>1921</t>
  </si>
  <si>
    <t>4749</t>
  </si>
  <si>
    <t>62791</t>
  </si>
  <si>
    <t>106136</t>
  </si>
  <si>
    <t>23739</t>
  </si>
  <si>
    <t>030</t>
  </si>
  <si>
    <t>61325</t>
  </si>
  <si>
    <t>106568</t>
  </si>
  <si>
    <t>106655</t>
  </si>
  <si>
    <t>62747</t>
  </si>
  <si>
    <t>14063</t>
  </si>
  <si>
    <t xml:space="preserve"> 846227901</t>
  </si>
  <si>
    <t>78031</t>
  </si>
  <si>
    <t>13314</t>
  </si>
  <si>
    <t>13360</t>
  </si>
  <si>
    <t>80557</t>
  </si>
  <si>
    <t>80536</t>
  </si>
  <si>
    <t>80591</t>
  </si>
  <si>
    <t>80567</t>
  </si>
  <si>
    <t>1738</t>
  </si>
  <si>
    <t>81075</t>
  </si>
  <si>
    <t>1693</t>
  </si>
  <si>
    <t>81018</t>
  </si>
  <si>
    <t>49233</t>
  </si>
  <si>
    <t>20509</t>
  </si>
  <si>
    <t>83037</t>
  </si>
  <si>
    <t>83278</t>
  </si>
  <si>
    <t>49083</t>
  </si>
  <si>
    <t>102286</t>
  </si>
  <si>
    <t>102306</t>
  </si>
  <si>
    <t>110594</t>
  </si>
  <si>
    <t>49429</t>
  </si>
  <si>
    <t>104426</t>
  </si>
  <si>
    <t>13525</t>
  </si>
  <si>
    <t>13539</t>
  </si>
  <si>
    <t>88181</t>
  </si>
  <si>
    <t>191631</t>
  </si>
  <si>
    <t>104557</t>
  </si>
  <si>
    <t>16260</t>
  </si>
  <si>
    <t>13479</t>
  </si>
  <si>
    <t>191647</t>
  </si>
  <si>
    <t>13457</t>
  </si>
  <si>
    <t>13522</t>
  </si>
  <si>
    <t>13475</t>
  </si>
  <si>
    <t>88191</t>
  </si>
  <si>
    <t>20944</t>
  </si>
  <si>
    <t>5724</t>
  </si>
  <si>
    <t>13544</t>
  </si>
  <si>
    <t>85588</t>
  </si>
  <si>
    <t>6066</t>
  </si>
  <si>
    <t>6062</t>
  </si>
  <si>
    <t>6056</t>
  </si>
  <si>
    <t>6065</t>
  </si>
  <si>
    <t>85571</t>
  </si>
  <si>
    <t>112446</t>
  </si>
  <si>
    <t>112435</t>
  </si>
  <si>
    <t>6299</t>
  </si>
  <si>
    <t>6247</t>
  </si>
  <si>
    <t>112490</t>
  </si>
  <si>
    <t>34488</t>
  </si>
  <si>
    <t>16739</t>
  </si>
  <si>
    <t>57327</t>
  </si>
  <si>
    <t>20926</t>
  </si>
  <si>
    <t>23574</t>
  </si>
  <si>
    <t>16405</t>
  </si>
  <si>
    <t>23092</t>
  </si>
  <si>
    <t>23146</t>
  </si>
  <si>
    <t>35058</t>
  </si>
  <si>
    <t xml:space="preserve"> 104475702</t>
  </si>
  <si>
    <t>18663</t>
  </si>
  <si>
    <t>37325</t>
  </si>
  <si>
    <t>37292</t>
  </si>
  <si>
    <t>62031</t>
  </si>
  <si>
    <t>14315</t>
  </si>
  <si>
    <t>3822</t>
  </si>
  <si>
    <t>112295</t>
  </si>
  <si>
    <t>112281</t>
  </si>
  <si>
    <t>112323</t>
  </si>
  <si>
    <t>112315</t>
  </si>
  <si>
    <t>99910</t>
  </si>
  <si>
    <t>40537</t>
  </si>
  <si>
    <t>47789</t>
  </si>
  <si>
    <t>47827</t>
  </si>
  <si>
    <t>42874</t>
  </si>
  <si>
    <t>31592</t>
  </si>
  <si>
    <t>15348</t>
  </si>
  <si>
    <t>42136</t>
  </si>
  <si>
    <t>31584</t>
  </si>
  <si>
    <t>5024</t>
  </si>
  <si>
    <t>100067</t>
  </si>
  <si>
    <t>42055</t>
  </si>
  <si>
    <t>40865</t>
  </si>
  <si>
    <t>48068</t>
  </si>
  <si>
    <t xml:space="preserve"> 126530001</t>
  </si>
  <si>
    <t>130720</t>
  </si>
  <si>
    <t>2693</t>
  </si>
  <si>
    <t>70071</t>
  </si>
  <si>
    <t>49522</t>
  </si>
  <si>
    <t>49468</t>
  </si>
  <si>
    <t>49573</t>
  </si>
  <si>
    <t>49579</t>
  </si>
  <si>
    <t>49666</t>
  </si>
  <si>
    <t>49805</t>
  </si>
  <si>
    <t>49749</t>
  </si>
  <si>
    <t>48594</t>
  </si>
  <si>
    <t>48398</t>
  </si>
  <si>
    <t>48357</t>
  </si>
  <si>
    <t>49268</t>
  </si>
  <si>
    <t>49260</t>
  </si>
  <si>
    <t>50148</t>
  </si>
  <si>
    <t>47609</t>
  </si>
  <si>
    <t>50860</t>
  </si>
  <si>
    <t>50863</t>
  </si>
  <si>
    <t>30462</t>
  </si>
  <si>
    <t>15452</t>
  </si>
  <si>
    <t>50539</t>
  </si>
  <si>
    <t>15440</t>
  </si>
  <si>
    <t>47864</t>
  </si>
  <si>
    <t>30396</t>
  </si>
  <si>
    <t xml:space="preserve"> 163446301</t>
  </si>
  <si>
    <t>905990</t>
  </si>
  <si>
    <t>15441</t>
  </si>
  <si>
    <t>39158</t>
  </si>
  <si>
    <t>46488</t>
  </si>
  <si>
    <t>45683</t>
  </si>
  <si>
    <t>48274</t>
  </si>
  <si>
    <t>47489</t>
  </si>
  <si>
    <t>47496</t>
  </si>
  <si>
    <t>50459</t>
  </si>
  <si>
    <t>50341</t>
  </si>
  <si>
    <t>39782</t>
  </si>
  <si>
    <t>32851</t>
  </si>
  <si>
    <t>21872</t>
  </si>
  <si>
    <t>21873</t>
  </si>
  <si>
    <t>72066</t>
  </si>
  <si>
    <t>9493</t>
  </si>
  <si>
    <t>1925</t>
  </si>
  <si>
    <t>29769</t>
  </si>
  <si>
    <t>52766</t>
  </si>
  <si>
    <t>17608</t>
  </si>
  <si>
    <t>52181</t>
  </si>
  <si>
    <t>6478</t>
  </si>
  <si>
    <t>36530</t>
  </si>
  <si>
    <t>53478</t>
  </si>
  <si>
    <t>53020</t>
  </si>
  <si>
    <t>53484</t>
  </si>
  <si>
    <t>53525</t>
  </si>
  <si>
    <t xml:space="preserve"> 163445201</t>
  </si>
  <si>
    <t>905888</t>
  </si>
  <si>
    <t>16874</t>
  </si>
  <si>
    <t>53443</t>
  </si>
  <si>
    <t>24530</t>
  </si>
  <si>
    <t>38725</t>
  </si>
  <si>
    <t>52124</t>
  </si>
  <si>
    <t>38168</t>
  </si>
  <si>
    <t>38388</t>
  </si>
  <si>
    <t>24607</t>
  </si>
  <si>
    <t>38420</t>
  </si>
  <si>
    <t>38462</t>
  </si>
  <si>
    <t>38346</t>
  </si>
  <si>
    <t>6982</t>
  </si>
  <si>
    <t>31957</t>
  </si>
  <si>
    <t>40178</t>
  </si>
  <si>
    <t>12311</t>
  </si>
  <si>
    <t>71043</t>
  </si>
  <si>
    <t>55420</t>
  </si>
  <si>
    <t>55568</t>
  </si>
  <si>
    <t>55357</t>
  </si>
  <si>
    <t>55358</t>
  </si>
  <si>
    <t>40547</t>
  </si>
  <si>
    <t xml:space="preserve"> 256428301</t>
  </si>
  <si>
    <t>1144212</t>
  </si>
  <si>
    <t>39831</t>
  </si>
  <si>
    <t>70832</t>
  </si>
  <si>
    <t>40533</t>
  </si>
  <si>
    <t>12221</t>
  </si>
  <si>
    <t>27653</t>
  </si>
  <si>
    <t>151447</t>
  </si>
  <si>
    <t>151473</t>
  </si>
  <si>
    <t>141194</t>
  </si>
  <si>
    <t xml:space="preserve"> 168197801</t>
  </si>
  <si>
    <t>1468</t>
  </si>
  <si>
    <t>23408</t>
  </si>
  <si>
    <t>140797</t>
  </si>
  <si>
    <t>140993</t>
  </si>
  <si>
    <t>140484</t>
  </si>
  <si>
    <t>140445</t>
  </si>
  <si>
    <t>38405</t>
  </si>
  <si>
    <t>141786</t>
  </si>
  <si>
    <t>141598</t>
  </si>
  <si>
    <t>141419</t>
  </si>
  <si>
    <t>141199</t>
  </si>
  <si>
    <t>141417</t>
  </si>
  <si>
    <t>33310</t>
  </si>
  <si>
    <t>34163</t>
  </si>
  <si>
    <t>14175</t>
  </si>
  <si>
    <t>161019</t>
  </si>
  <si>
    <t>161032</t>
  </si>
  <si>
    <t>160633</t>
  </si>
  <si>
    <t>13000</t>
  </si>
  <si>
    <t xml:space="preserve"> 332500501</t>
  </si>
  <si>
    <t>81148</t>
  </si>
  <si>
    <t>91919</t>
  </si>
  <si>
    <t>91891</t>
  </si>
  <si>
    <t>4540</t>
  </si>
  <si>
    <t>16875</t>
  </si>
  <si>
    <t>162764</t>
  </si>
  <si>
    <t>163122</t>
  </si>
  <si>
    <t>34363</t>
  </si>
  <si>
    <t>34477</t>
  </si>
  <si>
    <t>164046</t>
  </si>
  <si>
    <t>163675</t>
  </si>
  <si>
    <t>1045</t>
  </si>
  <si>
    <t>1063</t>
  </si>
  <si>
    <t>15589</t>
  </si>
  <si>
    <t>163673</t>
  </si>
  <si>
    <t>164197</t>
  </si>
  <si>
    <t>164149</t>
  </si>
  <si>
    <t>165324</t>
  </si>
  <si>
    <t>164852</t>
  </si>
  <si>
    <t>162990</t>
  </si>
  <si>
    <t>163951</t>
  </si>
  <si>
    <t>164741</t>
  </si>
  <si>
    <t>93947</t>
  </si>
  <si>
    <t>166248</t>
  </si>
  <si>
    <t>93058</t>
  </si>
  <si>
    <t>167288</t>
  </si>
  <si>
    <t>1144</t>
  </si>
  <si>
    <t>166408</t>
  </si>
  <si>
    <t>92954</t>
  </si>
  <si>
    <t>165091</t>
  </si>
  <si>
    <t>58211</t>
  </si>
  <si>
    <t>95397</t>
  </si>
  <si>
    <t>94969</t>
  </si>
  <si>
    <t>168685</t>
  </si>
  <si>
    <t>168541</t>
  </si>
  <si>
    <t>168664</t>
  </si>
  <si>
    <t>51608</t>
  </si>
  <si>
    <t>51082</t>
  </si>
  <si>
    <t>35141</t>
  </si>
  <si>
    <t>36882</t>
  </si>
  <si>
    <t>50937</t>
  </si>
  <si>
    <t>36881</t>
  </si>
  <si>
    <t xml:space="preserve"> 337141001</t>
  </si>
  <si>
    <t>306250</t>
  </si>
  <si>
    <t>16449</t>
  </si>
  <si>
    <t>38846</t>
  </si>
  <si>
    <t>5531</t>
  </si>
  <si>
    <t>39975</t>
  </si>
  <si>
    <t>39132</t>
  </si>
  <si>
    <t>10785</t>
  </si>
  <si>
    <t>39050</t>
  </si>
  <si>
    <t>174773</t>
  </si>
  <si>
    <t>174638</t>
  </si>
  <si>
    <t>5489</t>
  </si>
  <si>
    <t>174703</t>
  </si>
  <si>
    <t>38991</t>
  </si>
  <si>
    <t>40046</t>
  </si>
  <si>
    <t>40044</t>
  </si>
  <si>
    <t>4994</t>
  </si>
  <si>
    <t>40914</t>
  </si>
  <si>
    <t>58337</t>
  </si>
  <si>
    <t>40911</t>
  </si>
  <si>
    <t>41002</t>
  </si>
  <si>
    <t>101783</t>
  </si>
  <si>
    <t>58565</t>
  </si>
  <si>
    <t>8387</t>
  </si>
  <si>
    <t>8388</t>
  </si>
  <si>
    <t>8090</t>
  </si>
  <si>
    <t>8337</t>
  </si>
  <si>
    <t>8347</t>
  </si>
  <si>
    <t xml:space="preserve"> 412377501</t>
  </si>
  <si>
    <t>9051176</t>
  </si>
  <si>
    <t>20351</t>
  </si>
  <si>
    <t>58491</t>
  </si>
  <si>
    <t>58466</t>
  </si>
  <si>
    <t>8357</t>
  </si>
  <si>
    <t>40930</t>
  </si>
  <si>
    <t>58242</t>
  </si>
  <si>
    <t>8831</t>
  </si>
  <si>
    <t>104196</t>
  </si>
  <si>
    <t>104349</t>
  </si>
  <si>
    <t>104341</t>
  </si>
  <si>
    <t>104338</t>
  </si>
  <si>
    <t>8403</t>
  </si>
  <si>
    <t>20619</t>
  </si>
  <si>
    <t>180435</t>
  </si>
  <si>
    <t>10592</t>
  </si>
  <si>
    <t>10477</t>
  </si>
  <si>
    <t>10696</t>
  </si>
  <si>
    <t>10542</t>
  </si>
  <si>
    <t>10795</t>
  </si>
  <si>
    <t>10434</t>
  </si>
  <si>
    <t>10699</t>
  </si>
  <si>
    <t>57171</t>
  </si>
  <si>
    <t>84291</t>
  </si>
  <si>
    <t>83939</t>
  </si>
  <si>
    <t>83954</t>
  </si>
  <si>
    <t>83838</t>
  </si>
  <si>
    <t>55134</t>
  </si>
  <si>
    <t>3103</t>
  </si>
  <si>
    <t>2991</t>
  </si>
  <si>
    <t>85822</t>
  </si>
  <si>
    <t>3011</t>
  </si>
  <si>
    <t>3004</t>
  </si>
  <si>
    <t>85775</t>
  </si>
  <si>
    <t>85933</t>
  </si>
  <si>
    <t>85662</t>
  </si>
  <si>
    <t>21746</t>
  </si>
  <si>
    <t>3294</t>
  </si>
  <si>
    <t>3095</t>
  </si>
  <si>
    <t>61799</t>
  </si>
  <si>
    <t>49525</t>
  </si>
  <si>
    <t>49513</t>
  </si>
  <si>
    <t>3276</t>
  </si>
  <si>
    <t>86885</t>
  </si>
  <si>
    <t xml:space="preserve"> 526395801</t>
  </si>
  <si>
    <t>1388</t>
  </si>
  <si>
    <t>49596</t>
  </si>
  <si>
    <t>63052</t>
  </si>
  <si>
    <t>63606</t>
  </si>
  <si>
    <t>63621</t>
  </si>
  <si>
    <t>35-338</t>
  </si>
  <si>
    <t>46140</t>
  </si>
  <si>
    <t>40652</t>
  </si>
  <si>
    <t>49422</t>
  </si>
  <si>
    <t>66188</t>
  </si>
  <si>
    <t>65348</t>
  </si>
  <si>
    <t>40846</t>
  </si>
  <si>
    <t xml:space="preserve"> 549780601</t>
  </si>
  <si>
    <t>57064418B</t>
  </si>
  <si>
    <t>65649</t>
  </si>
  <si>
    <t>41514</t>
  </si>
  <si>
    <t>12283</t>
  </si>
  <si>
    <t xml:space="preserve"> 592312901</t>
  </si>
  <si>
    <t>14418</t>
  </si>
  <si>
    <t>41906</t>
  </si>
  <si>
    <t>005</t>
  </si>
  <si>
    <t>55964</t>
  </si>
  <si>
    <t>14073</t>
  </si>
  <si>
    <t>414342</t>
  </si>
  <si>
    <t>1198174</t>
  </si>
  <si>
    <t>69198</t>
  </si>
  <si>
    <t>69199</t>
  </si>
  <si>
    <t>69396</t>
  </si>
  <si>
    <t>41984</t>
  </si>
  <si>
    <t>69191</t>
  </si>
  <si>
    <t>42157</t>
  </si>
  <si>
    <t>41920</t>
  </si>
  <si>
    <t>69385</t>
  </si>
  <si>
    <t>42172</t>
  </si>
  <si>
    <t xml:space="preserve"> 667365401</t>
  </si>
  <si>
    <t>1699</t>
  </si>
  <si>
    <t xml:space="preserve"> 665567501</t>
  </si>
  <si>
    <t>1817</t>
  </si>
  <si>
    <t>4288</t>
  </si>
  <si>
    <t>94237</t>
  </si>
  <si>
    <t>94189</t>
  </si>
  <si>
    <t>69876</t>
  </si>
  <si>
    <t>66133</t>
  </si>
  <si>
    <t>94183</t>
  </si>
  <si>
    <t>4299</t>
  </si>
  <si>
    <t>96092</t>
  </si>
  <si>
    <t>4633</t>
  </si>
  <si>
    <t>96024</t>
  </si>
  <si>
    <t>68699</t>
  </si>
  <si>
    <t>4504</t>
  </si>
  <si>
    <t>71920</t>
  </si>
  <si>
    <t>71135</t>
  </si>
  <si>
    <t>96338</t>
  </si>
  <si>
    <t>12749</t>
  </si>
  <si>
    <t>12751</t>
  </si>
  <si>
    <t xml:space="preserve"> 783607901</t>
  </si>
  <si>
    <t>91338</t>
  </si>
  <si>
    <t>26151</t>
  </si>
  <si>
    <t>12191</t>
  </si>
  <si>
    <t xml:space="preserve"> 783583301</t>
  </si>
  <si>
    <t>88338</t>
  </si>
  <si>
    <t>26146</t>
  </si>
  <si>
    <t>61331</t>
  </si>
  <si>
    <t>73266</t>
  </si>
  <si>
    <t>73228</t>
  </si>
  <si>
    <t>106594</t>
  </si>
  <si>
    <t>106611</t>
  </si>
  <si>
    <t xml:space="preserve"> 801065701</t>
  </si>
  <si>
    <t>300014529</t>
  </si>
  <si>
    <t>12864</t>
  </si>
  <si>
    <t>106775</t>
  </si>
  <si>
    <t>80508</t>
  </si>
  <si>
    <t>80539</t>
  </si>
  <si>
    <t>4837</t>
  </si>
  <si>
    <t>80577</t>
  </si>
  <si>
    <t>80511</t>
  </si>
  <si>
    <t>80507</t>
  </si>
  <si>
    <t>13425</t>
  </si>
  <si>
    <t>13424</t>
  </si>
  <si>
    <t>1611</t>
  </si>
  <si>
    <t>81077</t>
  </si>
  <si>
    <t>19878</t>
  </si>
  <si>
    <t>210</t>
  </si>
  <si>
    <t>3073</t>
  </si>
  <si>
    <t>81003</t>
  </si>
  <si>
    <t>81023</t>
  </si>
  <si>
    <t>1734</t>
  </si>
  <si>
    <t>81026</t>
  </si>
  <si>
    <t>22022</t>
  </si>
  <si>
    <t>83283</t>
  </si>
  <si>
    <t>81686</t>
  </si>
  <si>
    <t>83269</t>
  </si>
  <si>
    <t>15662</t>
  </si>
  <si>
    <t>1265</t>
  </si>
  <si>
    <t>102206</t>
  </si>
  <si>
    <t>102274</t>
  </si>
  <si>
    <t>110598</t>
  </si>
  <si>
    <t>13487</t>
  </si>
  <si>
    <t>13482</t>
  </si>
  <si>
    <t>88220</t>
  </si>
  <si>
    <t>88221</t>
  </si>
  <si>
    <t>191658</t>
  </si>
  <si>
    <t>104556</t>
  </si>
  <si>
    <t>104760</t>
  </si>
  <si>
    <t>13579</t>
  </si>
  <si>
    <t>13571</t>
  </si>
  <si>
    <t>12326</t>
  </si>
  <si>
    <t>84042</t>
  </si>
  <si>
    <t>13528</t>
  </si>
  <si>
    <t>5901</t>
  </si>
  <si>
    <t>5885</t>
  </si>
  <si>
    <t>85618</t>
  </si>
  <si>
    <t>116884</t>
  </si>
  <si>
    <t>12633</t>
  </si>
  <si>
    <t>6043</t>
  </si>
  <si>
    <t>6170</t>
  </si>
  <si>
    <t>6156</t>
  </si>
  <si>
    <t>6208</t>
  </si>
  <si>
    <t>6080</t>
  </si>
  <si>
    <t>85671</t>
  </si>
  <si>
    <t>85726</t>
  </si>
  <si>
    <t>6053</t>
  </si>
  <si>
    <t>6060</t>
  </si>
  <si>
    <t>85947</t>
  </si>
  <si>
    <t>85987</t>
  </si>
  <si>
    <t>85892</t>
  </si>
  <si>
    <t>6239</t>
  </si>
  <si>
    <t>85957</t>
  </si>
  <si>
    <t>6318</t>
  </si>
  <si>
    <t>85994</t>
  </si>
  <si>
    <t>112405</t>
  </si>
  <si>
    <t xml:space="preserve">  81478302</t>
  </si>
  <si>
    <t>CAREVEL VEICULOS LTDA</t>
  </si>
  <si>
    <t>25160</t>
  </si>
  <si>
    <t xml:space="preserve">  76211502</t>
  </si>
  <si>
    <t>177</t>
  </si>
  <si>
    <t>23102</t>
  </si>
  <si>
    <t>23141</t>
  </si>
  <si>
    <t>18055</t>
  </si>
  <si>
    <t>23104</t>
  </si>
  <si>
    <t xml:space="preserve">  49477601</t>
  </si>
  <si>
    <t>5500107700</t>
  </si>
  <si>
    <t>2719</t>
  </si>
  <si>
    <t xml:space="preserve">  49753501</t>
  </si>
  <si>
    <t>2300038</t>
  </si>
  <si>
    <t>56321</t>
  </si>
  <si>
    <t>56646</t>
  </si>
  <si>
    <t>35110</t>
  </si>
  <si>
    <t>4922</t>
  </si>
  <si>
    <t>35039</t>
  </si>
  <si>
    <t xml:space="preserve">  66408601</t>
  </si>
  <si>
    <t>001</t>
  </si>
  <si>
    <t>22221</t>
  </si>
  <si>
    <t xml:space="preserve">  88559801</t>
  </si>
  <si>
    <t>3816</t>
  </si>
  <si>
    <t xml:space="preserve"> 104129302</t>
  </si>
  <si>
    <t>VILHEDIESEL COMERCIO DE AUTO PECAS LTDA ME</t>
  </si>
  <si>
    <t xml:space="preserve"> 103327602</t>
  </si>
  <si>
    <t>54253</t>
  </si>
  <si>
    <t>37369</t>
  </si>
  <si>
    <t>39692</t>
  </si>
  <si>
    <t>4150</t>
  </si>
  <si>
    <t>4155</t>
  </si>
  <si>
    <t>37344</t>
  </si>
  <si>
    <t>37419</t>
  </si>
  <si>
    <t>37484</t>
  </si>
  <si>
    <t>14331</t>
  </si>
  <si>
    <t xml:space="preserve">  87446401</t>
  </si>
  <si>
    <t>687 CONTRT</t>
  </si>
  <si>
    <t>PAULO MASSANORE BANDO</t>
  </si>
  <si>
    <t>687</t>
  </si>
  <si>
    <t>3824</t>
  </si>
  <si>
    <t>3818</t>
  </si>
  <si>
    <t>112387</t>
  </si>
  <si>
    <t>99924</t>
  </si>
  <si>
    <t>16389</t>
  </si>
  <si>
    <t>4729</t>
  </si>
  <si>
    <t>40515</t>
  </si>
  <si>
    <t>15415</t>
  </si>
  <si>
    <t xml:space="preserve">  94881701</t>
  </si>
  <si>
    <t>20157</t>
  </si>
  <si>
    <t>31589</t>
  </si>
  <si>
    <t xml:space="preserve">  96005501</t>
  </si>
  <si>
    <t>20022</t>
  </si>
  <si>
    <t>8704</t>
  </si>
  <si>
    <t>28041</t>
  </si>
  <si>
    <t>15341</t>
  </si>
  <si>
    <t>31612</t>
  </si>
  <si>
    <t>47829</t>
  </si>
  <si>
    <t>41554</t>
  </si>
  <si>
    <t>42890</t>
  </si>
  <si>
    <t>15349</t>
  </si>
  <si>
    <t>41590</t>
  </si>
  <si>
    <t>33927</t>
  </si>
  <si>
    <t>15374</t>
  </si>
  <si>
    <t>42047</t>
  </si>
  <si>
    <t>15318</t>
  </si>
  <si>
    <t>40497</t>
  </si>
  <si>
    <t>41938</t>
  </si>
  <si>
    <t>41969</t>
  </si>
  <si>
    <t>41884</t>
  </si>
  <si>
    <t>41733</t>
  </si>
  <si>
    <t>99972</t>
  </si>
  <si>
    <t>37085</t>
  </si>
  <si>
    <t>15284</t>
  </si>
  <si>
    <t xml:space="preserve"> 133237302</t>
  </si>
  <si>
    <t>OLI MAQUINAS COM E REPRES DE MAQUINAS LTDA</t>
  </si>
  <si>
    <t>15356</t>
  </si>
  <si>
    <t>42160</t>
  </si>
  <si>
    <t>43011</t>
  </si>
  <si>
    <t>42945</t>
  </si>
  <si>
    <t>41082</t>
  </si>
  <si>
    <t>47852</t>
  </si>
  <si>
    <t>47909</t>
  </si>
  <si>
    <t>48069</t>
  </si>
  <si>
    <t>47526</t>
  </si>
  <si>
    <t>47386</t>
  </si>
  <si>
    <t>47772</t>
  </si>
  <si>
    <t>49555</t>
  </si>
  <si>
    <t>49760</t>
  </si>
  <si>
    <t>49575</t>
  </si>
  <si>
    <t>49754</t>
  </si>
  <si>
    <t>49756</t>
  </si>
  <si>
    <t>49577</t>
  </si>
  <si>
    <t>49681</t>
  </si>
  <si>
    <t>49259</t>
  </si>
  <si>
    <t>49369</t>
  </si>
  <si>
    <t>50128</t>
  </si>
  <si>
    <t>50862</t>
  </si>
  <si>
    <t>47573</t>
  </si>
  <si>
    <t>50010</t>
  </si>
  <si>
    <t>22773</t>
  </si>
  <si>
    <t>47574</t>
  </si>
  <si>
    <t>46981</t>
  </si>
  <si>
    <t>50563</t>
  </si>
  <si>
    <t>46559</t>
  </si>
  <si>
    <t>45800</t>
  </si>
  <si>
    <t>22784</t>
  </si>
  <si>
    <t>47785</t>
  </si>
  <si>
    <t>50487</t>
  </si>
  <si>
    <t>50515</t>
  </si>
  <si>
    <t>72111</t>
  </si>
  <si>
    <t>72110</t>
  </si>
  <si>
    <t>31965</t>
  </si>
  <si>
    <t>32023</t>
  </si>
  <si>
    <t>72080</t>
  </si>
  <si>
    <t>33199</t>
  </si>
  <si>
    <t xml:space="preserve"> 168198301</t>
  </si>
  <si>
    <t>1467</t>
  </si>
  <si>
    <t>23406</t>
  </si>
  <si>
    <t>30464</t>
  </si>
  <si>
    <t>9492</t>
  </si>
  <si>
    <t>33842</t>
  </si>
  <si>
    <t>22133</t>
  </si>
  <si>
    <t>29827</t>
  </si>
  <si>
    <t>48379</t>
  </si>
  <si>
    <t>54888</t>
  </si>
  <si>
    <t>36262</t>
  </si>
  <si>
    <t>36263</t>
  </si>
  <si>
    <t>53040</t>
  </si>
  <si>
    <t>53445</t>
  </si>
  <si>
    <t>7109</t>
  </si>
  <si>
    <t>31250</t>
  </si>
  <si>
    <t xml:space="preserve"> 222091801</t>
  </si>
  <si>
    <t>68</t>
  </si>
  <si>
    <t>31167</t>
  </si>
  <si>
    <t>53516</t>
  </si>
  <si>
    <t>39587</t>
  </si>
  <si>
    <t>53229</t>
  </si>
  <si>
    <t>53177</t>
  </si>
  <si>
    <t>24535</t>
  </si>
  <si>
    <t>38072</t>
  </si>
  <si>
    <t>38126</t>
  </si>
  <si>
    <t>38094</t>
  </si>
  <si>
    <t>38136</t>
  </si>
  <si>
    <t>38350</t>
  </si>
  <si>
    <t xml:space="preserve"> 244512901</t>
  </si>
  <si>
    <t>94354</t>
  </si>
  <si>
    <t>7346</t>
  </si>
  <si>
    <t>38278</t>
  </si>
  <si>
    <t>55321</t>
  </si>
  <si>
    <t>7114</t>
  </si>
  <si>
    <t>12313</t>
  </si>
  <si>
    <t>55450</t>
  </si>
  <si>
    <t>55337</t>
  </si>
  <si>
    <t>7526</t>
  </si>
  <si>
    <t xml:space="preserve"> 255195101</t>
  </si>
  <si>
    <t>1482881</t>
  </si>
  <si>
    <t>26019</t>
  </si>
  <si>
    <t>55560</t>
  </si>
  <si>
    <t>55532</t>
  </si>
  <si>
    <t>70450</t>
  </si>
  <si>
    <t>12207</t>
  </si>
  <si>
    <t>141259</t>
  </si>
  <si>
    <t>140452</t>
  </si>
  <si>
    <t>140563</t>
  </si>
  <si>
    <t>140212</t>
  </si>
  <si>
    <t>141111</t>
  </si>
  <si>
    <t>140561</t>
  </si>
  <si>
    <t>142421</t>
  </si>
  <si>
    <t>141521</t>
  </si>
  <si>
    <t>141372</t>
  </si>
  <si>
    <t>34162</t>
  </si>
  <si>
    <t>42538</t>
  </si>
  <si>
    <t>161047</t>
  </si>
  <si>
    <t>160496</t>
  </si>
  <si>
    <t>160341</t>
  </si>
  <si>
    <t>13382</t>
  </si>
  <si>
    <t>163627</t>
  </si>
  <si>
    <t>162765</t>
  </si>
  <si>
    <t>162966</t>
  </si>
  <si>
    <t>35158</t>
  </si>
  <si>
    <t>91971</t>
  </si>
  <si>
    <t>163604</t>
  </si>
  <si>
    <t>164051</t>
  </si>
  <si>
    <t>165732</t>
  </si>
  <si>
    <t>15715</t>
  </si>
  <si>
    <t>163491</t>
  </si>
  <si>
    <t xml:space="preserve"> 338579101</t>
  </si>
  <si>
    <t>7010356823</t>
  </si>
  <si>
    <t>21522</t>
  </si>
  <si>
    <t>163489</t>
  </si>
  <si>
    <t>163674</t>
  </si>
  <si>
    <t>93953</t>
  </si>
  <si>
    <t>166602</t>
  </si>
  <si>
    <t>167911</t>
  </si>
  <si>
    <t xml:space="preserve"> 333383201</t>
  </si>
  <si>
    <t xml:space="preserve">ADRIANA AGRICOLA LTDA </t>
  </si>
  <si>
    <t>6791</t>
  </si>
  <si>
    <t>94050</t>
  </si>
  <si>
    <t>164271</t>
  </si>
  <si>
    <t>166409</t>
  </si>
  <si>
    <t>166576</t>
  </si>
  <si>
    <t>166419</t>
  </si>
  <si>
    <t>1059</t>
  </si>
  <si>
    <t>48669</t>
  </si>
  <si>
    <t>48665</t>
  </si>
  <si>
    <t>34470</t>
  </si>
  <si>
    <t>168030</t>
  </si>
  <si>
    <t>36836</t>
  </si>
  <si>
    <t>36841</t>
  </si>
  <si>
    <t>97501</t>
  </si>
  <si>
    <t>50933</t>
  </si>
  <si>
    <t>51577</t>
  </si>
  <si>
    <t>10385</t>
  </si>
  <si>
    <t>51822</t>
  </si>
  <si>
    <t>32297</t>
  </si>
  <si>
    <t>57805</t>
  </si>
  <si>
    <t>20341</t>
  </si>
  <si>
    <t>175387</t>
  </si>
  <si>
    <t>176283</t>
  </si>
  <si>
    <t>175564</t>
  </si>
  <si>
    <t>57744</t>
  </si>
  <si>
    <t>57766</t>
  </si>
  <si>
    <t>39063</t>
  </si>
  <si>
    <t>39053</t>
  </si>
  <si>
    <t>39051</t>
  </si>
  <si>
    <t>277284</t>
  </si>
  <si>
    <t>5503</t>
  </si>
  <si>
    <t>5524</t>
  </si>
  <si>
    <t>175833</t>
  </si>
  <si>
    <t>175018</t>
  </si>
  <si>
    <t>174701</t>
  </si>
  <si>
    <t>174677</t>
  </si>
  <si>
    <t>38851</t>
  </si>
  <si>
    <t>38989</t>
  </si>
  <si>
    <t>39069</t>
  </si>
  <si>
    <t>57708</t>
  </si>
  <si>
    <t>5017</t>
  </si>
  <si>
    <t>41037</t>
  </si>
  <si>
    <t>54662</t>
  </si>
  <si>
    <t>40962</t>
  </si>
  <si>
    <t>40819</t>
  </si>
  <si>
    <t>58235</t>
  </si>
  <si>
    <t>8056</t>
  </si>
  <si>
    <t>8084</t>
  </si>
  <si>
    <t>58492</t>
  </si>
  <si>
    <t>57706</t>
  </si>
  <si>
    <t>58468</t>
  </si>
  <si>
    <t>8383</t>
  </si>
  <si>
    <t>8311</t>
  </si>
  <si>
    <t>58342</t>
  </si>
  <si>
    <t>104771</t>
  </si>
  <si>
    <t>41119</t>
  </si>
  <si>
    <t>8894</t>
  </si>
  <si>
    <t>11268</t>
  </si>
  <si>
    <t>39062</t>
  </si>
  <si>
    <t>105208</t>
  </si>
  <si>
    <t>105198</t>
  </si>
  <si>
    <t>10423</t>
  </si>
  <si>
    <t xml:space="preserve"> 450470601</t>
  </si>
  <si>
    <t>9051185</t>
  </si>
  <si>
    <t>65266</t>
  </si>
  <si>
    <t>10726</t>
  </si>
  <si>
    <t>11166</t>
  </si>
  <si>
    <t>10702</t>
  </si>
  <si>
    <t>83630</t>
  </si>
  <si>
    <t>83500</t>
  </si>
  <si>
    <t xml:space="preserve"> 482114801</t>
  </si>
  <si>
    <t>018</t>
  </si>
  <si>
    <t>46165</t>
  </si>
  <si>
    <t>57164</t>
  </si>
  <si>
    <t>84166</t>
  </si>
  <si>
    <t>99911</t>
  </si>
  <si>
    <t>84066</t>
  </si>
  <si>
    <t>83990</t>
  </si>
  <si>
    <t>84197</t>
  </si>
  <si>
    <t>84185</t>
  </si>
  <si>
    <t>84325</t>
  </si>
  <si>
    <t>83915</t>
  </si>
  <si>
    <t>185275</t>
  </si>
  <si>
    <t>93595</t>
  </si>
  <si>
    <t>2996</t>
  </si>
  <si>
    <t>3013</t>
  </si>
  <si>
    <t>3147</t>
  </si>
  <si>
    <t>3151</t>
  </si>
  <si>
    <t>3160</t>
  </si>
  <si>
    <t>85800</t>
  </si>
  <si>
    <t>87777</t>
  </si>
  <si>
    <t>61809</t>
  </si>
  <si>
    <t>61798</t>
  </si>
  <si>
    <t>21784</t>
  </si>
  <si>
    <t>87990</t>
  </si>
  <si>
    <t>87993</t>
  </si>
  <si>
    <t>49515</t>
  </si>
  <si>
    <t>71791</t>
  </si>
  <si>
    <t xml:space="preserve"> 513786401</t>
  </si>
  <si>
    <t>1348</t>
  </si>
  <si>
    <t>87262</t>
  </si>
  <si>
    <t>9051259</t>
  </si>
  <si>
    <t>71784</t>
  </si>
  <si>
    <t>50638</t>
  </si>
  <si>
    <t>63993</t>
  </si>
  <si>
    <t>50616</t>
  </si>
  <si>
    <t xml:space="preserve"> 549821101</t>
  </si>
  <si>
    <t>1192945</t>
  </si>
  <si>
    <t>65251</t>
  </si>
  <si>
    <t>63166</t>
  </si>
  <si>
    <t xml:space="preserve"> 557953901</t>
  </si>
  <si>
    <t>001194113</t>
  </si>
  <si>
    <t>66864</t>
  </si>
  <si>
    <t>67158</t>
  </si>
  <si>
    <t>67155</t>
  </si>
  <si>
    <t>66221</t>
  </si>
  <si>
    <t>66190</t>
  </si>
  <si>
    <t>89910</t>
  </si>
  <si>
    <t>3357</t>
  </si>
  <si>
    <t>67019</t>
  </si>
  <si>
    <t>41193</t>
  </si>
  <si>
    <t>65532</t>
  </si>
  <si>
    <t>89692</t>
  </si>
  <si>
    <t>41217</t>
  </si>
  <si>
    <t>41207</t>
  </si>
  <si>
    <t>41595</t>
  </si>
  <si>
    <t xml:space="preserve"> 596192301</t>
  </si>
  <si>
    <t>117329</t>
  </si>
  <si>
    <t xml:space="preserve"> 596172001</t>
  </si>
  <si>
    <t>17261</t>
  </si>
  <si>
    <t>12315</t>
  </si>
  <si>
    <t>12379</t>
  </si>
  <si>
    <t>12314</t>
  </si>
  <si>
    <t>41909</t>
  </si>
  <si>
    <t xml:space="preserve"> 582875201</t>
  </si>
  <si>
    <t>412688</t>
  </si>
  <si>
    <t>41486</t>
  </si>
  <si>
    <t>41731</t>
  </si>
  <si>
    <t>41835</t>
  </si>
  <si>
    <t>41810</t>
  </si>
  <si>
    <t xml:space="preserve"> 592390001</t>
  </si>
  <si>
    <t>7431</t>
  </si>
  <si>
    <t>41641</t>
  </si>
  <si>
    <t>41643</t>
  </si>
  <si>
    <t>41284</t>
  </si>
  <si>
    <t>41417</t>
  </si>
  <si>
    <t>69200</t>
  </si>
  <si>
    <t>69399</t>
  </si>
  <si>
    <t>42018</t>
  </si>
  <si>
    <t>69382</t>
  </si>
  <si>
    <t>69446</t>
  </si>
  <si>
    <t>94185</t>
  </si>
  <si>
    <t>70857</t>
  </si>
  <si>
    <t>4303</t>
  </si>
  <si>
    <t>4377</t>
  </si>
  <si>
    <t>4644</t>
  </si>
  <si>
    <t>4522</t>
  </si>
  <si>
    <t>96033</t>
  </si>
  <si>
    <t xml:space="preserve"> 771122401</t>
  </si>
  <si>
    <t>99431</t>
  </si>
  <si>
    <t>96323</t>
  </si>
  <si>
    <t>85178</t>
  </si>
  <si>
    <t>73258</t>
  </si>
  <si>
    <t>12192</t>
  </si>
  <si>
    <t>15476</t>
  </si>
  <si>
    <t>62863</t>
  </si>
  <si>
    <t>106625</t>
  </si>
  <si>
    <t>024</t>
  </si>
  <si>
    <t>61014</t>
  </si>
  <si>
    <t xml:space="preserve"> 783614101</t>
  </si>
  <si>
    <t>95338</t>
  </si>
  <si>
    <t>26155</t>
  </si>
  <si>
    <t>62882</t>
  </si>
  <si>
    <t>106602</t>
  </si>
  <si>
    <t>12746</t>
  </si>
  <si>
    <t>106609</t>
  </si>
  <si>
    <t>62872</t>
  </si>
  <si>
    <t>106645</t>
  </si>
  <si>
    <t>14060</t>
  </si>
  <si>
    <t>67910</t>
  </si>
  <si>
    <t xml:space="preserve"> 783599401</t>
  </si>
  <si>
    <t>92338</t>
  </si>
  <si>
    <t>26149</t>
  </si>
  <si>
    <t>80544</t>
  </si>
  <si>
    <t xml:space="preserve"> 833111901</t>
  </si>
  <si>
    <t>38817</t>
  </si>
  <si>
    <t>912076</t>
  </si>
  <si>
    <t>87756</t>
  </si>
  <si>
    <t>106577</t>
  </si>
  <si>
    <t>47551</t>
  </si>
  <si>
    <t>67104</t>
  </si>
  <si>
    <t>12916</t>
  </si>
  <si>
    <t>81058</t>
  </si>
  <si>
    <t>1607</t>
  </si>
  <si>
    <t>80996</t>
  </si>
  <si>
    <t>1501</t>
  </si>
  <si>
    <t>1502</t>
  </si>
  <si>
    <t>1625</t>
  </si>
  <si>
    <t>81011</t>
  </si>
  <si>
    <t>81074</t>
  </si>
  <si>
    <t>19806</t>
  </si>
  <si>
    <t>14483</t>
  </si>
  <si>
    <t>81032</t>
  </si>
  <si>
    <t>81013</t>
  </si>
  <si>
    <t>102358</t>
  </si>
  <si>
    <t>49100</t>
  </si>
  <si>
    <t>22017</t>
  </si>
  <si>
    <t>22039</t>
  </si>
  <si>
    <t xml:space="preserve"> 896535501</t>
  </si>
  <si>
    <t>57080354</t>
  </si>
  <si>
    <t>49833</t>
  </si>
  <si>
    <t>83271</t>
  </si>
  <si>
    <t>83264</t>
  </si>
  <si>
    <t>83257</t>
  </si>
  <si>
    <t>83259</t>
  </si>
  <si>
    <t>83276</t>
  </si>
  <si>
    <t>26491</t>
  </si>
  <si>
    <t>102204</t>
  </si>
  <si>
    <t>48908</t>
  </si>
  <si>
    <t>81673</t>
  </si>
  <si>
    <t>22031</t>
  </si>
  <si>
    <t>13578</t>
  </si>
  <si>
    <t>22424</t>
  </si>
  <si>
    <t>13493</t>
  </si>
  <si>
    <t>13461</t>
  </si>
  <si>
    <t>105179</t>
  </si>
  <si>
    <t>88189</t>
  </si>
  <si>
    <t>13486</t>
  </si>
  <si>
    <t>5750</t>
  </si>
  <si>
    <t>5839</t>
  </si>
  <si>
    <t>85589</t>
  </si>
  <si>
    <t>85597</t>
  </si>
  <si>
    <t>85600</t>
  </si>
  <si>
    <t>85682</t>
  </si>
  <si>
    <t>6028</t>
  </si>
  <si>
    <t>85709</t>
  </si>
  <si>
    <t>6084</t>
  </si>
  <si>
    <t>85727</t>
  </si>
  <si>
    <t>6049</t>
  </si>
  <si>
    <t>6054</t>
  </si>
  <si>
    <t>85828</t>
  </si>
  <si>
    <t>85990</t>
  </si>
  <si>
    <t>6213</t>
  </si>
  <si>
    <t>6243</t>
  </si>
  <si>
    <t>579</t>
  </si>
  <si>
    <t>603</t>
  </si>
  <si>
    <t>548</t>
  </si>
  <si>
    <t>6226</t>
  </si>
  <si>
    <t>16259</t>
  </si>
  <si>
    <t>12570</t>
  </si>
  <si>
    <t xml:space="preserve">  81774702</t>
  </si>
  <si>
    <t>1472</t>
  </si>
  <si>
    <t xml:space="preserve">  75645602</t>
  </si>
  <si>
    <t>21812</t>
  </si>
  <si>
    <t>37364</t>
  </si>
  <si>
    <t>61993</t>
  </si>
  <si>
    <t>16305</t>
  </si>
  <si>
    <t>16347</t>
  </si>
  <si>
    <t>39885</t>
  </si>
  <si>
    <t>99927</t>
  </si>
  <si>
    <t>14330</t>
  </si>
  <si>
    <t>3823</t>
  </si>
  <si>
    <t>112377</t>
  </si>
  <si>
    <t>14004</t>
  </si>
  <si>
    <t>681</t>
  </si>
  <si>
    <t>40534</t>
  </si>
  <si>
    <t>6445</t>
  </si>
  <si>
    <t>40518</t>
  </si>
  <si>
    <t>40536</t>
  </si>
  <si>
    <t>15420</t>
  </si>
  <si>
    <t>8435</t>
  </si>
  <si>
    <t>31578</t>
  </si>
  <si>
    <t>15409</t>
  </si>
  <si>
    <t>31588</t>
  </si>
  <si>
    <t xml:space="preserve"> 138778202</t>
  </si>
  <si>
    <t>75187</t>
  </si>
  <si>
    <t>42982</t>
  </si>
  <si>
    <t>43025</t>
  </si>
  <si>
    <t>15339</t>
  </si>
  <si>
    <t>15398</t>
  </si>
  <si>
    <t>41566</t>
  </si>
  <si>
    <t>15338</t>
  </si>
  <si>
    <t>15376</t>
  </si>
  <si>
    <t>47778</t>
  </si>
  <si>
    <t>47837</t>
  </si>
  <si>
    <t>33926</t>
  </si>
  <si>
    <t>42844</t>
  </si>
  <si>
    <t>41953</t>
  </si>
  <si>
    <t>15416</t>
  </si>
  <si>
    <t>31595</t>
  </si>
  <si>
    <t>15367</t>
  </si>
  <si>
    <t xml:space="preserve"> 105139301</t>
  </si>
  <si>
    <t>1772</t>
  </si>
  <si>
    <t>42147</t>
  </si>
  <si>
    <t>41865</t>
  </si>
  <si>
    <t>15313</t>
  </si>
  <si>
    <t>15392</t>
  </si>
  <si>
    <t>47708</t>
  </si>
  <si>
    <t>47608</t>
  </si>
  <si>
    <t>48092</t>
  </si>
  <si>
    <t>48096</t>
  </si>
  <si>
    <t>48065</t>
  </si>
  <si>
    <t>48040</t>
  </si>
  <si>
    <t>70069</t>
  </si>
  <si>
    <t>47869</t>
  </si>
  <si>
    <t>47438</t>
  </si>
  <si>
    <t>48228</t>
  </si>
  <si>
    <t>49347</t>
  </si>
  <si>
    <t>49172</t>
  </si>
  <si>
    <t>49679</t>
  </si>
  <si>
    <t>49585</t>
  </si>
  <si>
    <t>49453</t>
  </si>
  <si>
    <t>49764</t>
  </si>
  <si>
    <t>48550</t>
  </si>
  <si>
    <t>48369</t>
  </si>
  <si>
    <t>48617</t>
  </si>
  <si>
    <t>49371</t>
  </si>
  <si>
    <t>49357</t>
  </si>
  <si>
    <t>49352</t>
  </si>
  <si>
    <t>48005</t>
  </si>
  <si>
    <t>50324</t>
  </si>
  <si>
    <t>47771</t>
  </si>
  <si>
    <t>51906</t>
  </si>
  <si>
    <t>50011</t>
  </si>
  <si>
    <t>46515</t>
  </si>
  <si>
    <t>46258</t>
  </si>
  <si>
    <t>50541</t>
  </si>
  <si>
    <t>51901</t>
  </si>
  <si>
    <t>50469</t>
  </si>
  <si>
    <t>50376</t>
  </si>
  <si>
    <t>47787</t>
  </si>
  <si>
    <t>48006</t>
  </si>
  <si>
    <t>39781</t>
  </si>
  <si>
    <t>39776</t>
  </si>
  <si>
    <t>32892</t>
  </si>
  <si>
    <t>40344</t>
  </si>
  <si>
    <t>72089</t>
  </si>
  <si>
    <t>22157</t>
  </si>
  <si>
    <t>22155</t>
  </si>
  <si>
    <t>22762</t>
  </si>
  <si>
    <t>23405</t>
  </si>
  <si>
    <t>29784</t>
  </si>
  <si>
    <t>29845</t>
  </si>
  <si>
    <t>29802</t>
  </si>
  <si>
    <t>22129</t>
  </si>
  <si>
    <t>22086</t>
  </si>
  <si>
    <t>53175</t>
  </si>
  <si>
    <t>49112</t>
  </si>
  <si>
    <t>29680</t>
  </si>
  <si>
    <t>36264</t>
  </si>
  <si>
    <t>34812</t>
  </si>
  <si>
    <t>36371</t>
  </si>
  <si>
    <t>35719</t>
  </si>
  <si>
    <t>33970</t>
  </si>
  <si>
    <t>38361</t>
  </si>
  <si>
    <t>53486</t>
  </si>
  <si>
    <t>52227</t>
  </si>
  <si>
    <t>7068</t>
  </si>
  <si>
    <t>53515</t>
  </si>
  <si>
    <t>30709</t>
  </si>
  <si>
    <t>38510</t>
  </si>
  <si>
    <t>53244</t>
  </si>
  <si>
    <t>52079</t>
  </si>
  <si>
    <t>53287</t>
  </si>
  <si>
    <t>53293</t>
  </si>
  <si>
    <t>52152</t>
  </si>
  <si>
    <t>52153</t>
  </si>
  <si>
    <t>53444</t>
  </si>
  <si>
    <t>38232</t>
  </si>
  <si>
    <t>38188</t>
  </si>
  <si>
    <t>38158</t>
  </si>
  <si>
    <t>38246</t>
  </si>
  <si>
    <t>38110</t>
  </si>
  <si>
    <t>38070</t>
  </si>
  <si>
    <t>38096</t>
  </si>
  <si>
    <t>38122</t>
  </si>
  <si>
    <t>38326</t>
  </si>
  <si>
    <t>38236</t>
  </si>
  <si>
    <t>38354</t>
  </si>
  <si>
    <t>7324</t>
  </si>
  <si>
    <t>38418</t>
  </si>
  <si>
    <t>38446</t>
  </si>
  <si>
    <t>38118</t>
  </si>
  <si>
    <t>38408</t>
  </si>
  <si>
    <t>38456</t>
  </si>
  <si>
    <t>38412</t>
  </si>
  <si>
    <t>70716</t>
  </si>
  <si>
    <t xml:space="preserve"> 260604601</t>
  </si>
  <si>
    <t>95291</t>
  </si>
  <si>
    <t>151468</t>
  </si>
  <si>
    <t>55581</t>
  </si>
  <si>
    <t>55405</t>
  </si>
  <si>
    <t>55385</t>
  </si>
  <si>
    <t>55390</t>
  </si>
  <si>
    <t>55418</t>
  </si>
  <si>
    <t>55448</t>
  </si>
  <si>
    <t>55525</t>
  </si>
  <si>
    <t>70631</t>
  </si>
  <si>
    <t>70459</t>
  </si>
  <si>
    <t>12261</t>
  </si>
  <si>
    <t>40593</t>
  </si>
  <si>
    <t xml:space="preserve"> 276945501</t>
  </si>
  <si>
    <t>1489709</t>
  </si>
  <si>
    <t>140810</t>
  </si>
  <si>
    <t>141008</t>
  </si>
  <si>
    <t>140204</t>
  </si>
  <si>
    <t>47299</t>
  </si>
  <si>
    <t>160634</t>
  </si>
  <si>
    <t>13213</t>
  </si>
  <si>
    <t>33831</t>
  </si>
  <si>
    <t>34495</t>
  </si>
  <si>
    <t>92375</t>
  </si>
  <si>
    <t>165230</t>
  </si>
  <si>
    <t>165111</t>
  </si>
  <si>
    <t>163490</t>
  </si>
  <si>
    <t xml:space="preserve"> 283188101</t>
  </si>
  <si>
    <t>1057</t>
  </si>
  <si>
    <t>4537</t>
  </si>
  <si>
    <t>163672</t>
  </si>
  <si>
    <t>91993</t>
  </si>
  <si>
    <t>13349</t>
  </si>
  <si>
    <t>163421</t>
  </si>
  <si>
    <t>163016</t>
  </si>
  <si>
    <t>162973</t>
  </si>
  <si>
    <t>164229</t>
  </si>
  <si>
    <t>163668</t>
  </si>
  <si>
    <t>163418</t>
  </si>
  <si>
    <t>164747</t>
  </si>
  <si>
    <t>164775</t>
  </si>
  <si>
    <t>93826</t>
  </si>
  <si>
    <t>167660</t>
  </si>
  <si>
    <t>165820</t>
  </si>
  <si>
    <t xml:space="preserve"> 349870401</t>
  </si>
  <si>
    <t>1385</t>
  </si>
  <si>
    <t>165376</t>
  </si>
  <si>
    <t>167433</t>
  </si>
  <si>
    <t>166948</t>
  </si>
  <si>
    <t>167891</t>
  </si>
  <si>
    <t>167277</t>
  </si>
  <si>
    <t>166121</t>
  </si>
  <si>
    <t xml:space="preserve"> 349870001</t>
  </si>
  <si>
    <t>1838</t>
  </si>
  <si>
    <t>16602</t>
  </si>
  <si>
    <t>166213</t>
  </si>
  <si>
    <t>33806</t>
  </si>
  <si>
    <t>48680</t>
  </si>
  <si>
    <t>48667</t>
  </si>
  <si>
    <t>48103</t>
  </si>
  <si>
    <t>168672</t>
  </si>
  <si>
    <t>168677</t>
  </si>
  <si>
    <t>168855</t>
  </si>
  <si>
    <t>168704</t>
  </si>
  <si>
    <t xml:space="preserve"> 365600401</t>
  </si>
  <si>
    <t>1163846B</t>
  </si>
  <si>
    <t>49315</t>
  </si>
  <si>
    <t>10925</t>
  </si>
  <si>
    <t>10923</t>
  </si>
  <si>
    <t>36842</t>
  </si>
  <si>
    <t>50932</t>
  </si>
  <si>
    <t>51635</t>
  </si>
  <si>
    <t xml:space="preserve"> 393646601</t>
  </si>
  <si>
    <t>36512</t>
  </si>
  <si>
    <t>10312</t>
  </si>
  <si>
    <t>51827</t>
  </si>
  <si>
    <t>171816</t>
  </si>
  <si>
    <t>39968</t>
  </si>
  <si>
    <t>175530</t>
  </si>
  <si>
    <t>175359</t>
  </si>
  <si>
    <t>39047</t>
  </si>
  <si>
    <t>39061</t>
  </si>
  <si>
    <t>39163</t>
  </si>
  <si>
    <t>40052</t>
  </si>
  <si>
    <t>40038</t>
  </si>
  <si>
    <t>38997</t>
  </si>
  <si>
    <t>5494</t>
  </si>
  <si>
    <t>39242</t>
  </si>
  <si>
    <t>39014</t>
  </si>
  <si>
    <t>57710</t>
  </si>
  <si>
    <t>240727</t>
  </si>
  <si>
    <t>8264</t>
  </si>
  <si>
    <t>58379</t>
  </si>
  <si>
    <t>8352</t>
  </si>
  <si>
    <t>8353</t>
  </si>
  <si>
    <t>32253</t>
  </si>
  <si>
    <t xml:space="preserve"> 407066201</t>
  </si>
  <si>
    <t>9513</t>
  </si>
  <si>
    <t>58236</t>
  </si>
  <si>
    <t>58369</t>
  </si>
  <si>
    <t>8829</t>
  </si>
  <si>
    <t>42862</t>
  </si>
  <si>
    <t>8398</t>
  </si>
  <si>
    <t>104766</t>
  </si>
  <si>
    <t>104767</t>
  </si>
  <si>
    <t>36597</t>
  </si>
  <si>
    <t xml:space="preserve"> 442417101</t>
  </si>
  <si>
    <t>1084</t>
  </si>
  <si>
    <t xml:space="preserve"> 442465401</t>
  </si>
  <si>
    <t>1080</t>
  </si>
  <si>
    <t>105196</t>
  </si>
  <si>
    <t xml:space="preserve"> 478089902</t>
  </si>
  <si>
    <t>7548</t>
  </si>
  <si>
    <t>10606</t>
  </si>
  <si>
    <t>10600</t>
  </si>
  <si>
    <t>10486</t>
  </si>
  <si>
    <t>11066</t>
  </si>
  <si>
    <t>10541</t>
  </si>
  <si>
    <t>10865</t>
  </si>
  <si>
    <t>10877</t>
  </si>
  <si>
    <t>10870</t>
  </si>
  <si>
    <t>46164</t>
  </si>
  <si>
    <t>84006</t>
  </si>
  <si>
    <t>84202</t>
  </si>
  <si>
    <t>84039</t>
  </si>
  <si>
    <t>83855</t>
  </si>
  <si>
    <t>83944</t>
  </si>
  <si>
    <t>84270</t>
  </si>
  <si>
    <t xml:space="preserve"> 478832901</t>
  </si>
  <si>
    <t>1237</t>
  </si>
  <si>
    <t>83850</t>
  </si>
  <si>
    <t>83717</t>
  </si>
  <si>
    <t>185274</t>
  </si>
  <si>
    <t>9051231</t>
  </si>
  <si>
    <t>20982</t>
  </si>
  <si>
    <t>3174</t>
  </si>
  <si>
    <t>50282</t>
  </si>
  <si>
    <t>96038</t>
  </si>
  <si>
    <t>3117</t>
  </si>
  <si>
    <t>3426</t>
  </si>
  <si>
    <t>9051255</t>
  </si>
  <si>
    <t>70599</t>
  </si>
  <si>
    <t>61805</t>
  </si>
  <si>
    <t>49512</t>
  </si>
  <si>
    <t>87791</t>
  </si>
  <si>
    <t>87795</t>
  </si>
  <si>
    <t>9051256</t>
  </si>
  <si>
    <t>70600</t>
  </si>
  <si>
    <t>86861</t>
  </si>
  <si>
    <t>71783</t>
  </si>
  <si>
    <t>52425</t>
  </si>
  <si>
    <t>63055</t>
  </si>
  <si>
    <t>63110</t>
  </si>
  <si>
    <t>88089</t>
  </si>
  <si>
    <t>63611</t>
  </si>
  <si>
    <t>52318</t>
  </si>
  <si>
    <t>64740</t>
  </si>
  <si>
    <t>5705</t>
  </si>
  <si>
    <t>1624723</t>
  </si>
  <si>
    <t>56591</t>
  </si>
  <si>
    <t>50365</t>
  </si>
  <si>
    <t>65351</t>
  </si>
  <si>
    <t>65355</t>
  </si>
  <si>
    <t>67176</t>
  </si>
  <si>
    <t>67175</t>
  </si>
  <si>
    <t>40835</t>
  </si>
  <si>
    <t xml:space="preserve"> 557394801</t>
  </si>
  <si>
    <t>1543</t>
  </si>
  <si>
    <t>67181</t>
  </si>
  <si>
    <t xml:space="preserve"> 596193701</t>
  </si>
  <si>
    <t>780454</t>
  </si>
  <si>
    <t xml:space="preserve"> 596179501</t>
  </si>
  <si>
    <t>52116</t>
  </si>
  <si>
    <t xml:space="preserve"> 599275501</t>
  </si>
  <si>
    <t>142638</t>
  </si>
  <si>
    <t>41903</t>
  </si>
  <si>
    <t>41893</t>
  </si>
  <si>
    <t>12289</t>
  </si>
  <si>
    <t xml:space="preserve"> 592399101</t>
  </si>
  <si>
    <t>2358</t>
  </si>
  <si>
    <t>41723</t>
  </si>
  <si>
    <t>41388</t>
  </si>
  <si>
    <t>69189</t>
  </si>
  <si>
    <t>12488</t>
  </si>
  <si>
    <t>69945</t>
  </si>
  <si>
    <t>94360</t>
  </si>
  <si>
    <t>94358</t>
  </si>
  <si>
    <t>66360</t>
  </si>
  <si>
    <t>57070047</t>
  </si>
  <si>
    <t>43474</t>
  </si>
  <si>
    <t>4414</t>
  </si>
  <si>
    <t>27690</t>
  </si>
  <si>
    <t>22924</t>
  </si>
  <si>
    <t>96148</t>
  </si>
  <si>
    <t>96212</t>
  </si>
  <si>
    <t xml:space="preserve"> 807222801</t>
  </si>
  <si>
    <t>94151</t>
  </si>
  <si>
    <t>234</t>
  </si>
  <si>
    <t>62865</t>
  </si>
  <si>
    <t>12202</t>
  </si>
  <si>
    <t>62869</t>
  </si>
  <si>
    <t xml:space="preserve"> 773882501</t>
  </si>
  <si>
    <t>4065997</t>
  </si>
  <si>
    <t>41974</t>
  </si>
  <si>
    <t xml:space="preserve"> 773924301</t>
  </si>
  <si>
    <t>4066021</t>
  </si>
  <si>
    <t>023</t>
  </si>
  <si>
    <t>61015</t>
  </si>
  <si>
    <t>62866</t>
  </si>
  <si>
    <t>74511</t>
  </si>
  <si>
    <t>14067</t>
  </si>
  <si>
    <t>13357</t>
  </si>
  <si>
    <t>80573</t>
  </si>
  <si>
    <t>80555</t>
  </si>
  <si>
    <t xml:space="preserve"> 833115401</t>
  </si>
  <si>
    <t>700306</t>
  </si>
  <si>
    <t>12930</t>
  </si>
  <si>
    <t xml:space="preserve"> 831496501</t>
  </si>
  <si>
    <t>178945</t>
  </si>
  <si>
    <t>88442</t>
  </si>
  <si>
    <t>80526</t>
  </si>
  <si>
    <t>12899</t>
  </si>
  <si>
    <t>80992</t>
  </si>
  <si>
    <t>1524</t>
  </si>
  <si>
    <t>81079</t>
  </si>
  <si>
    <t>81078</t>
  </si>
  <si>
    <t>1512</t>
  </si>
  <si>
    <t>1724</t>
  </si>
  <si>
    <t>81012</t>
  </si>
  <si>
    <t>1732</t>
  </si>
  <si>
    <t>1739</t>
  </si>
  <si>
    <t>1616</t>
  </si>
  <si>
    <t>9042856</t>
  </si>
  <si>
    <t>70343</t>
  </si>
  <si>
    <t>102255</t>
  </si>
  <si>
    <t>22043</t>
  </si>
  <si>
    <t>81685</t>
  </si>
  <si>
    <t>110568</t>
  </si>
  <si>
    <t>102202</t>
  </si>
  <si>
    <t>102288</t>
  </si>
  <si>
    <t>102290</t>
  </si>
  <si>
    <t>81674</t>
  </si>
  <si>
    <t>13576</t>
  </si>
  <si>
    <t>105184</t>
  </si>
  <si>
    <t>13516</t>
  </si>
  <si>
    <t>105191</t>
  </si>
  <si>
    <t>88194</t>
  </si>
  <si>
    <t>10901230</t>
  </si>
  <si>
    <t>49587</t>
  </si>
  <si>
    <t>104721</t>
  </si>
  <si>
    <t>243338</t>
  </si>
  <si>
    <t>13558</t>
  </si>
  <si>
    <t>13556</t>
  </si>
  <si>
    <t>13549</t>
  </si>
  <si>
    <t>13570</t>
  </si>
  <si>
    <t xml:space="preserve"> 900207501</t>
  </si>
  <si>
    <t>10862773</t>
  </si>
  <si>
    <t>104363</t>
  </si>
  <si>
    <t>697223645</t>
  </si>
  <si>
    <t>83242</t>
  </si>
  <si>
    <t>5665</t>
  </si>
  <si>
    <t>5798</t>
  </si>
  <si>
    <t>5881</t>
  </si>
  <si>
    <t>5889</t>
  </si>
  <si>
    <t>6011</t>
  </si>
  <si>
    <t>6008</t>
  </si>
  <si>
    <t>6009</t>
  </si>
  <si>
    <t>85644</t>
  </si>
  <si>
    <t>85604</t>
  </si>
  <si>
    <t>85804</t>
  </si>
  <si>
    <t>85730</t>
  </si>
  <si>
    <t>6002</t>
  </si>
  <si>
    <t>85678</t>
  </si>
  <si>
    <t>85802</t>
  </si>
  <si>
    <t>85986</t>
  </si>
  <si>
    <t>112398</t>
  </si>
  <si>
    <t>112431</t>
  </si>
  <si>
    <t>6303</t>
  </si>
  <si>
    <t>6223</t>
  </si>
  <si>
    <t>112472</t>
  </si>
  <si>
    <t>112452</t>
  </si>
  <si>
    <t>6314</t>
  </si>
  <si>
    <t>112529</t>
  </si>
  <si>
    <t>1010</t>
  </si>
  <si>
    <t>1271</t>
  </si>
  <si>
    <t>15005</t>
  </si>
  <si>
    <t xml:space="preserve">  80278702</t>
  </si>
  <si>
    <t>V.VALIANE FERREIRA ME</t>
  </si>
  <si>
    <t>374</t>
  </si>
  <si>
    <t>22678</t>
  </si>
  <si>
    <t>13840</t>
  </si>
  <si>
    <t>23197</t>
  </si>
  <si>
    <t>23985</t>
  </si>
  <si>
    <t>23209</t>
  </si>
  <si>
    <t>35013</t>
  </si>
  <si>
    <t>3692</t>
  </si>
  <si>
    <t>37422</t>
  </si>
  <si>
    <t xml:space="preserve"> 104279902</t>
  </si>
  <si>
    <t>37441</t>
  </si>
  <si>
    <t>37237</t>
  </si>
  <si>
    <t xml:space="preserve"> 104478102</t>
  </si>
  <si>
    <t>532</t>
  </si>
  <si>
    <t>61991</t>
  </si>
  <si>
    <t>62036</t>
  </si>
  <si>
    <t>62001</t>
  </si>
  <si>
    <t>4148</t>
  </si>
  <si>
    <t>112380</t>
  </si>
  <si>
    <t>112312</t>
  </si>
  <si>
    <t>39534</t>
  </si>
  <si>
    <t>39613</t>
  </si>
  <si>
    <t>112391</t>
  </si>
  <si>
    <t>4730</t>
  </si>
  <si>
    <t>31594</t>
  </si>
  <si>
    <t>31597</t>
  </si>
  <si>
    <t>41746</t>
  </si>
  <si>
    <t>42100</t>
  </si>
  <si>
    <t>31611</t>
  </si>
  <si>
    <t>33846</t>
  </si>
  <si>
    <t>41822</t>
  </si>
  <si>
    <t>41793</t>
  </si>
  <si>
    <t>15324</t>
  </si>
  <si>
    <t>41950</t>
  </si>
  <si>
    <t>42099</t>
  </si>
  <si>
    <t>5729</t>
  </si>
  <si>
    <t>5025</t>
  </si>
  <si>
    <t>41749</t>
  </si>
  <si>
    <t>15382</t>
  </si>
  <si>
    <t>8608</t>
  </si>
  <si>
    <t>42159</t>
  </si>
  <si>
    <t>48020</t>
  </si>
  <si>
    <t>43752</t>
  </si>
  <si>
    <t>47832</t>
  </si>
  <si>
    <t>48070</t>
  </si>
  <si>
    <t>47567</t>
  </si>
  <si>
    <t>48025</t>
  </si>
  <si>
    <t>49481</t>
  </si>
  <si>
    <t>49678</t>
  </si>
  <si>
    <t>49588</t>
  </si>
  <si>
    <t>49472</t>
  </si>
  <si>
    <t>49849</t>
  </si>
  <si>
    <t>49576</t>
  </si>
  <si>
    <t>49593</t>
  </si>
  <si>
    <t>49864</t>
  </si>
  <si>
    <t>49658</t>
  </si>
  <si>
    <t>48791</t>
  </si>
  <si>
    <t>48549</t>
  </si>
  <si>
    <t>49263</t>
  </si>
  <si>
    <t>50295</t>
  </si>
  <si>
    <t>50182</t>
  </si>
  <si>
    <t>39785</t>
  </si>
  <si>
    <t>22143</t>
  </si>
  <si>
    <t>21211</t>
  </si>
  <si>
    <t>72155</t>
  </si>
  <si>
    <t>33153</t>
  </si>
  <si>
    <t>29832</t>
  </si>
  <si>
    <t>22084</t>
  </si>
  <si>
    <t>22049</t>
  </si>
  <si>
    <t xml:space="preserve"> 163447801</t>
  </si>
  <si>
    <t>905992</t>
  </si>
  <si>
    <t>15607</t>
  </si>
  <si>
    <t>30678</t>
  </si>
  <si>
    <t xml:space="preserve"> 156280501</t>
  </si>
  <si>
    <t>56322-12</t>
  </si>
  <si>
    <t>32930</t>
  </si>
  <si>
    <t>10395</t>
  </si>
  <si>
    <t>22858</t>
  </si>
  <si>
    <t>36320</t>
  </si>
  <si>
    <t>36146</t>
  </si>
  <si>
    <t>33969</t>
  </si>
  <si>
    <t>53447</t>
  </si>
  <si>
    <t>52264</t>
  </si>
  <si>
    <t>53530</t>
  </si>
  <si>
    <t>53563</t>
  </si>
  <si>
    <t>24533</t>
  </si>
  <si>
    <t>24558</t>
  </si>
  <si>
    <t>38512</t>
  </si>
  <si>
    <t>30827</t>
  </si>
  <si>
    <t>6435</t>
  </si>
  <si>
    <t>19366</t>
  </si>
  <si>
    <t>51987</t>
  </si>
  <si>
    <t>53458</t>
  </si>
  <si>
    <t>24519</t>
  </si>
  <si>
    <t>38250</t>
  </si>
  <si>
    <t>38208</t>
  </si>
  <si>
    <t>38430</t>
  </si>
  <si>
    <t>6980</t>
  </si>
  <si>
    <t>38440</t>
  </si>
  <si>
    <t>38486</t>
  </si>
  <si>
    <t xml:space="preserve"> 268218801</t>
  </si>
  <si>
    <t>1119541</t>
  </si>
  <si>
    <t>40459</t>
  </si>
  <si>
    <t>55566</t>
  </si>
  <si>
    <t>71049</t>
  </si>
  <si>
    <t>39830</t>
  </si>
  <si>
    <t>39832</t>
  </si>
  <si>
    <t>39829</t>
  </si>
  <si>
    <t>55549</t>
  </si>
  <si>
    <t>12236</t>
  </si>
  <si>
    <t>27648</t>
  </si>
  <si>
    <t>27663</t>
  </si>
  <si>
    <t>141036</t>
  </si>
  <si>
    <t>141112</t>
  </si>
  <si>
    <t>140795</t>
  </si>
  <si>
    <t>140124</t>
  </si>
  <si>
    <t>140358</t>
  </si>
  <si>
    <t>139803</t>
  </si>
  <si>
    <t>140745</t>
  </si>
  <si>
    <t>140317</t>
  </si>
  <si>
    <t>140556</t>
  </si>
  <si>
    <t>140443</t>
  </si>
  <si>
    <t>141601</t>
  </si>
  <si>
    <t>141642</t>
  </si>
  <si>
    <t>34315</t>
  </si>
  <si>
    <t>160636</t>
  </si>
  <si>
    <t>34313</t>
  </si>
  <si>
    <t>160492</t>
  </si>
  <si>
    <t>160435</t>
  </si>
  <si>
    <t>160635</t>
  </si>
  <si>
    <t>34466</t>
  </si>
  <si>
    <t>34475</t>
  </si>
  <si>
    <t>165317</t>
  </si>
  <si>
    <t>92378</t>
  </si>
  <si>
    <t>165503</t>
  </si>
  <si>
    <t>164642</t>
  </si>
  <si>
    <t>35157</t>
  </si>
  <si>
    <t>162974</t>
  </si>
  <si>
    <t>162977</t>
  </si>
  <si>
    <t>165706</t>
  </si>
  <si>
    <t>164002</t>
  </si>
  <si>
    <t>165704</t>
  </si>
  <si>
    <t>163683</t>
  </si>
  <si>
    <t>162989</t>
  </si>
  <si>
    <t>166601</t>
  </si>
  <si>
    <t xml:space="preserve"> 351996801</t>
  </si>
  <si>
    <t>9051166</t>
  </si>
  <si>
    <t>54872</t>
  </si>
  <si>
    <t>166291</t>
  </si>
  <si>
    <t>94055</t>
  </si>
  <si>
    <t>166536</t>
  </si>
  <si>
    <t>54870</t>
  </si>
  <si>
    <t>10042</t>
  </si>
  <si>
    <t>48113</t>
  </si>
  <si>
    <t>94957</t>
  </si>
  <si>
    <t>168859</t>
  </si>
  <si>
    <t>168861</t>
  </si>
  <si>
    <t>168846</t>
  </si>
  <si>
    <t xml:space="preserve"> 365101401</t>
  </si>
  <si>
    <t>562500529</t>
  </si>
  <si>
    <t>92031</t>
  </si>
  <si>
    <t>48690</t>
  </si>
  <si>
    <t>36575</t>
  </si>
  <si>
    <t>277283</t>
  </si>
  <si>
    <t>16111</t>
  </si>
  <si>
    <t>51830</t>
  </si>
  <si>
    <t>54184</t>
  </si>
  <si>
    <t>39982</t>
  </si>
  <si>
    <t xml:space="preserve"> 395191001</t>
  </si>
  <si>
    <t>101159</t>
  </si>
  <si>
    <t>8680</t>
  </si>
  <si>
    <t>5567</t>
  </si>
  <si>
    <t>175468</t>
  </si>
  <si>
    <t>176077</t>
  </si>
  <si>
    <t>40031</t>
  </si>
  <si>
    <t>39967</t>
  </si>
  <si>
    <t>40084</t>
  </si>
  <si>
    <t>38900</t>
  </si>
  <si>
    <t>39067</t>
  </si>
  <si>
    <t>39065</t>
  </si>
  <si>
    <t>38884</t>
  </si>
  <si>
    <t>174705</t>
  </si>
  <si>
    <t>57702</t>
  </si>
  <si>
    <t>57692</t>
  </si>
  <si>
    <t>39009</t>
  </si>
  <si>
    <t>39969</t>
  </si>
  <si>
    <t>57707</t>
  </si>
  <si>
    <t>8380</t>
  </si>
  <si>
    <t>40476</t>
  </si>
  <si>
    <t>58233</t>
  </si>
  <si>
    <t>8375</t>
  </si>
  <si>
    <t>57745</t>
  </si>
  <si>
    <t>58463</t>
  </si>
  <si>
    <t>58272</t>
  </si>
  <si>
    <t>104344</t>
  </si>
  <si>
    <t>104345</t>
  </si>
  <si>
    <t>45081</t>
  </si>
  <si>
    <t>8085</t>
  </si>
  <si>
    <t>105206</t>
  </si>
  <si>
    <t>10484</t>
  </si>
  <si>
    <t>10430</t>
  </si>
  <si>
    <t>65265</t>
  </si>
  <si>
    <t>10427</t>
  </si>
  <si>
    <t>10415</t>
  </si>
  <si>
    <t>10591</t>
  </si>
  <si>
    <t>10692</t>
  </si>
  <si>
    <t>10796</t>
  </si>
  <si>
    <t>10866</t>
  </si>
  <si>
    <t>10421</t>
  </si>
  <si>
    <t>10698</t>
  </si>
  <si>
    <t>10883</t>
  </si>
  <si>
    <t>10695</t>
  </si>
  <si>
    <t xml:space="preserve"> 485232701</t>
  </si>
  <si>
    <t>1250</t>
  </si>
  <si>
    <t>84008</t>
  </si>
  <si>
    <t>84031</t>
  </si>
  <si>
    <t>83919</t>
  </si>
  <si>
    <t>84242</t>
  </si>
  <si>
    <t>84287</t>
  </si>
  <si>
    <t>3105</t>
  </si>
  <si>
    <t>3044</t>
  </si>
  <si>
    <t>3056</t>
  </si>
  <si>
    <t>86408</t>
  </si>
  <si>
    <t>86451</t>
  </si>
  <si>
    <t>86039</t>
  </si>
  <si>
    <t>3170</t>
  </si>
  <si>
    <t>3130</t>
  </si>
  <si>
    <t>3128</t>
  </si>
  <si>
    <t>87992</t>
  </si>
  <si>
    <t>61796</t>
  </si>
  <si>
    <t>61800</t>
  </si>
  <si>
    <t>3407</t>
  </si>
  <si>
    <t>3385</t>
  </si>
  <si>
    <t>9051252</t>
  </si>
  <si>
    <t>21340</t>
  </si>
  <si>
    <t>3274</t>
  </si>
  <si>
    <t>3278</t>
  </si>
  <si>
    <t>48324</t>
  </si>
  <si>
    <t>87595</t>
  </si>
  <si>
    <t>9497</t>
  </si>
  <si>
    <t>64853</t>
  </si>
  <si>
    <t>71786</t>
  </si>
  <si>
    <t>64163</t>
  </si>
  <si>
    <t>63107</t>
  </si>
  <si>
    <t>50925</t>
  </si>
  <si>
    <t>67157</t>
  </si>
  <si>
    <t>89888</t>
  </si>
  <si>
    <t>65346</t>
  </si>
  <si>
    <t>89906</t>
  </si>
  <si>
    <t xml:space="preserve"> 578442101</t>
  </si>
  <si>
    <t>393596</t>
  </si>
  <si>
    <t>55658</t>
  </si>
  <si>
    <t>40757</t>
  </si>
  <si>
    <t>13199</t>
  </si>
  <si>
    <t>41206</t>
  </si>
  <si>
    <t xml:space="preserve"> 557570201</t>
  </si>
  <si>
    <t>1528</t>
  </si>
  <si>
    <t xml:space="preserve"> 596690801</t>
  </si>
  <si>
    <t>350567</t>
  </si>
  <si>
    <t>41381</t>
  </si>
  <si>
    <t>41240</t>
  </si>
  <si>
    <t>69398</t>
  </si>
  <si>
    <t>006</t>
  </si>
  <si>
    <t>56367</t>
  </si>
  <si>
    <t>12358</t>
  </si>
  <si>
    <t>12368</t>
  </si>
  <si>
    <t xml:space="preserve"> 667380001</t>
  </si>
  <si>
    <t>1700</t>
  </si>
  <si>
    <t>69786</t>
  </si>
  <si>
    <t>26960</t>
  </si>
  <si>
    <t>94102</t>
  </si>
  <si>
    <t>94104</t>
  </si>
  <si>
    <t>65739</t>
  </si>
  <si>
    <t>4381</t>
  </si>
  <si>
    <t>4355</t>
  </si>
  <si>
    <t>4527</t>
  </si>
  <si>
    <t>4681</t>
  </si>
  <si>
    <t>4679</t>
  </si>
  <si>
    <t>96035</t>
  </si>
  <si>
    <t>4784</t>
  </si>
  <si>
    <t>96411</t>
  </si>
  <si>
    <t>96500</t>
  </si>
  <si>
    <t>71133</t>
  </si>
  <si>
    <t>96458</t>
  </si>
  <si>
    <t>100050</t>
  </si>
  <si>
    <t>96110</t>
  </si>
  <si>
    <t>96442</t>
  </si>
  <si>
    <t>62679</t>
  </si>
  <si>
    <t>15474</t>
  </si>
  <si>
    <t>62786</t>
  </si>
  <si>
    <t>61026</t>
  </si>
  <si>
    <t>106626</t>
  </si>
  <si>
    <t>106643</t>
  </si>
  <si>
    <t>106573</t>
  </si>
  <si>
    <t xml:space="preserve"> 807230901</t>
  </si>
  <si>
    <t>94298</t>
  </si>
  <si>
    <t>355</t>
  </si>
  <si>
    <t>106651</t>
  </si>
  <si>
    <t>80535</t>
  </si>
  <si>
    <t>47246</t>
  </si>
  <si>
    <t>12931</t>
  </si>
  <si>
    <t>80502</t>
  </si>
  <si>
    <t>80528</t>
  </si>
  <si>
    <t>80500</t>
  </si>
  <si>
    <t>106676</t>
  </si>
  <si>
    <t>1522</t>
  </si>
  <si>
    <t>1499</t>
  </si>
  <si>
    <t>1750</t>
  </si>
  <si>
    <t>14424</t>
  </si>
  <si>
    <t>1689</t>
  </si>
  <si>
    <t>81072</t>
  </si>
  <si>
    <t>19795</t>
  </si>
  <si>
    <t>1688</t>
  </si>
  <si>
    <t>81680</t>
  </si>
  <si>
    <t>22034</t>
  </si>
  <si>
    <t>15668</t>
  </si>
  <si>
    <t>83270</t>
  </si>
  <si>
    <t>83268</t>
  </si>
  <si>
    <t>83275</t>
  </si>
  <si>
    <t>49014</t>
  </si>
  <si>
    <t>26515</t>
  </si>
  <si>
    <t>26486</t>
  </si>
  <si>
    <t>26516</t>
  </si>
  <si>
    <t>21939</t>
  </si>
  <si>
    <t>13507</t>
  </si>
  <si>
    <t>13523</t>
  </si>
  <si>
    <t>191652</t>
  </si>
  <si>
    <t>13498</t>
  </si>
  <si>
    <t>104515</t>
  </si>
  <si>
    <t>88188</t>
  </si>
  <si>
    <t>13537</t>
  </si>
  <si>
    <t>13564</t>
  </si>
  <si>
    <t>13567</t>
  </si>
  <si>
    <t>104782</t>
  </si>
  <si>
    <t>13540</t>
  </si>
  <si>
    <t>13560</t>
  </si>
  <si>
    <t>83937</t>
  </si>
  <si>
    <t>5716</t>
  </si>
  <si>
    <t>5843</t>
  </si>
  <si>
    <t>85719</t>
  </si>
  <si>
    <t>85623</t>
  </si>
  <si>
    <t>28164</t>
  </si>
  <si>
    <t>6158</t>
  </si>
  <si>
    <t>85670</t>
  </si>
  <si>
    <t>6032</t>
  </si>
  <si>
    <t>85566</t>
  </si>
  <si>
    <t>6334</t>
  </si>
  <si>
    <t>85962</t>
  </si>
  <si>
    <t>85960</t>
  </si>
  <si>
    <t>85968</t>
  </si>
  <si>
    <t>5850</t>
  </si>
  <si>
    <t>956</t>
  </si>
  <si>
    <t>13841</t>
  </si>
  <si>
    <t>606</t>
  </si>
  <si>
    <t xml:space="preserve">  81698302</t>
  </si>
  <si>
    <t>50790</t>
  </si>
  <si>
    <t xml:space="preserve">  81719702</t>
  </si>
  <si>
    <t>5760</t>
  </si>
  <si>
    <t>23575</t>
  </si>
  <si>
    <t>23211</t>
  </si>
  <si>
    <t>23208</t>
  </si>
  <si>
    <t xml:space="preserve">  41117701</t>
  </si>
  <si>
    <t>40208</t>
  </si>
  <si>
    <t>54985</t>
  </si>
  <si>
    <t>23093</t>
  </si>
  <si>
    <t>14970</t>
  </si>
  <si>
    <t>5007</t>
  </si>
  <si>
    <t xml:space="preserve">  76778501</t>
  </si>
  <si>
    <t>1254</t>
  </si>
  <si>
    <t xml:space="preserve"> 104469302</t>
  </si>
  <si>
    <t>529</t>
  </si>
  <si>
    <t>37431</t>
  </si>
  <si>
    <t>16525</t>
  </si>
  <si>
    <t>14076</t>
  </si>
  <si>
    <t>18342</t>
  </si>
  <si>
    <t xml:space="preserve"> 104495602</t>
  </si>
  <si>
    <t>JOCEMAR LUIZ FERNANDES E OUTROS</t>
  </si>
  <si>
    <t>4713</t>
  </si>
  <si>
    <t xml:space="preserve"> 112559802</t>
  </si>
  <si>
    <t>43110</t>
  </si>
  <si>
    <t>112304</t>
  </si>
  <si>
    <t>17247</t>
  </si>
  <si>
    <t>6566</t>
  </si>
  <si>
    <t>99907</t>
  </si>
  <si>
    <t>15401</t>
  </si>
  <si>
    <t>33683</t>
  </si>
  <si>
    <t>42872</t>
  </si>
  <si>
    <t>42897</t>
  </si>
  <si>
    <t>42887</t>
  </si>
  <si>
    <t>15355</t>
  </si>
  <si>
    <t>15336</t>
  </si>
  <si>
    <t>33686</t>
  </si>
  <si>
    <t>41736</t>
  </si>
  <si>
    <t>41887</t>
  </si>
  <si>
    <t>31585</t>
  </si>
  <si>
    <t>41742</t>
  </si>
  <si>
    <t>15285</t>
  </si>
  <si>
    <t>40924</t>
  </si>
  <si>
    <t>8689</t>
  </si>
  <si>
    <t>42161</t>
  </si>
  <si>
    <t>47367</t>
  </si>
  <si>
    <t>49516</t>
  </si>
  <si>
    <t>49586</t>
  </si>
  <si>
    <t>49751</t>
  </si>
  <si>
    <t>49459</t>
  </si>
  <si>
    <t>49541</t>
  </si>
  <si>
    <t>48548</t>
  </si>
  <si>
    <t>48436</t>
  </si>
  <si>
    <t>48297</t>
  </si>
  <si>
    <t>49667</t>
  </si>
  <si>
    <t>50687</t>
  </si>
  <si>
    <t>47755</t>
  </si>
  <si>
    <t>30460</t>
  </si>
  <si>
    <t>7005</t>
  </si>
  <si>
    <t>51581</t>
  </si>
  <si>
    <t xml:space="preserve"> 135626501</t>
  </si>
  <si>
    <t>BIO SOJA FERTILIZANTES LTDA</t>
  </si>
  <si>
    <t>18853</t>
  </si>
  <si>
    <t>48026</t>
  </si>
  <si>
    <t>49258</t>
  </si>
  <si>
    <t>29468</t>
  </si>
  <si>
    <t>50096</t>
  </si>
  <si>
    <t>50006</t>
  </si>
  <si>
    <t>46887</t>
  </si>
  <si>
    <t xml:space="preserve"> 163448401</t>
  </si>
  <si>
    <t>905993</t>
  </si>
  <si>
    <t>15469</t>
  </si>
  <si>
    <t>50634</t>
  </si>
  <si>
    <t>51900</t>
  </si>
  <si>
    <t>50085</t>
  </si>
  <si>
    <t>47008</t>
  </si>
  <si>
    <t>72126</t>
  </si>
  <si>
    <t>49094</t>
  </si>
  <si>
    <t>34013</t>
  </si>
  <si>
    <t>34015</t>
  </si>
  <si>
    <t>49991</t>
  </si>
  <si>
    <t>72090</t>
  </si>
  <si>
    <t>29841</t>
  </si>
  <si>
    <t>53172</t>
  </si>
  <si>
    <t>49110</t>
  </si>
  <si>
    <t xml:space="preserve"> 195597901</t>
  </si>
  <si>
    <t>155370</t>
  </si>
  <si>
    <t>33348</t>
  </si>
  <si>
    <t>36370</t>
  </si>
  <si>
    <t>36326</t>
  </si>
  <si>
    <t>52161</t>
  </si>
  <si>
    <t>35463</t>
  </si>
  <si>
    <t>53441</t>
  </si>
  <si>
    <t>53056</t>
  </si>
  <si>
    <t>52162</t>
  </si>
  <si>
    <t>24436</t>
  </si>
  <si>
    <t>38142</t>
  </si>
  <si>
    <t>24523</t>
  </si>
  <si>
    <t>24522</t>
  </si>
  <si>
    <t>24577</t>
  </si>
  <si>
    <t>53440</t>
  </si>
  <si>
    <t>52122</t>
  </si>
  <si>
    <t>38132</t>
  </si>
  <si>
    <t>38254</t>
  </si>
  <si>
    <t>38134</t>
  </si>
  <si>
    <t>38114</t>
  </si>
  <si>
    <t>38154</t>
  </si>
  <si>
    <t>38220</t>
  </si>
  <si>
    <t>38178</t>
  </si>
  <si>
    <t>38426</t>
  </si>
  <si>
    <t>38376</t>
  </si>
  <si>
    <t>38264</t>
  </si>
  <si>
    <t>38258</t>
  </si>
  <si>
    <t>38442</t>
  </si>
  <si>
    <t>38344</t>
  </si>
  <si>
    <t>55271</t>
  </si>
  <si>
    <t>55327</t>
  </si>
  <si>
    <t>55325</t>
  </si>
  <si>
    <t>40506</t>
  </si>
  <si>
    <t>151435</t>
  </si>
  <si>
    <t>55544</t>
  </si>
  <si>
    <t>151446</t>
  </si>
  <si>
    <t>12262</t>
  </si>
  <si>
    <t>40548</t>
  </si>
  <si>
    <t xml:space="preserve"> 278771901</t>
  </si>
  <si>
    <t>16041</t>
  </si>
  <si>
    <t>12599</t>
  </si>
  <si>
    <t>151464</t>
  </si>
  <si>
    <t>140213</t>
  </si>
  <si>
    <t xml:space="preserve"> 298877701</t>
  </si>
  <si>
    <t>1496536</t>
  </si>
  <si>
    <t>28395</t>
  </si>
  <si>
    <t>139814</t>
  </si>
  <si>
    <t>141705</t>
  </si>
  <si>
    <t>141576</t>
  </si>
  <si>
    <t>141599</t>
  </si>
  <si>
    <t>141530</t>
  </si>
  <si>
    <t>34157</t>
  </si>
  <si>
    <t>165365</t>
  </si>
  <si>
    <t>164967</t>
  </si>
  <si>
    <t>165484</t>
  </si>
  <si>
    <t>160296</t>
  </si>
  <si>
    <t>162921</t>
  </si>
  <si>
    <t>92210</t>
  </si>
  <si>
    <t>161041</t>
  </si>
  <si>
    <t>162800</t>
  </si>
  <si>
    <t>163954</t>
  </si>
  <si>
    <t>163598</t>
  </si>
  <si>
    <t>167210</t>
  </si>
  <si>
    <t>18238</t>
  </si>
  <si>
    <t>167169</t>
  </si>
  <si>
    <t>166122</t>
  </si>
  <si>
    <t>166093</t>
  </si>
  <si>
    <t>18937</t>
  </si>
  <si>
    <t>164617</t>
  </si>
  <si>
    <t>166263</t>
  </si>
  <si>
    <t xml:space="preserve"> 369431801</t>
  </si>
  <si>
    <t>1163090C</t>
  </si>
  <si>
    <t>48679</t>
  </si>
  <si>
    <t>48795</t>
  </si>
  <si>
    <t>48675</t>
  </si>
  <si>
    <t>48108</t>
  </si>
  <si>
    <t>48684</t>
  </si>
  <si>
    <t>35149</t>
  </si>
  <si>
    <t>168619</t>
  </si>
  <si>
    <t>168666</t>
  </si>
  <si>
    <t>51609</t>
  </si>
  <si>
    <t>36837</t>
  </si>
  <si>
    <t>97502</t>
  </si>
  <si>
    <t>24330</t>
  </si>
  <si>
    <t>50931</t>
  </si>
  <si>
    <t>50938</t>
  </si>
  <si>
    <t>19717</t>
  </si>
  <si>
    <t>5488</t>
  </si>
  <si>
    <t>38800</t>
  </si>
  <si>
    <t>175550</t>
  </si>
  <si>
    <t>39203</t>
  </si>
  <si>
    <t>57746</t>
  </si>
  <si>
    <t>54075</t>
  </si>
  <si>
    <t>31820</t>
  </si>
  <si>
    <t>176484</t>
  </si>
  <si>
    <t>175445</t>
  </si>
  <si>
    <t>38894</t>
  </si>
  <si>
    <t>174654</t>
  </si>
  <si>
    <t>39241</t>
  </si>
  <si>
    <t>5011</t>
  </si>
  <si>
    <t>41036</t>
  </si>
  <si>
    <t>5185</t>
  </si>
  <si>
    <t>8341</t>
  </si>
  <si>
    <t>58494</t>
  </si>
  <si>
    <t>40971</t>
  </si>
  <si>
    <t>58348</t>
  </si>
  <si>
    <t>58370</t>
  </si>
  <si>
    <t>8212</t>
  </si>
  <si>
    <t>8385</t>
  </si>
  <si>
    <t>58532</t>
  </si>
  <si>
    <t>41115</t>
  </si>
  <si>
    <t>58367</t>
  </si>
  <si>
    <t>32252</t>
  </si>
  <si>
    <t>8830</t>
  </si>
  <si>
    <t>8832</t>
  </si>
  <si>
    <t>58537</t>
  </si>
  <si>
    <t>103864</t>
  </si>
  <si>
    <t>104347</t>
  </si>
  <si>
    <t>104780</t>
  </si>
  <si>
    <t>104291</t>
  </si>
  <si>
    <t>104990</t>
  </si>
  <si>
    <t>105202</t>
  </si>
  <si>
    <t>105197</t>
  </si>
  <si>
    <t>10593</t>
  </si>
  <si>
    <t>10735</t>
  </si>
  <si>
    <t>10873</t>
  </si>
  <si>
    <t>10445</t>
  </si>
  <si>
    <t>10428</t>
  </si>
  <si>
    <t>10480</t>
  </si>
  <si>
    <t>10876</t>
  </si>
  <si>
    <t>11062</t>
  </si>
  <si>
    <t>83620</t>
  </si>
  <si>
    <t xml:space="preserve"> 473524001</t>
  </si>
  <si>
    <t>6557495/2</t>
  </si>
  <si>
    <t>8969</t>
  </si>
  <si>
    <t>84020</t>
  </si>
  <si>
    <t>84027</t>
  </si>
  <si>
    <t>84123</t>
  </si>
  <si>
    <t>84050</t>
  </si>
  <si>
    <t>84249</t>
  </si>
  <si>
    <t>84204</t>
  </si>
  <si>
    <t>84212</t>
  </si>
  <si>
    <t>83901</t>
  </si>
  <si>
    <t xml:space="preserve"> 497011502</t>
  </si>
  <si>
    <t>356992</t>
  </si>
  <si>
    <t>92616</t>
  </si>
  <si>
    <t>85856</t>
  </si>
  <si>
    <t>3007</t>
  </si>
  <si>
    <t>3154</t>
  </si>
  <si>
    <t>85732</t>
  </si>
  <si>
    <t xml:space="preserve"> 521798002</t>
  </si>
  <si>
    <t>671468</t>
  </si>
  <si>
    <t>87994</t>
  </si>
  <si>
    <t>3238</t>
  </si>
  <si>
    <t>61810</t>
  </si>
  <si>
    <t>61808</t>
  </si>
  <si>
    <t>61797</t>
  </si>
  <si>
    <t>87591</t>
  </si>
  <si>
    <t>87588</t>
  </si>
  <si>
    <t>86914</t>
  </si>
  <si>
    <t>86918</t>
  </si>
  <si>
    <t>9051254</t>
  </si>
  <si>
    <t>70597</t>
  </si>
  <si>
    <t>64164</t>
  </si>
  <si>
    <t>50654</t>
  </si>
  <si>
    <t>13265</t>
  </si>
  <si>
    <t>13263</t>
  </si>
  <si>
    <t>13205</t>
  </si>
  <si>
    <t>40973</t>
  </si>
  <si>
    <t>66187</t>
  </si>
  <si>
    <t>3365</t>
  </si>
  <si>
    <t>67179</t>
  </si>
  <si>
    <t>67018</t>
  </si>
  <si>
    <t>65650</t>
  </si>
  <si>
    <t>40685</t>
  </si>
  <si>
    <t>41204</t>
  </si>
  <si>
    <t xml:space="preserve"> 596190801</t>
  </si>
  <si>
    <t>1267</t>
  </si>
  <si>
    <t>12318</t>
  </si>
  <si>
    <t>41500</t>
  </si>
  <si>
    <t>41856</t>
  </si>
  <si>
    <t>41907</t>
  </si>
  <si>
    <t>41656</t>
  </si>
  <si>
    <t xml:space="preserve"> 584807701</t>
  </si>
  <si>
    <t>1126679</t>
  </si>
  <si>
    <t>004</t>
  </si>
  <si>
    <t>55710</t>
  </si>
  <si>
    <t>41630</t>
  </si>
  <si>
    <t>42174</t>
  </si>
  <si>
    <t>69400</t>
  </si>
  <si>
    <t>42155</t>
  </si>
  <si>
    <t>41966</t>
  </si>
  <si>
    <t>12467</t>
  </si>
  <si>
    <t>12471</t>
  </si>
  <si>
    <t>1668267</t>
  </si>
  <si>
    <t>185308</t>
  </si>
  <si>
    <t>1668033</t>
  </si>
  <si>
    <t>69447</t>
  </si>
  <si>
    <t xml:space="preserve"> 667403001</t>
  </si>
  <si>
    <t>1701</t>
  </si>
  <si>
    <t xml:space="preserve"> 667576001</t>
  </si>
  <si>
    <t>1755</t>
  </si>
  <si>
    <t>58432</t>
  </si>
  <si>
    <t>69895</t>
  </si>
  <si>
    <t>66110</t>
  </si>
  <si>
    <t>66793</t>
  </si>
  <si>
    <t>69891</t>
  </si>
  <si>
    <t>4301</t>
  </si>
  <si>
    <t>4470</t>
  </si>
  <si>
    <t>4695</t>
  </si>
  <si>
    <t>96549</t>
  </si>
  <si>
    <t>4571</t>
  </si>
  <si>
    <t>4786</t>
  </si>
  <si>
    <t>4482</t>
  </si>
  <si>
    <t>4506</t>
  </si>
  <si>
    <t>4500</t>
  </si>
  <si>
    <t>96702</t>
  </si>
  <si>
    <t>96216</t>
  </si>
  <si>
    <t>12755</t>
  </si>
  <si>
    <t xml:space="preserve"> 783603001</t>
  </si>
  <si>
    <t>90338</t>
  </si>
  <si>
    <t>26147</t>
  </si>
  <si>
    <t>61332</t>
  </si>
  <si>
    <t xml:space="preserve"> 778312901</t>
  </si>
  <si>
    <t>9051327</t>
  </si>
  <si>
    <t>23726</t>
  </si>
  <si>
    <t>62792</t>
  </si>
  <si>
    <t>73205</t>
  </si>
  <si>
    <t>15478</t>
  </si>
  <si>
    <t>62838</t>
  </si>
  <si>
    <t>62746</t>
  </si>
  <si>
    <t xml:space="preserve"> 773923301</t>
  </si>
  <si>
    <t>4066141</t>
  </si>
  <si>
    <t>42121</t>
  </si>
  <si>
    <t>62678</t>
  </si>
  <si>
    <t xml:space="preserve"> 777870101</t>
  </si>
  <si>
    <t>9051350-1</t>
  </si>
  <si>
    <t>24324</t>
  </si>
  <si>
    <t>106647</t>
  </si>
  <si>
    <t>106633</t>
  </si>
  <si>
    <t>106636</t>
  </si>
  <si>
    <t>14059</t>
  </si>
  <si>
    <t>77137</t>
  </si>
  <si>
    <t xml:space="preserve"> 831517301</t>
  </si>
  <si>
    <t>178943</t>
  </si>
  <si>
    <t>88439</t>
  </si>
  <si>
    <t>12922</t>
  </si>
  <si>
    <t>12912</t>
  </si>
  <si>
    <t>410</t>
  </si>
  <si>
    <t>80521</t>
  </si>
  <si>
    <t xml:space="preserve"> 832546701</t>
  </si>
  <si>
    <t>178952</t>
  </si>
  <si>
    <t>88594</t>
  </si>
  <si>
    <t>12937</t>
  </si>
  <si>
    <t>1615</t>
  </si>
  <si>
    <t>81070</t>
  </si>
  <si>
    <t>19799</t>
  </si>
  <si>
    <t>14482</t>
  </si>
  <si>
    <t>81033</t>
  </si>
  <si>
    <t>9042855</t>
  </si>
  <si>
    <t>70342</t>
  </si>
  <si>
    <t>81034</t>
  </si>
  <si>
    <t>83281</t>
  </si>
  <si>
    <t>15669</t>
  </si>
  <si>
    <t>83263</t>
  </si>
  <si>
    <t>83277</t>
  </si>
  <si>
    <t>49001</t>
  </si>
  <si>
    <t>82602</t>
  </si>
  <si>
    <t>102234</t>
  </si>
  <si>
    <t>102405</t>
  </si>
  <si>
    <t>191651</t>
  </si>
  <si>
    <t>13511</t>
  </si>
  <si>
    <t>105189</t>
  </si>
  <si>
    <t>88241</t>
  </si>
  <si>
    <t>88190</t>
  </si>
  <si>
    <t>104502</t>
  </si>
  <si>
    <t>104690</t>
  </si>
  <si>
    <t>13509</t>
  </si>
  <si>
    <t>13481</t>
  </si>
  <si>
    <t>88202</t>
  </si>
  <si>
    <t>13562</t>
  </si>
  <si>
    <t>13474</t>
  </si>
  <si>
    <t>81670</t>
  </si>
  <si>
    <t>19873</t>
  </si>
  <si>
    <t>5841</t>
  </si>
  <si>
    <t>5845</t>
  </si>
  <si>
    <t>5899</t>
  </si>
  <si>
    <t>28113</t>
  </si>
  <si>
    <t>85716</t>
  </si>
  <si>
    <t>5864</t>
  </si>
  <si>
    <t>85660</t>
  </si>
  <si>
    <t>85946</t>
  </si>
  <si>
    <t>112448</t>
  </si>
  <si>
    <t>16923</t>
  </si>
  <si>
    <t>85967</t>
  </si>
  <si>
    <t>85941</t>
  </si>
  <si>
    <t>566</t>
  </si>
  <si>
    <t>1996</t>
  </si>
  <si>
    <t>21465</t>
  </si>
  <si>
    <t>23112</t>
  </si>
  <si>
    <t>57278</t>
  </si>
  <si>
    <t>23111</t>
  </si>
  <si>
    <t>54998</t>
  </si>
  <si>
    <t>16406</t>
  </si>
  <si>
    <t>23210</t>
  </si>
  <si>
    <t>16756</t>
  </si>
  <si>
    <t>23103</t>
  </si>
  <si>
    <t>14971</t>
  </si>
  <si>
    <t>35057</t>
  </si>
  <si>
    <t>4921</t>
  </si>
  <si>
    <t>343</t>
  </si>
  <si>
    <t xml:space="preserve"> 104455402</t>
  </si>
  <si>
    <t>3068</t>
  </si>
  <si>
    <t xml:space="preserve"> 103330402</t>
  </si>
  <si>
    <t>2189</t>
  </si>
  <si>
    <t>16563</t>
  </si>
  <si>
    <t>37363</t>
  </si>
  <si>
    <t>39686</t>
  </si>
  <si>
    <t>37365</t>
  </si>
  <si>
    <t>37381</t>
  </si>
  <si>
    <t>37339</t>
  </si>
  <si>
    <t>3825</t>
  </si>
  <si>
    <t>3821</t>
  </si>
  <si>
    <t>112416</t>
  </si>
  <si>
    <t>3694</t>
  </si>
  <si>
    <t>39535</t>
  </si>
  <si>
    <t>112311</t>
  </si>
  <si>
    <t>112301</t>
  </si>
  <si>
    <t>112410</t>
  </si>
  <si>
    <t>17157</t>
  </si>
  <si>
    <t>99921</t>
  </si>
  <si>
    <t>5475</t>
  </si>
  <si>
    <t>4851</t>
  </si>
  <si>
    <t>15387</t>
  </si>
  <si>
    <t>31590</t>
  </si>
  <si>
    <t>15396</t>
  </si>
  <si>
    <t>42026</t>
  </si>
  <si>
    <t>43044</t>
  </si>
  <si>
    <t>33688</t>
  </si>
  <si>
    <t>31581</t>
  </si>
  <si>
    <t>15354</t>
  </si>
  <si>
    <t>42120</t>
  </si>
  <si>
    <t>15322</t>
  </si>
  <si>
    <t>31582</t>
  </si>
  <si>
    <t>41747</t>
  </si>
  <si>
    <t>41958</t>
  </si>
  <si>
    <t>15297</t>
  </si>
  <si>
    <t xml:space="preserve"> 107509601</t>
  </si>
  <si>
    <t>99973</t>
  </si>
  <si>
    <t>41870</t>
  </si>
  <si>
    <t>15299</t>
  </si>
  <si>
    <t>40864</t>
  </si>
  <si>
    <t>15344</t>
  </si>
  <si>
    <t>15342</t>
  </si>
  <si>
    <t>42917</t>
  </si>
  <si>
    <t>41081</t>
  </si>
  <si>
    <t>48105</t>
  </si>
  <si>
    <t>47401</t>
  </si>
  <si>
    <t>47843</t>
  </si>
  <si>
    <t>47780</t>
  </si>
  <si>
    <t>47565</t>
  </si>
  <si>
    <t>70075</t>
  </si>
  <si>
    <t>49685</t>
  </si>
  <si>
    <t>49295</t>
  </si>
  <si>
    <t>49466</t>
  </si>
  <si>
    <t>49574</t>
  </si>
  <si>
    <t>49724</t>
  </si>
  <si>
    <t>49902</t>
  </si>
  <si>
    <t>49538</t>
  </si>
  <si>
    <t>49557</t>
  </si>
  <si>
    <t>49449</t>
  </si>
  <si>
    <t>49376</t>
  </si>
  <si>
    <t>50523</t>
  </si>
  <si>
    <t>50412</t>
  </si>
  <si>
    <t>30395</t>
  </si>
  <si>
    <t>22765</t>
  </si>
  <si>
    <t>47867</t>
  </si>
  <si>
    <t>47650</t>
  </si>
  <si>
    <t>47701</t>
  </si>
  <si>
    <t>51796</t>
  </si>
  <si>
    <t>47794</t>
  </si>
  <si>
    <t>6612</t>
  </si>
  <si>
    <t>50527</t>
  </si>
  <si>
    <t>50528</t>
  </si>
  <si>
    <t>30399</t>
  </si>
  <si>
    <t>45872</t>
  </si>
  <si>
    <t>49728</t>
  </si>
  <si>
    <t>39160</t>
  </si>
  <si>
    <t>50404</t>
  </si>
  <si>
    <t>32891</t>
  </si>
  <si>
    <t>17607</t>
  </si>
  <si>
    <t>23404</t>
  </si>
  <si>
    <t>24680</t>
  </si>
  <si>
    <t>40434</t>
  </si>
  <si>
    <t>40352</t>
  </si>
  <si>
    <t>30581</t>
  </si>
  <si>
    <t>22305</t>
  </si>
  <si>
    <t>33841</t>
  </si>
  <si>
    <t>5595</t>
  </si>
  <si>
    <t>29842</t>
  </si>
  <si>
    <t>29795</t>
  </si>
  <si>
    <t>72063</t>
  </si>
  <si>
    <t>32931</t>
  </si>
  <si>
    <t>29797</t>
  </si>
  <si>
    <t>35368</t>
  </si>
  <si>
    <t>18740</t>
  </si>
  <si>
    <t>36148</t>
  </si>
  <si>
    <t xml:space="preserve"> 189769801</t>
  </si>
  <si>
    <t>1137268</t>
  </si>
  <si>
    <t>33085</t>
  </si>
  <si>
    <t>36328</t>
  </si>
  <si>
    <t>36130</t>
  </si>
  <si>
    <t>53219</t>
  </si>
  <si>
    <t>53517</t>
  </si>
  <si>
    <t>53559</t>
  </si>
  <si>
    <t>37992</t>
  </si>
  <si>
    <t>24544</t>
  </si>
  <si>
    <t>38086</t>
  </si>
  <si>
    <t>38076</t>
  </si>
  <si>
    <t>38312</t>
  </si>
  <si>
    <t>38324</t>
  </si>
  <si>
    <t>38332</t>
  </si>
  <si>
    <t>6979</t>
  </si>
  <si>
    <t>38545</t>
  </si>
  <si>
    <t>55287</t>
  </si>
  <si>
    <t>55286</t>
  </si>
  <si>
    <t>7051</t>
  </si>
  <si>
    <t>70628</t>
  </si>
  <si>
    <t>151291</t>
  </si>
  <si>
    <t>12260</t>
  </si>
  <si>
    <t>55417</t>
  </si>
  <si>
    <t>55550</t>
  </si>
  <si>
    <t>6975</t>
  </si>
  <si>
    <t>70621</t>
  </si>
  <si>
    <t>12265</t>
  </si>
  <si>
    <t>12243</t>
  </si>
  <si>
    <t>12246</t>
  </si>
  <si>
    <t>141172</t>
  </si>
  <si>
    <t>141142</t>
  </si>
  <si>
    <t>140884</t>
  </si>
  <si>
    <t>140794</t>
  </si>
  <si>
    <t>140123</t>
  </si>
  <si>
    <t>140359</t>
  </si>
  <si>
    <t>140874</t>
  </si>
  <si>
    <t>140904</t>
  </si>
  <si>
    <t>140455</t>
  </si>
  <si>
    <t>7255</t>
  </si>
  <si>
    <t>141402</t>
  </si>
  <si>
    <t xml:space="preserve"> 302368801</t>
  </si>
  <si>
    <t>1496529</t>
  </si>
  <si>
    <t>28396</t>
  </si>
  <si>
    <t>141416</t>
  </si>
  <si>
    <t>33313</t>
  </si>
  <si>
    <t>161028</t>
  </si>
  <si>
    <t>34500</t>
  </si>
  <si>
    <t>160632</t>
  </si>
  <si>
    <t>91895</t>
  </si>
  <si>
    <t>165486</t>
  </si>
  <si>
    <t>165497</t>
  </si>
  <si>
    <t>165485</t>
  </si>
  <si>
    <t>163596</t>
  </si>
  <si>
    <t>92807</t>
  </si>
  <si>
    <t>34433</t>
  </si>
  <si>
    <t>164228</t>
  </si>
  <si>
    <t>93825</t>
  </si>
  <si>
    <t>166054</t>
  </si>
  <si>
    <t>166998</t>
  </si>
  <si>
    <t>167725</t>
  </si>
  <si>
    <t>6495</t>
  </si>
  <si>
    <t xml:space="preserve"> 349869401</t>
  </si>
  <si>
    <t>18940</t>
  </si>
  <si>
    <t>164996</t>
  </si>
  <si>
    <t>767</t>
  </si>
  <si>
    <t>48682</t>
  </si>
  <si>
    <t>35214</t>
  </si>
  <si>
    <t>95771</t>
  </si>
  <si>
    <t>96236</t>
  </si>
  <si>
    <t>95396</t>
  </si>
  <si>
    <t>168693</t>
  </si>
  <si>
    <t>171648</t>
  </si>
  <si>
    <t xml:space="preserve"> 365092601</t>
  </si>
  <si>
    <t>51058</t>
  </si>
  <si>
    <t>92023</t>
  </si>
  <si>
    <t>51607</t>
  </si>
  <si>
    <t>36603</t>
  </si>
  <si>
    <t>51600</t>
  </si>
  <si>
    <t>8080</t>
  </si>
  <si>
    <t>51828</t>
  </si>
  <si>
    <t>16456</t>
  </si>
  <si>
    <t>5490</t>
  </si>
  <si>
    <t>36592</t>
  </si>
  <si>
    <t>8072</t>
  </si>
  <si>
    <t>57772</t>
  </si>
  <si>
    <t>39976</t>
  </si>
  <si>
    <t>38798</t>
  </si>
  <si>
    <t>175363</t>
  </si>
  <si>
    <t>175487</t>
  </si>
  <si>
    <t>175830</t>
  </si>
  <si>
    <t>39070</t>
  </si>
  <si>
    <t>38793</t>
  </si>
  <si>
    <t>38871</t>
  </si>
  <si>
    <t>5493</t>
  </si>
  <si>
    <t>174669</t>
  </si>
  <si>
    <t>57688</t>
  </si>
  <si>
    <t>39007</t>
  </si>
  <si>
    <t>57696</t>
  </si>
  <si>
    <t>40991</t>
  </si>
  <si>
    <t>32019</t>
  </si>
  <si>
    <t>40575</t>
  </si>
  <si>
    <t>54596</t>
  </si>
  <si>
    <t>54661</t>
  </si>
  <si>
    <t>40961</t>
  </si>
  <si>
    <t>40912</t>
  </si>
  <si>
    <t>8265</t>
  </si>
  <si>
    <t>8315</t>
  </si>
  <si>
    <t>40853</t>
  </si>
  <si>
    <t>58234</t>
  </si>
  <si>
    <t>8220</t>
  </si>
  <si>
    <t>41066</t>
  </si>
  <si>
    <t>58243</t>
  </si>
  <si>
    <t>104348</t>
  </si>
  <si>
    <t>8416</t>
  </si>
  <si>
    <t>105205</t>
  </si>
  <si>
    <t>105203</t>
  </si>
  <si>
    <t>180433</t>
  </si>
  <si>
    <t>10482</t>
  </si>
  <si>
    <t>10375</t>
  </si>
  <si>
    <t>10374</t>
  </si>
  <si>
    <t>10487</t>
  </si>
  <si>
    <t xml:space="preserve"> 473219201</t>
  </si>
  <si>
    <t>1210</t>
  </si>
  <si>
    <t>10598</t>
  </si>
  <si>
    <t>10596</t>
  </si>
  <si>
    <t>10416</t>
  </si>
  <si>
    <t>10443</t>
  </si>
  <si>
    <t>10475</t>
  </si>
  <si>
    <t>10485</t>
  </si>
  <si>
    <t>10881</t>
  </si>
  <si>
    <t>10875</t>
  </si>
  <si>
    <t>83738</t>
  </si>
  <si>
    <t>83628</t>
  </si>
  <si>
    <t>83498</t>
  </si>
  <si>
    <t>83802</t>
  </si>
  <si>
    <t>84047</t>
  </si>
  <si>
    <t xml:space="preserve"> 485386001</t>
  </si>
  <si>
    <t>84044</t>
  </si>
  <si>
    <t>83846</t>
  </si>
  <si>
    <t>83942</t>
  </si>
  <si>
    <t>83897</t>
  </si>
  <si>
    <t>83917</t>
  </si>
  <si>
    <t>84172</t>
  </si>
  <si>
    <t>84301</t>
  </si>
  <si>
    <t>84295</t>
  </si>
  <si>
    <t>84335</t>
  </si>
  <si>
    <t>10704</t>
  </si>
  <si>
    <t>83808</t>
  </si>
  <si>
    <t>83616</t>
  </si>
  <si>
    <t>3166</t>
  </si>
  <si>
    <t>3052</t>
  </si>
  <si>
    <t>3295</t>
  </si>
  <si>
    <t xml:space="preserve"> 507562701</t>
  </si>
  <si>
    <t>1328</t>
  </si>
  <si>
    <t>48344</t>
  </si>
  <si>
    <t>87785</t>
  </si>
  <si>
    <t>61806</t>
  </si>
  <si>
    <t>61801</t>
  </si>
  <si>
    <t>3297</t>
  </si>
  <si>
    <t>3261</t>
  </si>
  <si>
    <t>86887</t>
  </si>
  <si>
    <t xml:space="preserve"> 526323501</t>
  </si>
  <si>
    <t xml:space="preserve"> 526390701</t>
  </si>
  <si>
    <t>1387</t>
  </si>
  <si>
    <t>2848</t>
  </si>
  <si>
    <t>71861</t>
  </si>
  <si>
    <t>63624</t>
  </si>
  <si>
    <t>63610</t>
  </si>
  <si>
    <t>64741</t>
  </si>
  <si>
    <t>63767</t>
  </si>
  <si>
    <t xml:space="preserve"> 549719701</t>
  </si>
  <si>
    <t>57064421</t>
  </si>
  <si>
    <t>41303</t>
  </si>
  <si>
    <t>66186</t>
  </si>
  <si>
    <t>66189</t>
  </si>
  <si>
    <t>63622</t>
  </si>
  <si>
    <t>65350</t>
  </si>
  <si>
    <t>40827</t>
  </si>
  <si>
    <t>3354</t>
  </si>
  <si>
    <t>3353</t>
  </si>
  <si>
    <t>3361</t>
  </si>
  <si>
    <t>41559</t>
  </si>
  <si>
    <t xml:space="preserve"> 600738801</t>
  </si>
  <si>
    <t>1552</t>
  </si>
  <si>
    <t xml:space="preserve"> 600855001</t>
  </si>
  <si>
    <t>1553</t>
  </si>
  <si>
    <t>41888</t>
  </si>
  <si>
    <t>12321</t>
  </si>
  <si>
    <t>41504</t>
  </si>
  <si>
    <t>1133448</t>
  </si>
  <si>
    <t>41637</t>
  </si>
  <si>
    <t>41720</t>
  </si>
  <si>
    <t>69394</t>
  </si>
  <si>
    <t>42156</t>
  </si>
  <si>
    <t>185315</t>
  </si>
  <si>
    <t>94356</t>
  </si>
  <si>
    <t xml:space="preserve"> 692181901</t>
  </si>
  <si>
    <t>1861</t>
  </si>
  <si>
    <t>4673</t>
  </si>
  <si>
    <t>4707</t>
  </si>
  <si>
    <t>4516</t>
  </si>
  <si>
    <t>96208</t>
  </si>
  <si>
    <t>4741</t>
  </si>
  <si>
    <t>96574</t>
  </si>
  <si>
    <t>12752</t>
  </si>
  <si>
    <t xml:space="preserve"> 783577501</t>
  </si>
  <si>
    <t>89338</t>
  </si>
  <si>
    <t>15494</t>
  </si>
  <si>
    <t xml:space="preserve"> 783611901</t>
  </si>
  <si>
    <t>94338</t>
  </si>
  <si>
    <t>26152</t>
  </si>
  <si>
    <t>73260</t>
  </si>
  <si>
    <t>85189</t>
  </si>
  <si>
    <t>62745</t>
  </si>
  <si>
    <t>106275</t>
  </si>
  <si>
    <t>106644</t>
  </si>
  <si>
    <t>106653</t>
  </si>
  <si>
    <t>106656</t>
  </si>
  <si>
    <t>106614</t>
  </si>
  <si>
    <t>73213</t>
  </si>
  <si>
    <t>12310</t>
  </si>
  <si>
    <t>13750</t>
  </si>
  <si>
    <t>13358</t>
  </si>
  <si>
    <t>80563</t>
  </si>
  <si>
    <t>80558</t>
  </si>
  <si>
    <t>13025</t>
  </si>
  <si>
    <t>12920</t>
  </si>
  <si>
    <t>80568</t>
  </si>
  <si>
    <t>13361</t>
  </si>
  <si>
    <t>80952</t>
  </si>
  <si>
    <t>80989</t>
  </si>
  <si>
    <t>14480</t>
  </si>
  <si>
    <t>82601</t>
  </si>
  <si>
    <t>81065</t>
  </si>
  <si>
    <t>81030</t>
  </si>
  <si>
    <t>20507</t>
  </si>
  <si>
    <t xml:space="preserve"> 883571901</t>
  </si>
  <si>
    <t>012772</t>
  </si>
  <si>
    <t>16634</t>
  </si>
  <si>
    <t>22055</t>
  </si>
  <si>
    <t xml:space="preserve"> 883041201</t>
  </si>
  <si>
    <t>57080254</t>
  </si>
  <si>
    <t>49868</t>
  </si>
  <si>
    <t>21960</t>
  </si>
  <si>
    <t>102217</t>
  </si>
  <si>
    <t>83274</t>
  </si>
  <si>
    <t>102280</t>
  </si>
  <si>
    <t>190095</t>
  </si>
  <si>
    <t>13458</t>
  </si>
  <si>
    <t>191660</t>
  </si>
  <si>
    <t>191653</t>
  </si>
  <si>
    <t>105172</t>
  </si>
  <si>
    <t>13456</t>
  </si>
  <si>
    <t>88187</t>
  </si>
  <si>
    <t>13573</t>
  </si>
  <si>
    <t xml:space="preserve"> 921579501</t>
  </si>
  <si>
    <t>9051377</t>
  </si>
  <si>
    <t>25677</t>
  </si>
  <si>
    <t>13515</t>
  </si>
  <si>
    <t>13546</t>
  </si>
  <si>
    <t>13563</t>
  </si>
  <si>
    <t>13569</t>
  </si>
  <si>
    <t>191649</t>
  </si>
  <si>
    <t>104597</t>
  </si>
  <si>
    <t>13469</t>
  </si>
  <si>
    <t>105157</t>
  </si>
  <si>
    <t>13472</t>
  </si>
  <si>
    <t>13477</t>
  </si>
  <si>
    <t>83241</t>
  </si>
  <si>
    <t>5720</t>
  </si>
  <si>
    <t>5748</t>
  </si>
  <si>
    <t>5865</t>
  </si>
  <si>
    <t>85590</t>
  </si>
  <si>
    <t>5893</t>
  </si>
  <si>
    <t>6017</t>
  </si>
  <si>
    <t>6004</t>
  </si>
  <si>
    <t>6064</t>
  </si>
  <si>
    <t>6041</t>
  </si>
  <si>
    <t>6059</t>
  </si>
  <si>
    <t>6063</t>
  </si>
  <si>
    <t>6273</t>
  </si>
  <si>
    <t>6336</t>
  </si>
  <si>
    <t>112521</t>
  </si>
  <si>
    <t>85961</t>
  </si>
  <si>
    <t>85959</t>
  </si>
  <si>
    <t>85943</t>
  </si>
  <si>
    <t>6283</t>
  </si>
  <si>
    <t>6428</t>
  </si>
  <si>
    <t>34448</t>
  </si>
  <si>
    <t xml:space="preserve">  81534502</t>
  </si>
  <si>
    <t xml:space="preserve">  81523402</t>
  </si>
  <si>
    <t>10356</t>
  </si>
  <si>
    <t xml:space="preserve">  81531402</t>
  </si>
  <si>
    <t xml:space="preserve">  81523002</t>
  </si>
  <si>
    <t>40983</t>
  </si>
  <si>
    <t>23117</t>
  </si>
  <si>
    <t>17671</t>
  </si>
  <si>
    <t>23144</t>
  </si>
  <si>
    <t>16718</t>
  </si>
  <si>
    <t>23147</t>
  </si>
  <si>
    <t xml:space="preserve">  69193701</t>
  </si>
  <si>
    <t>5500116709</t>
  </si>
  <si>
    <t>24464</t>
  </si>
  <si>
    <t>14972</t>
  </si>
  <si>
    <t>12649</t>
  </si>
  <si>
    <t>37312</t>
  </si>
  <si>
    <t xml:space="preserve"> 103328702</t>
  </si>
  <si>
    <t>4581</t>
  </si>
  <si>
    <t>4173</t>
  </si>
  <si>
    <t>4147</t>
  </si>
  <si>
    <t>17244</t>
  </si>
  <si>
    <t>112313</t>
  </si>
  <si>
    <t>3972</t>
  </si>
  <si>
    <t>15414</t>
  </si>
  <si>
    <t>41684</t>
  </si>
  <si>
    <t>15388</t>
  </si>
  <si>
    <t>42893</t>
  </si>
  <si>
    <t>15337</t>
  </si>
  <si>
    <t>40525</t>
  </si>
  <si>
    <t>47834</t>
  </si>
  <si>
    <t>15422</t>
  </si>
  <si>
    <t>42009</t>
  </si>
  <si>
    <t>41823</t>
  </si>
  <si>
    <t>41952</t>
  </si>
  <si>
    <t>15418</t>
  </si>
  <si>
    <t>42050</t>
  </si>
  <si>
    <t>41676</t>
  </si>
  <si>
    <t xml:space="preserve"> 105758801</t>
  </si>
  <si>
    <t>154609</t>
  </si>
  <si>
    <t>24989</t>
  </si>
  <si>
    <t>15383</t>
  </si>
  <si>
    <t>15314</t>
  </si>
  <si>
    <t>1880</t>
  </si>
  <si>
    <t>42946</t>
  </si>
  <si>
    <t>47881</t>
  </si>
  <si>
    <t>47904</t>
  </si>
  <si>
    <t>48044</t>
  </si>
  <si>
    <t xml:space="preserve"> 117340201</t>
  </si>
  <si>
    <t>15/2012</t>
  </si>
  <si>
    <t>21325</t>
  </si>
  <si>
    <t>70074</t>
  </si>
  <si>
    <t>47403</t>
  </si>
  <si>
    <t>47406</t>
  </si>
  <si>
    <t>47433</t>
  </si>
  <si>
    <t>49173</t>
  </si>
  <si>
    <t>49462</t>
  </si>
  <si>
    <t>49590</t>
  </si>
  <si>
    <t>49509</t>
  </si>
  <si>
    <t>49544</t>
  </si>
  <si>
    <t>49775</t>
  </si>
  <si>
    <t>49607</t>
  </si>
  <si>
    <t>48551</t>
  </si>
  <si>
    <t>48356</t>
  </si>
  <si>
    <t>27798</t>
  </si>
  <si>
    <t>49284</t>
  </si>
  <si>
    <t>49880</t>
  </si>
  <si>
    <t>50458</t>
  </si>
  <si>
    <t>50288</t>
  </si>
  <si>
    <t>50403</t>
  </si>
  <si>
    <t>50014</t>
  </si>
  <si>
    <t>50301</t>
  </si>
  <si>
    <t>50308</t>
  </si>
  <si>
    <t>48003</t>
  </si>
  <si>
    <t>22771</t>
  </si>
  <si>
    <t>47570</t>
  </si>
  <si>
    <t>29418</t>
  </si>
  <si>
    <t>46888</t>
  </si>
  <si>
    <t>50172</t>
  </si>
  <si>
    <t>50691</t>
  </si>
  <si>
    <t>39381</t>
  </si>
  <si>
    <t>39388</t>
  </si>
  <si>
    <t>39392</t>
  </si>
  <si>
    <t>39780</t>
  </si>
  <si>
    <t>39777</t>
  </si>
  <si>
    <t>49111</t>
  </si>
  <si>
    <t>32113</t>
  </si>
  <si>
    <t>33843</t>
  </si>
  <si>
    <t>21864</t>
  </si>
  <si>
    <t>8550</t>
  </si>
  <si>
    <t>72056</t>
  </si>
  <si>
    <t>8041</t>
  </si>
  <si>
    <t>5602</t>
  </si>
  <si>
    <t>72171</t>
  </si>
  <si>
    <t>72087</t>
  </si>
  <si>
    <t>22117</t>
  </si>
  <si>
    <t>53174</t>
  </si>
  <si>
    <t xml:space="preserve"> 198218701</t>
  </si>
  <si>
    <t>97</t>
  </si>
  <si>
    <t>36261</t>
  </si>
  <si>
    <t>36144</t>
  </si>
  <si>
    <t>53442</t>
  </si>
  <si>
    <t>53480</t>
  </si>
  <si>
    <t>53228</t>
  </si>
  <si>
    <t>53069</t>
  </si>
  <si>
    <t>2084</t>
  </si>
  <si>
    <t>38233</t>
  </si>
  <si>
    <t>53461</t>
  </si>
  <si>
    <t>52154</t>
  </si>
  <si>
    <t>52149</t>
  </si>
  <si>
    <t>52075</t>
  </si>
  <si>
    <t>53036</t>
  </si>
  <si>
    <t>38294</t>
  </si>
  <si>
    <t>38104</t>
  </si>
  <si>
    <t>38212</t>
  </si>
  <si>
    <t>38170</t>
  </si>
  <si>
    <t>38124</t>
  </si>
  <si>
    <t>38116</t>
  </si>
  <si>
    <t>38160</t>
  </si>
  <si>
    <t>7323</t>
  </si>
  <si>
    <t>38180</t>
  </si>
  <si>
    <t>38174</t>
  </si>
  <si>
    <t>38280</t>
  </si>
  <si>
    <t>38194</t>
  </si>
  <si>
    <t>38400</t>
  </si>
  <si>
    <t>38416</t>
  </si>
  <si>
    <t xml:space="preserve"> 240184501</t>
  </si>
  <si>
    <t>002242</t>
  </si>
  <si>
    <t>2147</t>
  </si>
  <si>
    <t>38470</t>
  </si>
  <si>
    <t>70711</t>
  </si>
  <si>
    <t>70798</t>
  </si>
  <si>
    <t>55425</t>
  </si>
  <si>
    <t>39828</t>
  </si>
  <si>
    <t>70627</t>
  </si>
  <si>
    <t>7170</t>
  </si>
  <si>
    <t>55557</t>
  </si>
  <si>
    <t>55726</t>
  </si>
  <si>
    <t>12224</t>
  </si>
  <si>
    <t>12208</t>
  </si>
  <si>
    <t>141353</t>
  </si>
  <si>
    <t>141198</t>
  </si>
  <si>
    <t>141136</t>
  </si>
  <si>
    <t>141037</t>
  </si>
  <si>
    <t>23407</t>
  </si>
  <si>
    <t>140992</t>
  </si>
  <si>
    <t xml:space="preserve"> 310895001</t>
  </si>
  <si>
    <t>048</t>
  </si>
  <si>
    <t>33391</t>
  </si>
  <si>
    <t xml:space="preserve"> 311157501</t>
  </si>
  <si>
    <t>9051129</t>
  </si>
  <si>
    <t>17600</t>
  </si>
  <si>
    <t>141784</t>
  </si>
  <si>
    <t>141833</t>
  </si>
  <si>
    <t>141200</t>
  </si>
  <si>
    <t>33312</t>
  </si>
  <si>
    <t>141531</t>
  </si>
  <si>
    <t>141532</t>
  </si>
  <si>
    <t>160464</t>
  </si>
  <si>
    <t>160326</t>
  </si>
  <si>
    <t>34498</t>
  </si>
  <si>
    <t>14797</t>
  </si>
  <si>
    <t>92379</t>
  </si>
  <si>
    <t>92654</t>
  </si>
  <si>
    <t>92656</t>
  </si>
  <si>
    <t>165548</t>
  </si>
  <si>
    <t>164740</t>
  </si>
  <si>
    <t>163994</t>
  </si>
  <si>
    <t>160495</t>
  </si>
  <si>
    <t>92372</t>
  </si>
  <si>
    <t>15580</t>
  </si>
  <si>
    <t>164089</t>
  </si>
  <si>
    <t>93950</t>
  </si>
  <si>
    <t>6525</t>
  </si>
  <si>
    <t>167174</t>
  </si>
  <si>
    <t>167912</t>
  </si>
  <si>
    <t>167168</t>
  </si>
  <si>
    <t>54871</t>
  </si>
  <si>
    <t>54873</t>
  </si>
  <si>
    <t>18934</t>
  </si>
  <si>
    <t>18966</t>
  </si>
  <si>
    <t>168557</t>
  </si>
  <si>
    <t>170833</t>
  </si>
  <si>
    <t>170831</t>
  </si>
  <si>
    <t>48673</t>
  </si>
  <si>
    <t>48094</t>
  </si>
  <si>
    <t>19355</t>
  </si>
  <si>
    <t>48796</t>
  </si>
  <si>
    <t>48677</t>
  </si>
  <si>
    <t>94958</t>
  </si>
  <si>
    <t>96231</t>
  </si>
  <si>
    <t>168556</t>
  </si>
  <si>
    <t>168862</t>
  </si>
  <si>
    <t>168652</t>
  </si>
  <si>
    <t>48692</t>
  </si>
  <si>
    <t xml:space="preserve"> 373057701</t>
  </si>
  <si>
    <t>861</t>
  </si>
  <si>
    <t>51612</t>
  </si>
  <si>
    <t>33504</t>
  </si>
  <si>
    <t>38847</t>
  </si>
  <si>
    <t xml:space="preserve"> 413886101</t>
  </si>
  <si>
    <t>9051180</t>
  </si>
  <si>
    <t>20342</t>
  </si>
  <si>
    <t>175831</t>
  </si>
  <si>
    <t>175447</t>
  </si>
  <si>
    <t>175465</t>
  </si>
  <si>
    <t>175565</t>
  </si>
  <si>
    <t>39066</t>
  </si>
  <si>
    <t>39971</t>
  </si>
  <si>
    <t>54072</t>
  </si>
  <si>
    <t>176284</t>
  </si>
  <si>
    <t>38896</t>
  </si>
  <si>
    <t>38887</t>
  </si>
  <si>
    <t>39068</t>
  </si>
  <si>
    <t>4998</t>
  </si>
  <si>
    <t>41020</t>
  </si>
  <si>
    <t>40607</t>
  </si>
  <si>
    <t>41118</t>
  </si>
  <si>
    <t>58531</t>
  </si>
  <si>
    <t>39978</t>
  </si>
  <si>
    <t>8381</t>
  </si>
  <si>
    <t>41116</t>
  </si>
  <si>
    <t>8087</t>
  </si>
  <si>
    <t xml:space="preserve"> 412379601</t>
  </si>
  <si>
    <t>9051178</t>
  </si>
  <si>
    <t>58496</t>
  </si>
  <si>
    <t>8376</t>
  </si>
  <si>
    <t>8359</t>
  </si>
  <si>
    <t>8354</t>
  </si>
  <si>
    <t>58251</t>
  </si>
  <si>
    <t>32254</t>
  </si>
  <si>
    <t>104353</t>
  </si>
  <si>
    <t>104339</t>
  </si>
  <si>
    <t>8896</t>
  </si>
  <si>
    <t>104466</t>
  </si>
  <si>
    <t xml:space="preserve"> 428043301</t>
  </si>
  <si>
    <t>44469</t>
  </si>
  <si>
    <t>180416</t>
  </si>
  <si>
    <t>105201</t>
  </si>
  <si>
    <t>10507</t>
  </si>
  <si>
    <t>10422</t>
  </si>
  <si>
    <t>10476</t>
  </si>
  <si>
    <t>10869</t>
  </si>
  <si>
    <t>10364</t>
  </si>
  <si>
    <t>11168</t>
  </si>
  <si>
    <t>10478</t>
  </si>
  <si>
    <t>10878</t>
  </si>
  <si>
    <t>10882</t>
  </si>
  <si>
    <t>10872</t>
  </si>
  <si>
    <t xml:space="preserve"> 473522101</t>
  </si>
  <si>
    <t>6557495</t>
  </si>
  <si>
    <t>8968</t>
  </si>
  <si>
    <t>83712</t>
  </si>
  <si>
    <t>83736</t>
  </si>
  <si>
    <t>83975</t>
  </si>
  <si>
    <t>84060</t>
  </si>
  <si>
    <t xml:space="preserve"> 485279701</t>
  </si>
  <si>
    <t>1252</t>
  </si>
  <si>
    <t>84327</t>
  </si>
  <si>
    <t>3109</t>
  </si>
  <si>
    <t>3081</t>
  </si>
  <si>
    <t>3000</t>
  </si>
  <si>
    <t>2998</t>
  </si>
  <si>
    <t>53848</t>
  </si>
  <si>
    <t>3135</t>
  </si>
  <si>
    <t>61803</t>
  </si>
  <si>
    <t>3180</t>
  </si>
  <si>
    <t>9051257</t>
  </si>
  <si>
    <t>70601</t>
  </si>
  <si>
    <t>3272</t>
  </si>
  <si>
    <t>3265</t>
  </si>
  <si>
    <t>3280</t>
  </si>
  <si>
    <t>3299</t>
  </si>
  <si>
    <t xml:space="preserve"> 534797801</t>
  </si>
  <si>
    <t>161523</t>
  </si>
  <si>
    <t>64162</t>
  </si>
  <si>
    <t>63111</t>
  </si>
  <si>
    <t>50432</t>
  </si>
  <si>
    <t>40633</t>
  </si>
  <si>
    <t>64892</t>
  </si>
  <si>
    <t>22072</t>
  </si>
  <si>
    <t>50637</t>
  </si>
  <si>
    <t>40822</t>
  </si>
  <si>
    <t>40833</t>
  </si>
  <si>
    <t>41160</t>
  </si>
  <si>
    <t>13206</t>
  </si>
  <si>
    <t>13198</t>
  </si>
  <si>
    <t>53210</t>
  </si>
  <si>
    <t>40824</t>
  </si>
  <si>
    <t>40825</t>
  </si>
  <si>
    <t>41208</t>
  </si>
  <si>
    <t>41599</t>
  </si>
  <si>
    <t xml:space="preserve"> 596191101</t>
  </si>
  <si>
    <t>52034</t>
  </si>
  <si>
    <t xml:space="preserve"> 600495201</t>
  </si>
  <si>
    <t>1598</t>
  </si>
  <si>
    <t xml:space="preserve"> 600506501</t>
  </si>
  <si>
    <t>1597</t>
  </si>
  <si>
    <t>41661</t>
  </si>
  <si>
    <t>12380</t>
  </si>
  <si>
    <t>41265</t>
  </si>
  <si>
    <t xml:space="preserve"> 591238301</t>
  </si>
  <si>
    <t>1140598</t>
  </si>
  <si>
    <t xml:space="preserve"> 594327301</t>
  </si>
  <si>
    <t>864370</t>
  </si>
  <si>
    <t>41836</t>
  </si>
  <si>
    <t>41910</t>
  </si>
  <si>
    <t xml:space="preserve"> 582216601</t>
  </si>
  <si>
    <t>19241</t>
  </si>
  <si>
    <t>69390</t>
  </si>
  <si>
    <t>56791</t>
  </si>
  <si>
    <t>41954</t>
  </si>
  <si>
    <t>57067844</t>
  </si>
  <si>
    <t>43105</t>
  </si>
  <si>
    <t>9051294</t>
  </si>
  <si>
    <t>23328</t>
  </si>
  <si>
    <t>69449</t>
  </si>
  <si>
    <t>57274</t>
  </si>
  <si>
    <t xml:space="preserve"> 665149601</t>
  </si>
  <si>
    <t>1810</t>
  </si>
  <si>
    <t>26788</t>
  </si>
  <si>
    <t xml:space="preserve"> 712598201</t>
  </si>
  <si>
    <t>4420</t>
  </si>
  <si>
    <t>4524</t>
  </si>
  <si>
    <t>4641</t>
  </si>
  <si>
    <t>4668</t>
  </si>
  <si>
    <t>4665</t>
  </si>
  <si>
    <t>4745</t>
  </si>
  <si>
    <t>4514</t>
  </si>
  <si>
    <t>4512</t>
  </si>
  <si>
    <t>98533</t>
  </si>
  <si>
    <t>4757</t>
  </si>
  <si>
    <t>96327</t>
  </si>
  <si>
    <t>96335</t>
  </si>
  <si>
    <t>71142</t>
  </si>
  <si>
    <t>96347</t>
  </si>
  <si>
    <t>96416</t>
  </si>
  <si>
    <t>73256</t>
  </si>
  <si>
    <t>61020</t>
  </si>
  <si>
    <t>12189</t>
  </si>
  <si>
    <t>15475</t>
  </si>
  <si>
    <t xml:space="preserve"> 817656701</t>
  </si>
  <si>
    <t>2055</t>
  </si>
  <si>
    <t>61788</t>
  </si>
  <si>
    <t>73264</t>
  </si>
  <si>
    <t>106648</t>
  </si>
  <si>
    <t>73253</t>
  </si>
  <si>
    <t>14068</t>
  </si>
  <si>
    <t>12968</t>
  </si>
  <si>
    <t>78534</t>
  </si>
  <si>
    <t>80545</t>
  </si>
  <si>
    <t>80520</t>
  </si>
  <si>
    <t>80556</t>
  </si>
  <si>
    <t>80559</t>
  </si>
  <si>
    <t>13035</t>
  </si>
  <si>
    <t>106632</t>
  </si>
  <si>
    <t>80574</t>
  </si>
  <si>
    <t>12929</t>
  </si>
  <si>
    <t>67909</t>
  </si>
  <si>
    <t>13324</t>
  </si>
  <si>
    <t>80999</t>
  </si>
  <si>
    <t>81004</t>
  </si>
  <si>
    <t>19794</t>
  </si>
  <si>
    <t>81681</t>
  </si>
  <si>
    <t>49441</t>
  </si>
  <si>
    <t xml:space="preserve"> 901643901</t>
  </si>
  <si>
    <t>2100BONIFI</t>
  </si>
  <si>
    <t>4826</t>
  </si>
  <si>
    <t>81661</t>
  </si>
  <si>
    <t>81675</t>
  </si>
  <si>
    <t>83272</t>
  </si>
  <si>
    <t>697222866</t>
  </si>
  <si>
    <t>82812</t>
  </si>
  <si>
    <t>26492</t>
  </si>
  <si>
    <t>26487</t>
  </si>
  <si>
    <t>49440</t>
  </si>
  <si>
    <t>22447</t>
  </si>
  <si>
    <t>13466</t>
  </si>
  <si>
    <t>105180</t>
  </si>
  <si>
    <t>105158</t>
  </si>
  <si>
    <t>88219</t>
  </si>
  <si>
    <t>191657</t>
  </si>
  <si>
    <t>13465</t>
  </si>
  <si>
    <t>13551</t>
  </si>
  <si>
    <t>13553</t>
  </si>
  <si>
    <t>191630</t>
  </si>
  <si>
    <t>13473</t>
  </si>
  <si>
    <t>13538</t>
  </si>
  <si>
    <t>83938</t>
  </si>
  <si>
    <t>5709</t>
  </si>
  <si>
    <t>5847</t>
  </si>
  <si>
    <t xml:space="preserve"> 923845501</t>
  </si>
  <si>
    <t>6003</t>
  </si>
  <si>
    <t>85602</t>
  </si>
  <si>
    <t>1002922301</t>
  </si>
  <si>
    <t>112464</t>
  </si>
  <si>
    <t>6265</t>
  </si>
  <si>
    <t>85989</t>
  </si>
  <si>
    <t>85958</t>
  </si>
  <si>
    <t>85952</t>
  </si>
  <si>
    <t>VC_FINANCEIRA</t>
  </si>
  <si>
    <t>VL_NOTAS</t>
  </si>
  <si>
    <t>VC_FORNECEDOR</t>
  </si>
  <si>
    <t># Resumo por cultura</t>
  </si>
  <si>
    <t>Cultura</t>
  </si>
  <si>
    <t>R$ / ha</t>
  </si>
  <si>
    <t>Área</t>
  </si>
  <si>
    <t>Custo Projetado</t>
  </si>
  <si>
    <t>%</t>
  </si>
  <si>
    <t>SOJA CONVENCIONAL</t>
  </si>
  <si>
    <t>SOJA RR</t>
  </si>
  <si>
    <t>SOJA SEMENTE RR</t>
  </si>
  <si>
    <t>SOJA SEMENTE CONVENCIONAL</t>
  </si>
  <si>
    <t>MILHO EM GRAOS</t>
  </si>
  <si>
    <t>MILHO SILAGEM</t>
  </si>
  <si>
    <t>ALGODAO</t>
  </si>
  <si>
    <t>GADO</t>
  </si>
  <si>
    <t>ARROZ</t>
  </si>
  <si>
    <t>BRAQUIARIA</t>
  </si>
  <si>
    <t>AREA EM ABERTURA</t>
  </si>
  <si>
    <t># Resumo por fazenda</t>
  </si>
  <si>
    <t>Fazenda</t>
  </si>
  <si>
    <t>08-CONF SAUDADES</t>
  </si>
  <si>
    <t>11-FAZ MARABA</t>
  </si>
  <si>
    <t># Resumo por cultura e fazenda</t>
  </si>
  <si>
    <t>FOLHA</t>
  </si>
  <si>
    <t>Area</t>
  </si>
  <si>
    <t>Custo Safra 16/17</t>
  </si>
  <si>
    <t>Perc%</t>
  </si>
  <si>
    <t>Grupo Masutti</t>
  </si>
  <si>
    <t>Claides Lazaretti Masutti e Outros</t>
  </si>
  <si>
    <t>CUSTO (ha)</t>
  </si>
  <si>
    <t>ÁREA</t>
  </si>
  <si>
    <t>TOTAL</t>
  </si>
  <si>
    <t>Total a Distribuir</t>
  </si>
  <si>
    <t>P  R  E  V  I  S   T  O     "U  N  I  D  A  D  E"</t>
  </si>
  <si>
    <t>Real Realizar/Realizado</t>
  </si>
  <si>
    <t xml:space="preserve">Dolar Realizado </t>
  </si>
  <si>
    <t>Dolar Realizar</t>
  </si>
  <si>
    <t>Dolar Realizado</t>
  </si>
  <si>
    <t>SOMA</t>
  </si>
  <si>
    <t>CULTURAS</t>
  </si>
  <si>
    <t>COMBUSTÍVEL</t>
  </si>
  <si>
    <t>P R E V I S T O "C U L T U R A"</t>
  </si>
  <si>
    <t>Algodão</t>
  </si>
  <si>
    <t>Resultado/Há</t>
  </si>
  <si>
    <t>Area plantada/há</t>
  </si>
  <si>
    <t>Produção @/há</t>
  </si>
  <si>
    <t>Total @</t>
  </si>
  <si>
    <t>Preço médio (US$)</t>
  </si>
  <si>
    <t>Receita projetada (US$)</t>
  </si>
  <si>
    <t>Nota</t>
  </si>
  <si>
    <t>Custo estimado/há</t>
  </si>
  <si>
    <t>Real Realizar/ Realizado R$</t>
  </si>
  <si>
    <t>Dolar Realizado R$</t>
  </si>
  <si>
    <t>Dolar Realizar R$</t>
  </si>
  <si>
    <t>Custo Final R$</t>
  </si>
  <si>
    <t>Safrinha</t>
  </si>
  <si>
    <t>Caroço de Algodão</t>
  </si>
  <si>
    <t>Produção kg/há</t>
  </si>
  <si>
    <t>Total kg</t>
  </si>
  <si>
    <t>Preço médio (R$)</t>
  </si>
  <si>
    <t>Receita projetada (R$)</t>
  </si>
  <si>
    <t>Soja</t>
  </si>
  <si>
    <t>Produção sc/há</t>
  </si>
  <si>
    <t>Total sc</t>
  </si>
  <si>
    <t>Preço médio (US$/R$)</t>
  </si>
  <si>
    <t>Receita projetada (US$/R$)</t>
  </si>
  <si>
    <t>Safra</t>
  </si>
  <si>
    <t>Milho</t>
  </si>
  <si>
    <t>Soja Semente</t>
  </si>
  <si>
    <t xml:space="preserve">Arroz </t>
  </si>
  <si>
    <t>Gado</t>
  </si>
  <si>
    <t>Quantidade Cabeças</t>
  </si>
  <si>
    <t>Produção @/cb</t>
  </si>
  <si>
    <t>Custo estimado/Cb</t>
  </si>
  <si>
    <t>Confinado</t>
  </si>
  <si>
    <t>Area em Abertura</t>
  </si>
  <si>
    <t>Quantidade há</t>
  </si>
  <si>
    <t xml:space="preserve">Produção </t>
  </si>
  <si>
    <t xml:space="preserve">Total </t>
  </si>
  <si>
    <t>Dolar Médio Faturamento   Soja</t>
  </si>
  <si>
    <t>Totais:</t>
  </si>
  <si>
    <t>Dolar Médio Faturamento   Algodão</t>
  </si>
  <si>
    <t>Faturamento em Dolar</t>
  </si>
  <si>
    <t xml:space="preserve">Faturamento em Real  </t>
  </si>
  <si>
    <t># Resultado Efeito de Balanço Exercicio Ano Civil</t>
  </si>
  <si>
    <t># Resultado Efeito de Balanço Exercicio produção safra  Safra</t>
  </si>
  <si>
    <t>(+) Receita Bruta 2016</t>
  </si>
  <si>
    <t>Juros Incorridos</t>
  </si>
  <si>
    <t>Juros Incorrer</t>
  </si>
  <si>
    <t># Resultado Efeito de Caixa Exercicio</t>
  </si>
  <si>
    <t>(-) Custo de Produção</t>
  </si>
  <si>
    <t>VC Incorridos exercicio</t>
  </si>
  <si>
    <t>VC Incorrer exercicio</t>
  </si>
  <si>
    <t>(+) Receita Bruta</t>
  </si>
  <si>
    <t>(-) Custo de Produção 2016</t>
  </si>
  <si>
    <t>(=) Resultado Bruto</t>
  </si>
  <si>
    <t>Financ Pagos</t>
  </si>
  <si>
    <t>Financ Pagar</t>
  </si>
  <si>
    <t>(-) Juros Exercicio</t>
  </si>
  <si>
    <t>Terras Pagas</t>
  </si>
  <si>
    <t>Terras a Pagar</t>
  </si>
  <si>
    <t>(-) VC Exercicio</t>
  </si>
  <si>
    <t xml:space="preserve">Retiradas </t>
  </si>
  <si>
    <t>A retirar</t>
  </si>
  <si>
    <t>(-) Retiradas Sócios</t>
  </si>
  <si>
    <t>Juros Incorridos até 2016</t>
  </si>
  <si>
    <t>Vc Incorrida ate 2016</t>
  </si>
  <si>
    <t>(=) Rsultado Op.</t>
  </si>
  <si>
    <t>(=) Caixa da Atividade</t>
  </si>
  <si>
    <t>(-) Juros Incorrido</t>
  </si>
  <si>
    <t>(-) Investimentos</t>
  </si>
  <si>
    <t>(-) VC Incorrido</t>
  </si>
  <si>
    <t xml:space="preserve">(-) Pgto Terras </t>
  </si>
  <si>
    <t>(=) Resultado Liquido</t>
  </si>
  <si>
    <t>(-) Pgto Fin. Exercicio</t>
  </si>
  <si>
    <t>(+) Captação Recursos</t>
  </si>
  <si>
    <t>Média Pagamentos</t>
  </si>
  <si>
    <t>(-) Pgto Terras Exercicio</t>
  </si>
  <si>
    <t>A Pagar</t>
  </si>
  <si>
    <t>(=) Lucro Líquido</t>
  </si>
  <si>
    <t>Média Projetada Pgtos</t>
  </si>
  <si>
    <t>CUSTO TOTAL POR HÁ/CULTURA</t>
  </si>
  <si>
    <t>INDIRETOS</t>
  </si>
  <si>
    <t>DESP. ADM COMISSÕES</t>
  </si>
  <si>
    <t>CUSTO X HECTARES - R$ E US$</t>
  </si>
  <si>
    <t>TOTAL R$</t>
  </si>
  <si>
    <t>TOTAL US$</t>
  </si>
  <si>
    <t>Nota* Informação da Lvaoura na formaçao do custo</t>
  </si>
  <si>
    <t>R$ x há realizado/realizar</t>
  </si>
  <si>
    <t>US$ x há realizado</t>
  </si>
  <si>
    <t>US$ x há à realizar</t>
  </si>
  <si>
    <t>os pedidos de insumos da scheila vai ser aplicado por apontamento</t>
  </si>
  <si>
    <t>=+gerencial</t>
  </si>
  <si>
    <t>falta</t>
  </si>
  <si>
    <t>% Distribuição</t>
  </si>
  <si>
    <t>Quadro - Projeção Custo Lavoura Safra 2016/2017</t>
  </si>
  <si>
    <t xml:space="preserve"> (-) = ATIVA</t>
  </si>
  <si>
    <t>CONFERE</t>
  </si>
  <si>
    <t>REALIZADO</t>
  </si>
  <si>
    <t>REALIZAR</t>
  </si>
  <si>
    <t>FALSO = OK</t>
  </si>
  <si>
    <t>RESUMO</t>
  </si>
  <si>
    <t>05 - FRETES</t>
  </si>
  <si>
    <t xml:space="preserve">tela para a projeção do custos dos fretes </t>
  </si>
  <si>
    <t>Em Qtde, R$ e US$</t>
  </si>
  <si>
    <t>FILIAIS</t>
  </si>
  <si>
    <t>VALOR R$</t>
  </si>
  <si>
    <t>Metodologia de Rateio</t>
  </si>
  <si>
    <t>Anual</t>
  </si>
  <si>
    <t>Total</t>
  </si>
  <si>
    <t>Soja Comercial</t>
  </si>
  <si>
    <t>sc/60</t>
  </si>
  <si>
    <t>@</t>
  </si>
  <si>
    <t>Mensalistas</t>
  </si>
  <si>
    <t>mensal</t>
  </si>
  <si>
    <t>Soma</t>
  </si>
  <si>
    <t>Soma:</t>
  </si>
  <si>
    <t># Algodão</t>
  </si>
  <si>
    <t>CULTURA</t>
  </si>
  <si>
    <t>01-FAZ SAUDADES</t>
  </si>
  <si>
    <t>Milho e Soja</t>
  </si>
  <si>
    <t>SOJA</t>
  </si>
  <si>
    <t>Arroz</t>
  </si>
  <si>
    <t># Exercicio 2017</t>
  </si>
  <si>
    <t>(+) Receita Bruta 2017</t>
  </si>
  <si>
    <t>(-) Custo de Produção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</si>
</sst>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0_ ;[Red]\-#,##0.00&quot; &quot;"/>
    <numFmt numFmtId="166" formatCode="0.0%"/>
    <numFmt numFmtId="167" formatCode="_-* #,##0_-;\-* #,##0_-;_-* &quot;-&quot;??_-;_-@_-"/>
    <numFmt numFmtId="168" formatCode="_-[$R$-416]\ * #,##0.0000_-;\-[$R$-416]\ * #,##0.0000_-;_-[$R$-416]\ * &quot;-&quot;??_-;_-@_-"/>
    <numFmt numFmtId="169" formatCode="[$-F800]dddd\,\ mmmm\ dd\,\ yyyy"/>
    <numFmt numFmtId="170" formatCode="00"/>
    <numFmt numFmtId="171" formatCode="_(* #,##0_);_(* \(#,##0\);_(* &quot;-&quot;??_);_(@_)"/>
    <numFmt numFmtId="172" formatCode="_-* #,##0_-;\-* #,##0_-;_-* \-??_-;_-@_-"/>
    <numFmt numFmtId="173" formatCode="_-[$$-409]* #,##0.00_ ;_-[$$-409]* \-#,##0.00\ ;_-[$$-409]* &quot;-&quot;??_ ;_-@_ "/>
    <numFmt numFmtId="174" formatCode="_-[$R$-416]\ * #,##0_-;\-[$R$-416]\ * #,##0_-;_-[$R$-416]\ * &quot;-&quot;??_-;_-@_-"/>
    <numFmt numFmtId="175" formatCode="_-[$R$-416]\ * #,##0.00_-;\-[$R$-416]\ * #,##0.00_-;_-[$R$-416]\ * &quot;-&quot;??_-;_-@_-"/>
    <numFmt numFmtId="176" formatCode="_-&quot;R$&quot;\ * #,##0.0000_-;\-&quot;R$&quot;\ * #,##0.0000_-;_-&quot;R$&quot;\ * &quot;-&quot;??_-;_-@_-"/>
    <numFmt numFmtId="177" formatCode="_-* #,##0.0000_-;\-* #,##0.0000_-;_-* &quot;-&quot;??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Kuro Medium"/>
      <family val="3"/>
    </font>
    <font>
      <b/>
      <sz val="11"/>
      <color theme="1"/>
      <name val="Kuro Medium"/>
      <family val="3"/>
    </font>
    <font>
      <b/>
      <sz val="11"/>
      <color theme="0" tint="-4.9989318521683403E-2"/>
      <name val="Kuro Medium"/>
      <family val="3"/>
    </font>
    <font>
      <b/>
      <sz val="22"/>
      <color indexed="8"/>
      <name val="Kuro Medium"/>
      <family val="3"/>
    </font>
    <font>
      <sz val="11"/>
      <color indexed="8"/>
      <name val="Kuro Medium"/>
      <family val="3"/>
    </font>
    <font>
      <b/>
      <sz val="14"/>
      <color indexed="8"/>
      <name val="Kuro Medium"/>
      <family val="3"/>
    </font>
    <font>
      <b/>
      <sz val="12"/>
      <color indexed="8"/>
      <name val="Kuro Medium"/>
      <family val="3"/>
    </font>
    <font>
      <b/>
      <sz val="11"/>
      <color indexed="8"/>
      <name val="Kuro Medium"/>
      <family val="3"/>
    </font>
    <font>
      <sz val="11"/>
      <color theme="0" tint="-4.9989318521683403E-2"/>
      <name val="Kuro Medium"/>
      <family val="3"/>
    </font>
    <font>
      <b/>
      <u/>
      <sz val="11"/>
      <color theme="0" tint="-4.9989318521683403E-2"/>
      <name val="Kuro Medium"/>
      <family val="3"/>
    </font>
    <font>
      <sz val="8"/>
      <color rgb="FFFF0000"/>
      <name val="Kuro Medium"/>
      <family val="3"/>
    </font>
    <font>
      <sz val="11"/>
      <color rgb="FFFF0000"/>
      <name val="Kuro Medium"/>
      <family val="3"/>
    </font>
    <font>
      <b/>
      <sz val="16"/>
      <color theme="0" tint="-4.9989318521683403E-2"/>
      <name val="Kuro Medium"/>
      <family val="3"/>
    </font>
    <font>
      <b/>
      <sz val="11"/>
      <name val="Kuro Medium"/>
      <family val="3"/>
    </font>
    <font>
      <sz val="11"/>
      <name val="Kuro Medium"/>
      <family val="3"/>
    </font>
    <font>
      <sz val="11"/>
      <color rgb="FF0000FF"/>
      <name val="Kuro Medium"/>
      <family val="3"/>
    </font>
    <font>
      <b/>
      <sz val="11"/>
      <color rgb="FFFF0000"/>
      <name val="Kuro Medium"/>
      <family val="3"/>
    </font>
    <font>
      <b/>
      <sz val="12"/>
      <color theme="0" tint="-4.9989318521683403E-2"/>
      <name val="Kuro Medium"/>
      <family val="3"/>
    </font>
    <font>
      <b/>
      <sz val="8"/>
      <color rgb="FFFF0000"/>
      <name val="Kuro Medium"/>
      <family val="3"/>
    </font>
    <font>
      <sz val="12"/>
      <color theme="1"/>
      <name val="Kuro Medium"/>
      <family val="3"/>
    </font>
    <font>
      <b/>
      <sz val="12"/>
      <color theme="1"/>
      <name val="Kuro Medium"/>
      <family val="3"/>
    </font>
    <font>
      <u/>
      <sz val="12"/>
      <color theme="1"/>
      <name val="Kuro Medium"/>
      <family val="3"/>
    </font>
    <font>
      <sz val="12"/>
      <color rgb="FFFF0000"/>
      <name val="Kuro Medium"/>
      <family val="3"/>
    </font>
    <font>
      <b/>
      <i/>
      <u/>
      <sz val="12"/>
      <color rgb="FFFF0000"/>
      <name val="Kuro Medium"/>
      <family val="3"/>
    </font>
    <font>
      <b/>
      <i/>
      <sz val="12"/>
      <color rgb="FFFF0000"/>
      <name val="Kuro Medium"/>
      <family val="3"/>
    </font>
    <font>
      <b/>
      <sz val="12"/>
      <color theme="0"/>
      <name val="Kuro Medium"/>
      <family val="3"/>
    </font>
    <font>
      <b/>
      <u/>
      <sz val="12"/>
      <color theme="0"/>
      <name val="Kuro Medium"/>
      <family val="3"/>
    </font>
    <font>
      <sz val="12"/>
      <color theme="0" tint="-4.9989318521683403E-2"/>
      <name val="Kuro Medium"/>
      <family val="3"/>
    </font>
    <font>
      <sz val="12"/>
      <name val="Kuro Medium"/>
      <family val="3"/>
    </font>
    <font>
      <b/>
      <sz val="12"/>
      <name val="Kuro Medium"/>
      <family val="3"/>
    </font>
    <font>
      <sz val="12"/>
      <color indexed="9"/>
      <name val="Kuro Medium"/>
      <family val="3"/>
    </font>
    <font>
      <sz val="11"/>
      <color indexed="9"/>
      <name val="Kuro Medium"/>
      <family val="3"/>
    </font>
    <font>
      <b/>
      <sz val="12"/>
      <color indexed="9"/>
      <name val="Kuro Medium"/>
      <family val="3"/>
    </font>
    <font>
      <sz val="10"/>
      <color indexed="8"/>
      <name val="Kuro Medium"/>
      <family val="3"/>
    </font>
    <font>
      <sz val="10"/>
      <color theme="1"/>
      <name val="Kuro Medium"/>
      <family val="3"/>
    </font>
    <font>
      <sz val="12"/>
      <color theme="0"/>
      <name val="Kuro Medium"/>
      <family val="3"/>
    </font>
    <font>
      <sz val="11"/>
      <color theme="0"/>
      <name val="Kuro Medium"/>
      <family val="3"/>
    </font>
    <font>
      <sz val="12"/>
      <color indexed="8"/>
      <name val="Kuro Medium"/>
      <family val="3"/>
    </font>
    <font>
      <u/>
      <sz val="11"/>
      <color theme="0" tint="-4.9989318521683403E-2"/>
      <name val="Kuro Medium"/>
      <family val="3"/>
    </font>
    <font>
      <u/>
      <sz val="11"/>
      <color rgb="FFC00000"/>
      <name val="Kuro Medium"/>
      <family val="3"/>
    </font>
    <font>
      <b/>
      <sz val="14"/>
      <color theme="1"/>
      <name val="Kuro Medium"/>
      <family val="3"/>
    </font>
    <font>
      <b/>
      <sz val="11"/>
      <color theme="0"/>
      <name val="Kuro Medium"/>
      <family val="3"/>
    </font>
    <font>
      <i/>
      <sz val="11"/>
      <color theme="1"/>
      <name val="Kuro Medium"/>
      <family val="3"/>
    </font>
    <font>
      <b/>
      <i/>
      <sz val="11"/>
      <color theme="1"/>
      <name val="Kuro Medium"/>
      <family val="3"/>
    </font>
  </fonts>
  <fills count="14">
    <fill>
      <patternFill patternType="none"/>
    </fill>
    <fill>
      <patternFill patternType="gray125"/>
    </fill>
    <fill>
      <patternFill patternType="solid">
        <fgColor rgb="FF004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442"/>
        <bgColor indexed="59"/>
      </patternFill>
    </fill>
    <fill>
      <patternFill patternType="solid">
        <fgColor rgb="FF008080"/>
        <bgColor indexed="23"/>
      </patternFill>
    </fill>
    <fill>
      <patternFill patternType="solid">
        <fgColor theme="0"/>
        <bgColor indexed="23"/>
      </patternFill>
    </fill>
    <fill>
      <patternFill patternType="solid">
        <fgColor rgb="FF004949"/>
        <bgColor indexed="2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2" fillId="0" borderId="0"/>
    <xf numFmtId="168" fontId="3" fillId="0" borderId="0" applyNumberFormat="0" applyFill="0" applyBorder="0" applyAlignment="0" applyProtection="0"/>
    <xf numFmtId="168" fontId="4" fillId="0" borderId="0"/>
    <xf numFmtId="168" fontId="2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55">
    <xf numFmtId="0" fontId="0" fillId="0" borderId="0" xfId="0"/>
    <xf numFmtId="22" fontId="0" fillId="0" borderId="0" xfId="0" applyNumberFormat="1"/>
    <xf numFmtId="43" fontId="0" fillId="0" borderId="0" xfId="1" applyFont="1"/>
    <xf numFmtId="0" fontId="5" fillId="0" borderId="0" xfId="0" applyFont="1" applyBorder="1" applyProtection="1">
      <protection hidden="1"/>
    </xf>
    <xf numFmtId="0" fontId="6" fillId="0" borderId="0" xfId="0" applyFont="1" applyBorder="1" applyAlignment="1" applyProtection="1">
      <alignment vertical="center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5" fillId="0" borderId="0" xfId="0" applyFont="1"/>
    <xf numFmtId="168" fontId="9" fillId="0" borderId="0" xfId="4" applyFont="1" applyBorder="1"/>
    <xf numFmtId="0" fontId="6" fillId="0" borderId="0" xfId="0" applyFont="1" applyBorder="1" applyProtection="1">
      <protection hidden="1"/>
    </xf>
    <xf numFmtId="168" fontId="10" fillId="0" borderId="0" xfId="4" applyFont="1" applyBorder="1"/>
    <xf numFmtId="168" fontId="11" fillId="0" borderId="2" xfId="4" applyFont="1" applyBorder="1"/>
    <xf numFmtId="168" fontId="12" fillId="0" borderId="2" xfId="4" applyFont="1" applyBorder="1"/>
    <xf numFmtId="168" fontId="9" fillId="0" borderId="2" xfId="4" applyFont="1" applyBorder="1"/>
    <xf numFmtId="168" fontId="9" fillId="0" borderId="3" xfId="4" applyFont="1" applyBorder="1"/>
    <xf numFmtId="0" fontId="13" fillId="0" borderId="0" xfId="0" applyFont="1" applyFill="1" applyBorder="1" applyProtection="1">
      <protection hidden="1"/>
    </xf>
    <xf numFmtId="0" fontId="6" fillId="0" borderId="4" xfId="0" applyFont="1" applyBorder="1" applyProtection="1">
      <protection hidden="1"/>
    </xf>
    <xf numFmtId="170" fontId="14" fillId="2" borderId="4" xfId="5" applyNumberFormat="1" applyFont="1" applyFill="1" applyBorder="1" applyAlignment="1" applyProtection="1">
      <alignment horizontal="center"/>
      <protection hidden="1"/>
    </xf>
    <xf numFmtId="170" fontId="7" fillId="2" borderId="4" xfId="0" applyNumberFormat="1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Protection="1">
      <protection hidden="1"/>
    </xf>
    <xf numFmtId="0" fontId="7" fillId="3" borderId="4" xfId="0" applyFont="1" applyFill="1" applyBorder="1" applyAlignment="1" applyProtection="1">
      <alignment horizontal="center" vertical="center"/>
      <protection hidden="1"/>
    </xf>
    <xf numFmtId="0" fontId="7" fillId="3" borderId="4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Protection="1">
      <protection locked="0"/>
    </xf>
    <xf numFmtId="0" fontId="15" fillId="3" borderId="4" xfId="0" applyFont="1" applyFill="1" applyBorder="1" applyAlignment="1" applyProtection="1">
      <alignment horizontal="left" vertical="center"/>
      <protection hidden="1"/>
    </xf>
    <xf numFmtId="167" fontId="15" fillId="3" borderId="4" xfId="1" applyNumberFormat="1" applyFont="1" applyFill="1" applyBorder="1" applyAlignment="1" applyProtection="1">
      <alignment horizontal="center"/>
      <protection hidden="1"/>
    </xf>
    <xf numFmtId="167" fontId="7" fillId="3" borderId="4" xfId="1" applyNumberFormat="1" applyFont="1" applyFill="1" applyBorder="1" applyAlignment="1" applyProtection="1">
      <alignment horizontal="center"/>
      <protection hidden="1"/>
    </xf>
    <xf numFmtId="167" fontId="7" fillId="3" borderId="4" xfId="1" applyNumberFormat="1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Protection="1"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7" fillId="0" borderId="4" xfId="0" applyFont="1" applyFill="1" applyBorder="1" applyAlignment="1" applyProtection="1">
      <alignment horizontal="center" vertical="center"/>
      <protection hidden="1"/>
    </xf>
    <xf numFmtId="10" fontId="15" fillId="0" borderId="4" xfId="0" applyNumberFormat="1" applyFont="1" applyBorder="1" applyProtection="1">
      <protection hidden="1"/>
    </xf>
    <xf numFmtId="167" fontId="16" fillId="0" borderId="4" xfId="1" applyNumberFormat="1" applyFont="1" applyBorder="1" applyProtection="1">
      <protection hidden="1"/>
    </xf>
    <xf numFmtId="167" fontId="15" fillId="0" borderId="4" xfId="1" applyNumberFormat="1" applyFont="1" applyBorder="1" applyProtection="1">
      <protection hidden="1"/>
    </xf>
    <xf numFmtId="167" fontId="15" fillId="0" borderId="4" xfId="1" quotePrefix="1" applyNumberFormat="1" applyFont="1" applyBorder="1" applyProtection="1">
      <protection hidden="1"/>
    </xf>
    <xf numFmtId="167" fontId="5" fillId="0" borderId="4" xfId="1" applyNumberFormat="1" applyFont="1" applyBorder="1" applyProtection="1"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0" fontId="18" fillId="12" borderId="4" xfId="0" applyFont="1" applyFill="1" applyBorder="1" applyProtection="1">
      <protection hidden="1"/>
    </xf>
    <xf numFmtId="167" fontId="18" fillId="12" borderId="4" xfId="1" applyNumberFormat="1" applyFont="1" applyFill="1" applyBorder="1" applyProtection="1">
      <protection hidden="1"/>
    </xf>
    <xf numFmtId="43" fontId="18" fillId="12" borderId="4" xfId="1" applyFont="1" applyFill="1" applyBorder="1" applyProtection="1">
      <protection hidden="1"/>
    </xf>
    <xf numFmtId="0" fontId="19" fillId="6" borderId="4" xfId="0" applyFont="1" applyFill="1" applyBorder="1" applyProtection="1">
      <protection hidden="1"/>
    </xf>
    <xf numFmtId="167" fontId="19" fillId="6" borderId="4" xfId="1" applyNumberFormat="1" applyFont="1" applyFill="1" applyBorder="1" applyProtection="1">
      <protection hidden="1"/>
    </xf>
    <xf numFmtId="166" fontId="19" fillId="6" borderId="4" xfId="3" applyNumberFormat="1" applyFont="1" applyFill="1" applyBorder="1" applyProtection="1">
      <protection hidden="1"/>
    </xf>
    <xf numFmtId="43" fontId="19" fillId="6" borderId="4" xfId="1" applyFont="1" applyFill="1" applyBorder="1" applyProtection="1">
      <protection hidden="1"/>
    </xf>
    <xf numFmtId="0" fontId="18" fillId="3" borderId="4" xfId="0" applyFont="1" applyFill="1" applyBorder="1" applyProtection="1">
      <protection hidden="1"/>
    </xf>
    <xf numFmtId="167" fontId="18" fillId="3" borderId="4" xfId="1" applyNumberFormat="1" applyFont="1" applyFill="1" applyBorder="1" applyProtection="1">
      <protection hidden="1"/>
    </xf>
    <xf numFmtId="43" fontId="18" fillId="3" borderId="4" xfId="1" applyFont="1" applyFill="1" applyBorder="1" applyProtection="1">
      <protection hidden="1"/>
    </xf>
    <xf numFmtId="0" fontId="19" fillId="7" borderId="4" xfId="0" applyFont="1" applyFill="1" applyBorder="1" applyProtection="1">
      <protection hidden="1"/>
    </xf>
    <xf numFmtId="167" fontId="19" fillId="7" borderId="4" xfId="1" applyNumberFormat="1" applyFont="1" applyFill="1" applyBorder="1" applyProtection="1">
      <protection hidden="1"/>
    </xf>
    <xf numFmtId="43" fontId="16" fillId="7" borderId="4" xfId="1" applyFont="1" applyFill="1" applyBorder="1" applyProtection="1">
      <protection hidden="1"/>
    </xf>
    <xf numFmtId="43" fontId="19" fillId="7" borderId="4" xfId="1" applyFont="1" applyFill="1" applyBorder="1" applyProtection="1">
      <protection hidden="1"/>
    </xf>
    <xf numFmtId="167" fontId="20" fillId="7" borderId="4" xfId="1" applyNumberFormat="1" applyFont="1" applyFill="1" applyBorder="1" applyProtection="1">
      <protection hidden="1"/>
    </xf>
    <xf numFmtId="0" fontId="5" fillId="3" borderId="4" xfId="0" applyFont="1" applyFill="1" applyBorder="1" applyProtection="1">
      <protection hidden="1"/>
    </xf>
    <xf numFmtId="0" fontId="7" fillId="3" borderId="4" xfId="0" applyFont="1" applyFill="1" applyBorder="1" applyAlignment="1" applyProtection="1">
      <alignment horizontal="center" vertical="center" textRotation="90" wrapText="1"/>
      <protection hidden="1"/>
    </xf>
    <xf numFmtId="0" fontId="19" fillId="3" borderId="4" xfId="0" applyFont="1" applyFill="1" applyBorder="1" applyProtection="1">
      <protection hidden="1"/>
    </xf>
    <xf numFmtId="166" fontId="19" fillId="3" borderId="4" xfId="3" applyNumberFormat="1" applyFont="1" applyFill="1" applyBorder="1" applyProtection="1">
      <protection hidden="1"/>
    </xf>
    <xf numFmtId="0" fontId="5" fillId="3" borderId="0" xfId="0" applyFont="1" applyFill="1"/>
    <xf numFmtId="167" fontId="19" fillId="3" borderId="4" xfId="1" applyNumberFormat="1" applyFont="1" applyFill="1" applyBorder="1" applyProtection="1">
      <protection hidden="1"/>
    </xf>
    <xf numFmtId="43" fontId="19" fillId="3" borderId="4" xfId="1" applyFont="1" applyFill="1" applyBorder="1" applyProtection="1">
      <protection hidden="1"/>
    </xf>
    <xf numFmtId="0" fontId="5" fillId="0" borderId="4" xfId="0" applyFont="1" applyFill="1" applyBorder="1" applyProtection="1">
      <protection hidden="1"/>
    </xf>
    <xf numFmtId="43" fontId="18" fillId="3" borderId="4" xfId="1" applyNumberFormat="1" applyFont="1" applyFill="1" applyBorder="1" applyProtection="1">
      <protection hidden="1"/>
    </xf>
    <xf numFmtId="0" fontId="6" fillId="0" borderId="4" xfId="0" applyFont="1" applyFill="1" applyBorder="1" applyAlignment="1" applyProtection="1">
      <alignment horizontal="center" vertical="center" textRotation="90" wrapText="1"/>
      <protection hidden="1"/>
    </xf>
    <xf numFmtId="43" fontId="16" fillId="3" borderId="4" xfId="1" applyFont="1" applyFill="1" applyBorder="1" applyProtection="1">
      <protection hidden="1"/>
    </xf>
    <xf numFmtId="0" fontId="6" fillId="0" borderId="4" xfId="0" applyFont="1" applyFill="1" applyBorder="1" applyAlignment="1" applyProtection="1">
      <alignment horizontal="center"/>
      <protection hidden="1"/>
    </xf>
    <xf numFmtId="0" fontId="7" fillId="0" borderId="4" xfId="0" applyFont="1" applyFill="1" applyBorder="1" applyAlignment="1" applyProtection="1">
      <alignment horizontal="center"/>
      <protection hidden="1"/>
    </xf>
    <xf numFmtId="0" fontId="13" fillId="0" borderId="4" xfId="0" applyFont="1" applyFill="1" applyBorder="1" applyProtection="1">
      <protection hidden="1"/>
    </xf>
    <xf numFmtId="0" fontId="16" fillId="0" borderId="4" xfId="0" applyFont="1" applyBorder="1" applyProtection="1">
      <protection hidden="1"/>
    </xf>
    <xf numFmtId="43" fontId="16" fillId="0" borderId="4" xfId="1" applyFont="1" applyBorder="1" applyProtection="1">
      <protection hidden="1"/>
    </xf>
    <xf numFmtId="0" fontId="13" fillId="0" borderId="4" xfId="0" applyFont="1" applyBorder="1" applyProtection="1">
      <protection hidden="1"/>
    </xf>
    <xf numFmtId="171" fontId="16" fillId="0" borderId="4" xfId="1" applyNumberFormat="1" applyFont="1" applyBorder="1" applyProtection="1">
      <protection hidden="1"/>
    </xf>
    <xf numFmtId="0" fontId="18" fillId="6" borderId="4" xfId="0" applyFont="1" applyFill="1" applyBorder="1" applyProtection="1">
      <protection hidden="1"/>
    </xf>
    <xf numFmtId="167" fontId="18" fillId="6" borderId="4" xfId="1" applyNumberFormat="1" applyFont="1" applyFill="1" applyBorder="1" applyProtection="1">
      <protection hidden="1"/>
    </xf>
    <xf numFmtId="43" fontId="18" fillId="6" borderId="4" xfId="1" applyFont="1" applyFill="1" applyBorder="1" applyProtection="1">
      <protection hidden="1"/>
    </xf>
    <xf numFmtId="0" fontId="18" fillId="0" borderId="4" xfId="0" applyFont="1" applyBorder="1" applyProtection="1">
      <protection hidden="1"/>
    </xf>
    <xf numFmtId="167" fontId="21" fillId="0" borderId="4" xfId="1" applyNumberFormat="1" applyFont="1" applyBorder="1" applyProtection="1">
      <protection hidden="1"/>
    </xf>
    <xf numFmtId="10" fontId="23" fillId="0" borderId="4" xfId="3" applyNumberFormat="1" applyFont="1" applyBorder="1" applyProtection="1">
      <protection hidden="1"/>
    </xf>
    <xf numFmtId="43" fontId="23" fillId="0" borderId="4" xfId="1" applyFont="1" applyBorder="1" applyProtection="1">
      <protection hidden="1"/>
    </xf>
    <xf numFmtId="43" fontId="21" fillId="0" borderId="4" xfId="1" applyFont="1" applyBorder="1" applyProtection="1">
      <protection hidden="1"/>
    </xf>
    <xf numFmtId="167" fontId="5" fillId="7" borderId="4" xfId="1" applyNumberFormat="1" applyFont="1" applyFill="1" applyBorder="1" applyProtection="1">
      <protection hidden="1"/>
    </xf>
    <xf numFmtId="0" fontId="6" fillId="3" borderId="4" xfId="0" applyFont="1" applyFill="1" applyBorder="1" applyAlignment="1" applyProtection="1">
      <alignment horizontal="center" vertical="center" textRotation="90" wrapText="1"/>
      <protection hidden="1"/>
    </xf>
    <xf numFmtId="0" fontId="7" fillId="4" borderId="4" xfId="0" applyFont="1" applyFill="1" applyBorder="1" applyAlignment="1" applyProtection="1">
      <alignment horizontal="center"/>
      <protection hidden="1"/>
    </xf>
    <xf numFmtId="167" fontId="7" fillId="4" borderId="4" xfId="1" applyNumberFormat="1" applyFont="1" applyFill="1" applyBorder="1" applyAlignment="1" applyProtection="1">
      <alignment vertical="center"/>
      <protection hidden="1"/>
    </xf>
    <xf numFmtId="43" fontId="7" fillId="4" borderId="4" xfId="1" applyFont="1" applyFill="1" applyBorder="1" applyAlignment="1" applyProtection="1">
      <alignment vertical="center"/>
      <protection hidden="1"/>
    </xf>
    <xf numFmtId="0" fontId="5" fillId="0" borderId="0" xfId="0" applyFont="1" applyBorder="1" applyProtection="1">
      <protection locked="0"/>
    </xf>
    <xf numFmtId="0" fontId="13" fillId="0" borderId="0" xfId="0" applyFont="1" applyFill="1" applyBorder="1" applyProtection="1">
      <protection locked="0"/>
    </xf>
    <xf numFmtId="171" fontId="15" fillId="0" borderId="0" xfId="0" applyNumberFormat="1" applyFont="1" applyBorder="1" applyProtection="1">
      <protection locked="0"/>
    </xf>
    <xf numFmtId="0" fontId="19" fillId="0" borderId="0" xfId="0" applyFont="1" applyBorder="1" applyAlignment="1" applyProtection="1">
      <alignment horizontal="left"/>
      <protection locked="0"/>
    </xf>
    <xf numFmtId="0" fontId="24" fillId="0" borderId="0" xfId="0" applyFont="1"/>
    <xf numFmtId="0" fontId="25" fillId="0" borderId="0" xfId="0" applyFont="1"/>
    <xf numFmtId="0" fontId="26" fillId="0" borderId="0" xfId="0" applyFont="1"/>
    <xf numFmtId="9" fontId="24" fillId="0" borderId="0" xfId="3" applyFont="1"/>
    <xf numFmtId="0" fontId="27" fillId="0" borderId="1" xfId="0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27" fillId="0" borderId="0" xfId="0" applyFont="1"/>
    <xf numFmtId="43" fontId="24" fillId="0" borderId="0" xfId="1" applyFont="1" applyBorder="1"/>
    <xf numFmtId="14" fontId="24" fillId="3" borderId="0" xfId="1" applyNumberFormat="1" applyFont="1" applyFill="1" applyBorder="1"/>
    <xf numFmtId="9" fontId="24" fillId="0" borderId="0" xfId="3" applyFont="1" applyBorder="1"/>
    <xf numFmtId="0" fontId="3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43" fontId="30" fillId="2" borderId="0" xfId="1" applyFont="1" applyFill="1" applyAlignment="1">
      <alignment horizontal="center" vertical="center"/>
    </xf>
    <xf numFmtId="166" fontId="32" fillId="2" borderId="0" xfId="3" applyNumberFormat="1" applyFont="1" applyFill="1"/>
    <xf numFmtId="9" fontId="5" fillId="0" borderId="0" xfId="3" applyFont="1"/>
    <xf numFmtId="0" fontId="24" fillId="3" borderId="0" xfId="0" applyFont="1" applyFill="1"/>
    <xf numFmtId="165" fontId="24" fillId="3" borderId="0" xfId="1" applyNumberFormat="1" applyFont="1" applyFill="1" applyBorder="1"/>
    <xf numFmtId="10" fontId="24" fillId="3" borderId="0" xfId="3" applyNumberFormat="1" applyFont="1" applyFill="1" applyBorder="1"/>
    <xf numFmtId="0" fontId="24" fillId="3" borderId="1" xfId="0" applyFont="1" applyFill="1" applyBorder="1"/>
    <xf numFmtId="43" fontId="33" fillId="3" borderId="1" xfId="1" applyFont="1" applyFill="1" applyBorder="1"/>
    <xf numFmtId="43" fontId="24" fillId="3" borderId="1" xfId="1" applyFont="1" applyFill="1" applyBorder="1"/>
    <xf numFmtId="166" fontId="24" fillId="3" borderId="1" xfId="3" applyNumberFormat="1" applyFont="1" applyFill="1" applyBorder="1"/>
    <xf numFmtId="10" fontId="24" fillId="0" borderId="0" xfId="0" applyNumberFormat="1" applyFont="1"/>
    <xf numFmtId="165" fontId="24" fillId="0" borderId="0" xfId="0" applyNumberFormat="1" applyFont="1"/>
    <xf numFmtId="0" fontId="27" fillId="3" borderId="0" xfId="0" applyFont="1" applyFill="1"/>
    <xf numFmtId="165" fontId="27" fillId="3" borderId="0" xfId="1" applyNumberFormat="1" applyFont="1" applyFill="1" applyBorder="1"/>
    <xf numFmtId="10" fontId="27" fillId="3" borderId="0" xfId="3" applyNumberFormat="1" applyFont="1" applyFill="1" applyBorder="1"/>
    <xf numFmtId="49" fontId="24" fillId="3" borderId="1" xfId="0" applyNumberFormat="1" applyFont="1" applyFill="1" applyBorder="1"/>
    <xf numFmtId="164" fontId="30" fillId="4" borderId="0" xfId="0" applyNumberFormat="1" applyFont="1" applyFill="1" applyAlignment="1">
      <alignment horizontal="center" vertical="center"/>
    </xf>
    <xf numFmtId="9" fontId="30" fillId="4" borderId="0" xfId="3" applyFont="1" applyFill="1" applyAlignment="1">
      <alignment horizontal="right" vertical="center"/>
    </xf>
    <xf numFmtId="43" fontId="24" fillId="3" borderId="0" xfId="1" applyFont="1" applyFill="1" applyBorder="1"/>
    <xf numFmtId="167" fontId="24" fillId="0" borderId="0" xfId="1" applyNumberFormat="1" applyFont="1"/>
    <xf numFmtId="0" fontId="24" fillId="3" borderId="0" xfId="0" applyFont="1" applyFill="1" applyBorder="1"/>
    <xf numFmtId="0" fontId="30" fillId="4" borderId="0" xfId="0" applyFont="1" applyFill="1" applyAlignment="1">
      <alignment horizontal="center" vertical="center"/>
    </xf>
    <xf numFmtId="164" fontId="30" fillId="3" borderId="1" xfId="0" applyNumberFormat="1" applyFont="1" applyFill="1" applyBorder="1" applyAlignment="1">
      <alignment horizontal="center" vertical="center"/>
    </xf>
    <xf numFmtId="164" fontId="34" fillId="3" borderId="1" xfId="0" applyNumberFormat="1" applyFont="1" applyFill="1" applyBorder="1" applyAlignment="1">
      <alignment horizontal="center" vertical="center"/>
    </xf>
    <xf numFmtId="9" fontId="24" fillId="3" borderId="1" xfId="3" applyFont="1" applyFill="1" applyBorder="1"/>
    <xf numFmtId="168" fontId="12" fillId="0" borderId="0" xfId="6" applyFont="1" applyBorder="1"/>
    <xf numFmtId="9" fontId="9" fillId="0" borderId="3" xfId="3" applyFont="1" applyBorder="1"/>
    <xf numFmtId="168" fontId="9" fillId="0" borderId="0" xfId="6" applyFont="1" applyBorder="1"/>
    <xf numFmtId="168" fontId="9" fillId="0" borderId="0" xfId="6" applyNumberFormat="1" applyFont="1" applyBorder="1"/>
    <xf numFmtId="168" fontId="5" fillId="0" borderId="0" xfId="6" applyFont="1"/>
    <xf numFmtId="168" fontId="35" fillId="8" borderId="0" xfId="7" applyFont="1" applyFill="1" applyBorder="1" applyAlignment="1">
      <alignment horizontal="left" vertical="center" wrapText="1"/>
    </xf>
    <xf numFmtId="168" fontId="36" fillId="8" borderId="0" xfId="7" applyFont="1" applyFill="1" applyBorder="1" applyAlignment="1">
      <alignment horizontal="left" vertical="center" wrapText="1"/>
    </xf>
    <xf numFmtId="168" fontId="36" fillId="8" borderId="0" xfId="7" applyNumberFormat="1" applyFont="1" applyFill="1" applyBorder="1" applyAlignment="1">
      <alignment horizontal="left" vertical="center" wrapText="1"/>
    </xf>
    <xf numFmtId="168" fontId="10" fillId="0" borderId="0" xfId="6" applyFont="1" applyBorder="1"/>
    <xf numFmtId="168" fontId="9" fillId="0" borderId="0" xfId="6" applyFont="1"/>
    <xf numFmtId="168" fontId="9" fillId="0" borderId="10" xfId="6" applyFont="1" applyBorder="1" applyAlignment="1">
      <alignment horizontal="center"/>
    </xf>
    <xf numFmtId="168" fontId="9" fillId="0" borderId="0" xfId="6" applyFont="1" applyBorder="1" applyAlignment="1">
      <alignment horizontal="center"/>
    </xf>
    <xf numFmtId="168" fontId="9" fillId="0" borderId="10" xfId="6" applyNumberFormat="1" applyFont="1" applyBorder="1" applyAlignment="1">
      <alignment horizontal="center"/>
    </xf>
    <xf numFmtId="168" fontId="9" fillId="0" borderId="0" xfId="6" applyNumberFormat="1" applyFont="1" applyBorder="1" applyAlignment="1">
      <alignment horizontal="center"/>
    </xf>
    <xf numFmtId="168" fontId="9" fillId="0" borderId="0" xfId="6" applyNumberFormat="1" applyFont="1"/>
    <xf numFmtId="172" fontId="9" fillId="0" borderId="0" xfId="8" applyNumberFormat="1" applyFont="1" applyFill="1" applyBorder="1" applyAlignment="1" applyProtection="1"/>
    <xf numFmtId="164" fontId="9" fillId="0" borderId="0" xfId="8" applyFont="1" applyFill="1" applyBorder="1" applyAlignment="1" applyProtection="1"/>
    <xf numFmtId="173" fontId="9" fillId="0" borderId="0" xfId="8" applyNumberFormat="1" applyFont="1" applyFill="1" applyBorder="1" applyAlignment="1" applyProtection="1"/>
    <xf numFmtId="168" fontId="9" fillId="0" borderId="0" xfId="8" applyNumberFormat="1" applyFont="1" applyFill="1" applyBorder="1" applyAlignment="1" applyProtection="1"/>
    <xf numFmtId="174" fontId="9" fillId="0" borderId="0" xfId="8" applyNumberFormat="1" applyFont="1" applyFill="1" applyBorder="1" applyAlignment="1" applyProtection="1"/>
    <xf numFmtId="164" fontId="5" fillId="0" borderId="0" xfId="8" applyFont="1"/>
    <xf numFmtId="168" fontId="12" fillId="0" borderId="0" xfId="6" applyNumberFormat="1" applyFont="1" applyBorder="1"/>
    <xf numFmtId="164" fontId="5" fillId="0" borderId="0" xfId="6" applyNumberFormat="1" applyFont="1"/>
    <xf numFmtId="168" fontId="35" fillId="8" borderId="0" xfId="7" applyFont="1" applyFill="1" applyBorder="1" applyAlignment="1">
      <alignment horizontal="left" vertical="center"/>
    </xf>
    <xf numFmtId="168" fontId="37" fillId="8" borderId="0" xfId="7" applyFont="1" applyFill="1" applyBorder="1" applyAlignment="1">
      <alignment horizontal="left" vertical="center"/>
    </xf>
    <xf numFmtId="168" fontId="37" fillId="8" borderId="0" xfId="7" applyNumberFormat="1" applyFont="1" applyFill="1" applyBorder="1" applyAlignment="1">
      <alignment horizontal="left" vertical="center"/>
    </xf>
    <xf numFmtId="175" fontId="9" fillId="0" borderId="0" xfId="8" applyNumberFormat="1" applyFont="1" applyFill="1" applyBorder="1" applyAlignment="1" applyProtection="1"/>
    <xf numFmtId="175" fontId="12" fillId="0" borderId="0" xfId="6" applyNumberFormat="1" applyFont="1" applyBorder="1"/>
    <xf numFmtId="175" fontId="9" fillId="0" borderId="0" xfId="1" applyNumberFormat="1" applyFont="1" applyFill="1" applyBorder="1" applyAlignment="1" applyProtection="1"/>
    <xf numFmtId="168" fontId="35" fillId="8" borderId="0" xfId="7" applyNumberFormat="1" applyFont="1" applyFill="1" applyBorder="1" applyAlignment="1">
      <alignment horizontal="left" vertical="center"/>
    </xf>
    <xf numFmtId="173" fontId="12" fillId="0" borderId="0" xfId="6" applyNumberFormat="1" applyFont="1" applyBorder="1"/>
    <xf numFmtId="44" fontId="9" fillId="0" borderId="0" xfId="2" applyFont="1" applyFill="1" applyBorder="1" applyAlignment="1" applyProtection="1"/>
    <xf numFmtId="44" fontId="9" fillId="0" borderId="0" xfId="2" applyFont="1" applyFill="1" applyBorder="1" applyAlignment="1" applyProtection="1">
      <alignment horizontal="right"/>
    </xf>
    <xf numFmtId="168" fontId="9" fillId="0" borderId="0" xfId="8" applyNumberFormat="1" applyFont="1" applyFill="1" applyBorder="1" applyAlignment="1" applyProtection="1">
      <alignment horizontal="right"/>
    </xf>
    <xf numFmtId="175" fontId="9" fillId="0" borderId="0" xfId="8" applyNumberFormat="1" applyFont="1" applyFill="1" applyBorder="1" applyAlignment="1" applyProtection="1">
      <alignment horizontal="right"/>
    </xf>
    <xf numFmtId="168" fontId="9" fillId="0" borderId="0" xfId="8" applyNumberFormat="1" applyFont="1" applyFill="1" applyBorder="1" applyAlignment="1" applyProtection="1">
      <alignment horizontal="center"/>
    </xf>
    <xf numFmtId="168" fontId="12" fillId="3" borderId="0" xfId="6" applyFont="1" applyFill="1" applyBorder="1"/>
    <xf numFmtId="168" fontId="9" fillId="3" borderId="0" xfId="6" applyFont="1" applyFill="1"/>
    <xf numFmtId="164" fontId="12" fillId="0" borderId="0" xfId="6" applyNumberFormat="1" applyFont="1" applyBorder="1" applyAlignment="1">
      <alignment horizontal="center"/>
    </xf>
    <xf numFmtId="168" fontId="30" fillId="9" borderId="0" xfId="6" applyFont="1" applyFill="1" applyBorder="1"/>
    <xf numFmtId="168" fontId="30" fillId="10" borderId="0" xfId="6" applyFont="1" applyFill="1" applyBorder="1"/>
    <xf numFmtId="174" fontId="30" fillId="9" borderId="0" xfId="6" applyNumberFormat="1" applyFont="1" applyFill="1" applyBorder="1"/>
    <xf numFmtId="168" fontId="30" fillId="9" borderId="0" xfId="6" applyNumberFormat="1" applyFont="1" applyFill="1" applyBorder="1"/>
    <xf numFmtId="168" fontId="40" fillId="0" borderId="0" xfId="6" applyFont="1" applyBorder="1"/>
    <xf numFmtId="168" fontId="40" fillId="3" borderId="0" xfId="6" applyFont="1" applyFill="1" applyBorder="1"/>
    <xf numFmtId="168" fontId="9" fillId="0" borderId="0" xfId="6" applyFont="1" applyBorder="1" applyAlignment="1">
      <alignment horizontal="right" indent="2"/>
    </xf>
    <xf numFmtId="168" fontId="38" fillId="0" borderId="0" xfId="6" applyFont="1" applyBorder="1"/>
    <xf numFmtId="168" fontId="40" fillId="3" borderId="0" xfId="6" applyFont="1" applyFill="1"/>
    <xf numFmtId="168" fontId="40" fillId="0" borderId="0" xfId="6" applyFont="1"/>
    <xf numFmtId="168" fontId="40" fillId="0" borderId="0" xfId="6" applyNumberFormat="1" applyFont="1"/>
    <xf numFmtId="164" fontId="9" fillId="0" borderId="0" xfId="8" applyFont="1" applyFill="1" applyBorder="1" applyAlignment="1" applyProtection="1">
      <alignment horizontal="right" indent="1"/>
    </xf>
    <xf numFmtId="43" fontId="5" fillId="0" borderId="0" xfId="1" applyFont="1"/>
    <xf numFmtId="168" fontId="5" fillId="3" borderId="0" xfId="6" applyFont="1" applyFill="1"/>
    <xf numFmtId="168" fontId="9" fillId="0" borderId="0" xfId="4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9" fillId="0" borderId="0" xfId="1" applyFont="1" applyBorder="1"/>
    <xf numFmtId="0" fontId="6" fillId="0" borderId="0" xfId="0" applyFont="1"/>
    <xf numFmtId="0" fontId="19" fillId="0" borderId="0" xfId="0" applyFont="1"/>
    <xf numFmtId="43" fontId="18" fillId="0" borderId="1" xfId="1" applyFont="1" applyBorder="1" applyAlignment="1"/>
    <xf numFmtId="168" fontId="35" fillId="4" borderId="0" xfId="7" applyFont="1" applyFill="1" applyBorder="1" applyAlignment="1">
      <alignment horizontal="left" vertical="center"/>
    </xf>
    <xf numFmtId="168" fontId="30" fillId="4" borderId="0" xfId="6" applyFont="1" applyFill="1" applyBorder="1"/>
    <xf numFmtId="168" fontId="30" fillId="3" borderId="0" xfId="6" applyFont="1" applyFill="1" applyBorder="1"/>
    <xf numFmtId="174" fontId="30" fillId="4" borderId="0" xfId="6" applyNumberFormat="1" applyFont="1" applyFill="1" applyBorder="1"/>
    <xf numFmtId="168" fontId="30" fillId="3" borderId="0" xfId="6" applyNumberFormat="1" applyFont="1" applyFill="1" applyBorder="1"/>
    <xf numFmtId="9" fontId="30" fillId="4" borderId="0" xfId="9" applyFont="1" applyFill="1" applyBorder="1" applyAlignment="1" applyProtection="1"/>
    <xf numFmtId="43" fontId="19" fillId="0" borderId="11" xfId="1" applyFont="1" applyBorder="1"/>
    <xf numFmtId="43" fontId="19" fillId="0" borderId="0" xfId="1" applyFont="1" applyBorder="1"/>
    <xf numFmtId="43" fontId="19" fillId="5" borderId="1" xfId="1" applyFont="1" applyFill="1" applyBorder="1"/>
    <xf numFmtId="43" fontId="19" fillId="3" borderId="0" xfId="1" applyFont="1" applyFill="1" applyBorder="1"/>
    <xf numFmtId="168" fontId="30" fillId="10" borderId="0" xfId="6" applyNumberFormat="1" applyFont="1" applyFill="1" applyBorder="1"/>
    <xf numFmtId="166" fontId="30" fillId="9" borderId="0" xfId="9" applyNumberFormat="1" applyFont="1" applyFill="1" applyBorder="1" applyAlignment="1" applyProtection="1"/>
    <xf numFmtId="43" fontId="19" fillId="3" borderId="1" xfId="1" applyFont="1" applyFill="1" applyBorder="1"/>
    <xf numFmtId="168" fontId="30" fillId="11" borderId="0" xfId="6" applyFont="1" applyFill="1" applyBorder="1"/>
    <xf numFmtId="174" fontId="30" fillId="11" borderId="0" xfId="6" applyNumberFormat="1" applyFont="1" applyFill="1" applyBorder="1"/>
    <xf numFmtId="166" fontId="30" fillId="11" borderId="0" xfId="9" applyNumberFormat="1" applyFont="1" applyFill="1" applyBorder="1" applyAlignment="1" applyProtection="1"/>
    <xf numFmtId="9" fontId="30" fillId="9" borderId="0" xfId="9" applyFont="1" applyFill="1" applyBorder="1" applyAlignment="1" applyProtection="1"/>
    <xf numFmtId="0" fontId="5" fillId="0" borderId="0" xfId="0" applyFont="1" applyBorder="1"/>
    <xf numFmtId="44" fontId="5" fillId="0" borderId="0" xfId="2" applyFont="1" applyBorder="1"/>
    <xf numFmtId="0" fontId="6" fillId="0" borderId="0" xfId="0" applyFont="1" applyBorder="1"/>
    <xf numFmtId="44" fontId="6" fillId="0" borderId="0" xfId="2" applyFont="1" applyBorder="1"/>
    <xf numFmtId="43" fontId="19" fillId="0" borderId="1" xfId="1" applyFont="1" applyBorder="1"/>
    <xf numFmtId="43" fontId="19" fillId="0" borderId="0" xfId="1" applyFont="1"/>
    <xf numFmtId="9" fontId="30" fillId="11" borderId="0" xfId="9" applyFont="1" applyFill="1" applyBorder="1" applyAlignment="1" applyProtection="1"/>
    <xf numFmtId="0" fontId="19" fillId="0" borderId="0" xfId="0" applyFont="1" applyBorder="1"/>
    <xf numFmtId="43" fontId="19" fillId="0" borderId="0" xfId="1" applyFont="1" applyBorder="1" applyAlignment="1">
      <alignment horizontal="center"/>
    </xf>
    <xf numFmtId="9" fontId="30" fillId="10" borderId="0" xfId="9" applyFont="1" applyFill="1" applyBorder="1" applyAlignment="1" applyProtection="1"/>
    <xf numFmtId="0" fontId="19" fillId="0" borderId="1" xfId="0" applyFont="1" applyBorder="1"/>
    <xf numFmtId="0" fontId="19" fillId="5" borderId="1" xfId="0" applyFont="1" applyFill="1" applyBorder="1"/>
    <xf numFmtId="43" fontId="18" fillId="0" borderId="1" xfId="1" applyFont="1" applyBorder="1"/>
    <xf numFmtId="168" fontId="42" fillId="0" borderId="2" xfId="4" applyFont="1" applyBorder="1"/>
    <xf numFmtId="0" fontId="5" fillId="0" borderId="12" xfId="0" applyFont="1" applyBorder="1" applyProtection="1">
      <protection hidden="1"/>
    </xf>
    <xf numFmtId="0" fontId="13" fillId="0" borderId="13" xfId="0" applyFont="1" applyFill="1" applyBorder="1" applyProtection="1">
      <protection hidden="1"/>
    </xf>
    <xf numFmtId="0" fontId="5" fillId="0" borderId="14" xfId="0" applyFont="1" applyBorder="1" applyProtection="1">
      <protection hidden="1"/>
    </xf>
    <xf numFmtId="0" fontId="13" fillId="0" borderId="5" xfId="0" applyFont="1" applyBorder="1" applyProtection="1">
      <protection hidden="1"/>
    </xf>
    <xf numFmtId="0" fontId="6" fillId="0" borderId="4" xfId="0" applyFont="1" applyBorder="1" applyAlignment="1" applyProtection="1">
      <alignment horizontal="center"/>
      <protection hidden="1"/>
    </xf>
    <xf numFmtId="0" fontId="13" fillId="2" borderId="4" xfId="0" applyFont="1" applyFill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13" fillId="0" borderId="4" xfId="0" applyFont="1" applyFill="1" applyBorder="1" applyAlignment="1" applyProtection="1">
      <alignment horizontal="center" vertical="center"/>
      <protection hidden="1"/>
    </xf>
    <xf numFmtId="0" fontId="13" fillId="0" borderId="4" xfId="0" applyFont="1" applyFill="1" applyBorder="1" applyAlignment="1" applyProtection="1">
      <alignment horizontal="center" vertical="center" textRotation="90" wrapText="1"/>
      <protection hidden="1"/>
    </xf>
    <xf numFmtId="0" fontId="19" fillId="0" borderId="4" xfId="0" applyFont="1" applyBorder="1" applyProtection="1">
      <protection hidden="1"/>
    </xf>
    <xf numFmtId="167" fontId="20" fillId="0" borderId="4" xfId="1" applyNumberFormat="1" applyFont="1" applyBorder="1" applyProtection="1">
      <protection hidden="1"/>
    </xf>
    <xf numFmtId="10" fontId="20" fillId="0" borderId="4" xfId="3" applyNumberFormat="1" applyFont="1" applyBorder="1" applyProtection="1">
      <protection hidden="1"/>
    </xf>
    <xf numFmtId="43" fontId="20" fillId="0" borderId="4" xfId="1" applyFont="1" applyBorder="1" applyProtection="1">
      <protection hidden="1"/>
    </xf>
    <xf numFmtId="43" fontId="20" fillId="3" borderId="4" xfId="1" applyFont="1" applyFill="1" applyBorder="1" applyProtection="1">
      <protection hidden="1"/>
    </xf>
    <xf numFmtId="0" fontId="5" fillId="3" borderId="4" xfId="0" applyFont="1" applyFill="1" applyBorder="1" applyAlignment="1" applyProtection="1">
      <alignment horizontal="center" vertical="center" textRotation="90" wrapText="1"/>
      <protection hidden="1"/>
    </xf>
    <xf numFmtId="0" fontId="13" fillId="4" borderId="4" xfId="0" applyFont="1" applyFill="1" applyBorder="1" applyAlignment="1" applyProtection="1">
      <alignment horizontal="center"/>
      <protection hidden="1"/>
    </xf>
    <xf numFmtId="167" fontId="13" fillId="4" borderId="4" xfId="1" applyNumberFormat="1" applyFont="1" applyFill="1" applyBorder="1" applyAlignment="1" applyProtection="1">
      <alignment vertical="center"/>
      <protection hidden="1"/>
    </xf>
    <xf numFmtId="43" fontId="13" fillId="3" borderId="4" xfId="1" applyFont="1" applyFill="1" applyBorder="1" applyAlignment="1" applyProtection="1">
      <alignment vertical="center"/>
      <protection hidden="1"/>
    </xf>
    <xf numFmtId="0" fontId="5" fillId="0" borderId="4" xfId="0" applyFont="1" applyFill="1" applyBorder="1" applyAlignment="1" applyProtection="1">
      <alignment horizontal="center"/>
      <protection hidden="1"/>
    </xf>
    <xf numFmtId="0" fontId="13" fillId="0" borderId="4" xfId="0" applyFont="1" applyFill="1" applyBorder="1" applyAlignment="1" applyProtection="1">
      <alignment horizontal="center"/>
      <protection hidden="1"/>
    </xf>
    <xf numFmtId="171" fontId="20" fillId="0" borderId="0" xfId="0" applyNumberFormat="1" applyFont="1" applyBorder="1" applyProtection="1">
      <protection locked="0"/>
    </xf>
    <xf numFmtId="0" fontId="5" fillId="0" borderId="4" xfId="0" applyFont="1" applyBorder="1"/>
    <xf numFmtId="0" fontId="19" fillId="6" borderId="4" xfId="0" applyFont="1" applyFill="1" applyBorder="1" applyAlignment="1" applyProtection="1">
      <protection hidden="1"/>
    </xf>
    <xf numFmtId="175" fontId="5" fillId="6" borderId="4" xfId="1" applyNumberFormat="1" applyFont="1" applyFill="1" applyBorder="1"/>
    <xf numFmtId="0" fontId="20" fillId="6" borderId="4" xfId="0" applyFont="1" applyFill="1" applyBorder="1" applyAlignment="1" applyProtection="1">
      <protection hidden="1"/>
    </xf>
    <xf numFmtId="0" fontId="19" fillId="0" borderId="9" xfId="0" applyFont="1" applyBorder="1" applyAlignment="1" applyProtection="1">
      <alignment horizontal="left"/>
      <protection hidden="1"/>
    </xf>
    <xf numFmtId="0" fontId="5" fillId="0" borderId="9" xfId="0" applyFont="1" applyBorder="1" applyAlignment="1">
      <alignment horizontal="left"/>
    </xf>
    <xf numFmtId="175" fontId="5" fillId="0" borderId="9" xfId="0" applyNumberFormat="1" applyFont="1" applyBorder="1"/>
    <xf numFmtId="175" fontId="5" fillId="0" borderId="6" xfId="0" applyNumberFormat="1" applyFont="1" applyBorder="1"/>
    <xf numFmtId="168" fontId="19" fillId="6" borderId="4" xfId="0" applyNumberFormat="1" applyFont="1" applyFill="1" applyBorder="1" applyAlignment="1" applyProtection="1">
      <protection hidden="1"/>
    </xf>
    <xf numFmtId="175" fontId="5" fillId="6" borderId="6" xfId="1" applyNumberFormat="1" applyFont="1" applyFill="1" applyBorder="1"/>
    <xf numFmtId="168" fontId="20" fillId="6" borderId="4" xfId="0" applyNumberFormat="1" applyFont="1" applyFill="1" applyBorder="1" applyAlignment="1" applyProtection="1">
      <protection hidden="1"/>
    </xf>
    <xf numFmtId="0" fontId="19" fillId="0" borderId="4" xfId="0" applyFont="1" applyBorder="1" applyAlignment="1" applyProtection="1">
      <alignment horizontal="left"/>
      <protection hidden="1"/>
    </xf>
    <xf numFmtId="0" fontId="5" fillId="0" borderId="4" xfId="0" applyFont="1" applyBorder="1" applyAlignment="1">
      <alignment horizontal="left"/>
    </xf>
    <xf numFmtId="175" fontId="5" fillId="0" borderId="4" xfId="0" applyNumberFormat="1" applyFont="1" applyBorder="1"/>
    <xf numFmtId="175" fontId="13" fillId="4" borderId="4" xfId="1" applyNumberFormat="1" applyFont="1" applyFill="1" applyBorder="1" applyAlignment="1" applyProtection="1">
      <alignment vertical="center"/>
      <protection hidden="1"/>
    </xf>
    <xf numFmtId="175" fontId="13" fillId="3" borderId="4" xfId="1" applyNumberFormat="1" applyFont="1" applyFill="1" applyBorder="1" applyAlignment="1" applyProtection="1">
      <alignment vertical="center"/>
      <protection hidden="1"/>
    </xf>
    <xf numFmtId="0" fontId="5" fillId="0" borderId="0" xfId="0" applyFont="1" applyAlignment="1">
      <alignment horizontal="left" indent="6"/>
    </xf>
    <xf numFmtId="0" fontId="5" fillId="0" borderId="0" xfId="0" applyFont="1" applyAlignment="1">
      <alignment horizontal="left" indent="11"/>
    </xf>
    <xf numFmtId="173" fontId="9" fillId="0" borderId="0" xfId="2" applyNumberFormat="1" applyFont="1" applyFill="1" applyBorder="1" applyAlignment="1" applyProtection="1"/>
    <xf numFmtId="168" fontId="38" fillId="0" borderId="0" xfId="6" applyFont="1" applyBorder="1" applyAlignment="1">
      <alignment horizontal="right"/>
    </xf>
    <xf numFmtId="176" fontId="38" fillId="0" borderId="0" xfId="2" applyNumberFormat="1" applyFont="1" applyBorder="1" applyAlignment="1"/>
    <xf numFmtId="0" fontId="39" fillId="0" borderId="0" xfId="0" applyFont="1" applyBorder="1"/>
    <xf numFmtId="176" fontId="39" fillId="0" borderId="0" xfId="2" applyNumberFormat="1" applyFont="1" applyBorder="1"/>
    <xf numFmtId="173" fontId="9" fillId="0" borderId="0" xfId="6" applyNumberFormat="1" applyFont="1" applyBorder="1" applyAlignment="1"/>
    <xf numFmtId="0" fontId="13" fillId="3" borderId="4" xfId="0" applyFont="1" applyFill="1" applyBorder="1" applyAlignment="1" applyProtection="1">
      <alignment horizontal="center" vertical="center" textRotation="90" wrapText="1"/>
      <protection hidden="1"/>
    </xf>
    <xf numFmtId="167" fontId="16" fillId="3" borderId="4" xfId="1" applyNumberFormat="1" applyFont="1" applyFill="1" applyBorder="1" applyProtection="1">
      <protection hidden="1"/>
    </xf>
    <xf numFmtId="10" fontId="16" fillId="3" borderId="4" xfId="3" applyNumberFormat="1" applyFont="1" applyFill="1" applyBorder="1" applyProtection="1">
      <protection hidden="1"/>
    </xf>
    <xf numFmtId="0" fontId="13" fillId="4" borderId="0" xfId="0" applyFont="1" applyFill="1" applyBorder="1" applyAlignment="1" applyProtection="1">
      <alignment horizontal="center" vertical="center" textRotation="90" wrapText="1"/>
      <protection hidden="1"/>
    </xf>
    <xf numFmtId="0" fontId="19" fillId="3" borderId="16" xfId="0" applyFont="1" applyFill="1" applyBorder="1" applyAlignment="1" applyProtection="1">
      <alignment horizontal="left" vertical="center"/>
      <protection hidden="1"/>
    </xf>
    <xf numFmtId="168" fontId="20" fillId="3" borderId="8" xfId="0" applyNumberFormat="1" applyFont="1" applyFill="1" applyBorder="1" applyAlignment="1" applyProtection="1">
      <protection hidden="1"/>
    </xf>
    <xf numFmtId="175" fontId="20" fillId="3" borderId="4" xfId="0" applyNumberFormat="1" applyFont="1" applyFill="1" applyBorder="1"/>
    <xf numFmtId="43" fontId="0" fillId="0" borderId="0" xfId="1" quotePrefix="1" applyFont="1"/>
    <xf numFmtId="177" fontId="0" fillId="0" borderId="0" xfId="1" applyNumberFormat="1" applyFont="1"/>
    <xf numFmtId="173" fontId="20" fillId="6" borderId="4" xfId="0" applyNumberFormat="1" applyFont="1" applyFill="1" applyBorder="1"/>
    <xf numFmtId="176" fontId="5" fillId="0" borderId="0" xfId="2" applyNumberFormat="1" applyFont="1"/>
    <xf numFmtId="166" fontId="19" fillId="0" borderId="0" xfId="9" applyNumberFormat="1" applyFont="1"/>
    <xf numFmtId="166" fontId="41" fillId="0" borderId="0" xfId="6" applyNumberFormat="1" applyFont="1"/>
    <xf numFmtId="173" fontId="20" fillId="6" borderId="4" xfId="2" applyNumberFormat="1" applyFont="1" applyFill="1" applyBorder="1"/>
    <xf numFmtId="0" fontId="0" fillId="0" borderId="0" xfId="0" quotePrefix="1"/>
    <xf numFmtId="168" fontId="44" fillId="0" borderId="0" xfId="5" applyFont="1"/>
    <xf numFmtId="168" fontId="45" fillId="0" borderId="0" xfId="6" applyFont="1" applyBorder="1"/>
    <xf numFmtId="168" fontId="25" fillId="0" borderId="0" xfId="6" applyFont="1" applyBorder="1" applyAlignment="1" applyProtection="1">
      <alignment vertical="center"/>
      <protection hidden="1"/>
    </xf>
    <xf numFmtId="168" fontId="46" fillId="13" borderId="0" xfId="6" applyFont="1" applyFill="1" applyAlignment="1">
      <alignment horizontal="center" vertical="center"/>
    </xf>
    <xf numFmtId="168" fontId="29" fillId="0" borderId="0" xfId="6" applyFont="1" applyAlignment="1">
      <alignment horizontal="center"/>
    </xf>
    <xf numFmtId="168" fontId="5" fillId="0" borderId="0" xfId="6" applyFont="1" applyBorder="1" applyAlignment="1">
      <alignment horizontal="left"/>
    </xf>
    <xf numFmtId="0" fontId="24" fillId="0" borderId="1" xfId="0" applyFont="1" applyFill="1" applyBorder="1"/>
    <xf numFmtId="43" fontId="24" fillId="0" borderId="1" xfId="1" applyFont="1" applyFill="1" applyBorder="1"/>
    <xf numFmtId="10" fontId="24" fillId="0" borderId="1" xfId="3" applyNumberFormat="1" applyFont="1" applyFill="1" applyBorder="1"/>
    <xf numFmtId="168" fontId="5" fillId="0" borderId="0" xfId="6" applyFont="1" applyAlignment="1">
      <alignment horizontal="center"/>
    </xf>
    <xf numFmtId="171" fontId="5" fillId="0" borderId="0" xfId="8" applyNumberFormat="1" applyFont="1"/>
    <xf numFmtId="164" fontId="16" fillId="0" borderId="0" xfId="8" applyFont="1"/>
    <xf numFmtId="168" fontId="24" fillId="0" borderId="0" xfId="6" applyFont="1" applyBorder="1" applyAlignment="1">
      <alignment horizontal="left"/>
    </xf>
    <xf numFmtId="168" fontId="16" fillId="0" borderId="0" xfId="6" applyFont="1"/>
    <xf numFmtId="164" fontId="5" fillId="0" borderId="0" xfId="0" applyNumberFormat="1" applyFont="1"/>
    <xf numFmtId="168" fontId="5" fillId="0" borderId="0" xfId="6" applyFont="1" applyFill="1" applyBorder="1" applyAlignment="1">
      <alignment horizontal="left"/>
    </xf>
    <xf numFmtId="168" fontId="5" fillId="0" borderId="0" xfId="6" applyFont="1" applyAlignment="1">
      <alignment horizontal="left"/>
    </xf>
    <xf numFmtId="168" fontId="5" fillId="0" borderId="0" xfId="6" applyFont="1" applyFill="1" applyBorder="1"/>
    <xf numFmtId="164" fontId="46" fillId="13" borderId="0" xfId="6" applyNumberFormat="1" applyFont="1" applyFill="1" applyAlignment="1">
      <alignment horizontal="center" vertical="center"/>
    </xf>
    <xf numFmtId="168" fontId="6" fillId="0" borderId="19" xfId="6" applyFont="1" applyBorder="1"/>
    <xf numFmtId="164" fontId="6" fillId="0" borderId="19" xfId="8" applyFont="1" applyBorder="1"/>
    <xf numFmtId="168" fontId="25" fillId="0" borderId="0" xfId="6" applyFont="1"/>
    <xf numFmtId="9" fontId="47" fillId="0" borderId="0" xfId="9" applyFont="1" applyAlignment="1">
      <alignment horizontal="left"/>
    </xf>
    <xf numFmtId="168" fontId="6" fillId="0" borderId="0" xfId="6" applyFont="1" applyFill="1" applyBorder="1" applyAlignment="1">
      <alignment horizontal="right"/>
    </xf>
    <xf numFmtId="164" fontId="6" fillId="0" borderId="0" xfId="8" applyFont="1"/>
    <xf numFmtId="168" fontId="24" fillId="3" borderId="0" xfId="6" applyFont="1" applyFill="1"/>
    <xf numFmtId="168" fontId="24" fillId="0" borderId="0" xfId="6" applyFont="1"/>
    <xf numFmtId="10" fontId="47" fillId="0" borderId="0" xfId="9" applyNumberFormat="1" applyFont="1" applyAlignment="1">
      <alignment horizontal="left"/>
    </xf>
    <xf numFmtId="9" fontId="46" fillId="13" borderId="0" xfId="9" applyNumberFormat="1" applyFont="1" applyFill="1" applyAlignment="1">
      <alignment horizontal="center" vertical="center"/>
    </xf>
    <xf numFmtId="168" fontId="48" fillId="0" borderId="0" xfId="6" applyFont="1"/>
    <xf numFmtId="164" fontId="48" fillId="0" borderId="0" xfId="8" applyFont="1"/>
    <xf numFmtId="9" fontId="48" fillId="0" borderId="0" xfId="9" applyFont="1" applyAlignment="1">
      <alignment horizontal="left"/>
    </xf>
    <xf numFmtId="164" fontId="48" fillId="0" borderId="0" xfId="6" applyNumberFormat="1" applyFont="1"/>
    <xf numFmtId="164" fontId="19" fillId="5" borderId="0" xfId="8" applyFont="1" applyFill="1"/>
    <xf numFmtId="166" fontId="5" fillId="0" borderId="0" xfId="9" applyNumberFormat="1" applyFont="1"/>
    <xf numFmtId="43" fontId="16" fillId="0" borderId="0" xfId="1" applyFont="1"/>
    <xf numFmtId="167" fontId="5" fillId="0" borderId="0" xfId="1" applyNumberFormat="1" applyFont="1" applyBorder="1" applyAlignment="1">
      <alignment horizontal="left"/>
    </xf>
    <xf numFmtId="167" fontId="5" fillId="0" borderId="0" xfId="1" applyNumberFormat="1" applyFont="1"/>
    <xf numFmtId="167" fontId="24" fillId="0" borderId="0" xfId="1" applyNumberFormat="1" applyFont="1" applyBorder="1" applyAlignment="1">
      <alignment horizontal="left"/>
    </xf>
    <xf numFmtId="167" fontId="5" fillId="0" borderId="0" xfId="1" applyNumberFormat="1" applyFont="1" applyAlignment="1">
      <alignment horizontal="left"/>
    </xf>
    <xf numFmtId="43" fontId="5" fillId="0" borderId="0" xfId="0" applyNumberFormat="1" applyFont="1"/>
    <xf numFmtId="0" fontId="21" fillId="3" borderId="4" xfId="0" applyFont="1" applyFill="1" applyBorder="1" applyAlignment="1" applyProtection="1">
      <alignment horizontal="center"/>
      <protection hidden="1"/>
    </xf>
    <xf numFmtId="167" fontId="21" fillId="3" borderId="4" xfId="0" applyNumberFormat="1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 vertical="center"/>
      <protection hidden="1"/>
    </xf>
    <xf numFmtId="0" fontId="17" fillId="4" borderId="5" xfId="0" applyFont="1" applyFill="1" applyBorder="1" applyAlignment="1" applyProtection="1">
      <alignment horizontal="center" vertical="center" textRotation="90" wrapText="1"/>
      <protection hidden="1"/>
    </xf>
    <xf numFmtId="0" fontId="17" fillId="4" borderId="6" xfId="0" applyFont="1" applyFill="1" applyBorder="1" applyAlignment="1" applyProtection="1">
      <alignment horizontal="center" vertical="center" textRotation="90" wrapText="1"/>
      <protection hidden="1"/>
    </xf>
    <xf numFmtId="0" fontId="22" fillId="4" borderId="5" xfId="0" applyFont="1" applyFill="1" applyBorder="1" applyAlignment="1" applyProtection="1">
      <alignment horizontal="center" vertical="center" textRotation="90" wrapText="1"/>
      <protection hidden="1"/>
    </xf>
    <xf numFmtId="0" fontId="22" fillId="4" borderId="6" xfId="0" applyFont="1" applyFill="1" applyBorder="1" applyAlignment="1" applyProtection="1">
      <alignment horizontal="center" vertical="center" textRotation="90" wrapText="1"/>
      <protection hidden="1"/>
    </xf>
    <xf numFmtId="0" fontId="22" fillId="4" borderId="9" xfId="0" applyFont="1" applyFill="1" applyBorder="1" applyAlignment="1" applyProtection="1">
      <alignment horizontal="center" vertical="center" textRotation="90" wrapText="1"/>
      <protection hidden="1"/>
    </xf>
    <xf numFmtId="0" fontId="19" fillId="0" borderId="0" xfId="0" applyFont="1" applyBorder="1" applyAlignment="1" applyProtection="1">
      <alignment horizontal="left"/>
    </xf>
    <xf numFmtId="168" fontId="8" fillId="0" borderId="0" xfId="4" applyFont="1" applyBorder="1" applyAlignment="1">
      <alignment horizontal="left" vertical="center"/>
    </xf>
    <xf numFmtId="169" fontId="11" fillId="0" borderId="3" xfId="4" applyNumberFormat="1" applyFont="1" applyFill="1" applyBorder="1" applyAlignment="1">
      <alignment horizontal="left"/>
    </xf>
    <xf numFmtId="164" fontId="5" fillId="0" borderId="0" xfId="8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2" fontId="9" fillId="0" borderId="0" xfId="8" applyNumberFormat="1" applyFont="1" applyFill="1" applyBorder="1" applyAlignment="1" applyProtection="1">
      <alignment horizontal="center" vertical="center"/>
    </xf>
    <xf numFmtId="164" fontId="9" fillId="0" borderId="0" xfId="8" applyFont="1" applyFill="1" applyBorder="1" applyAlignment="1" applyProtection="1">
      <alignment horizontal="center" vertical="center"/>
    </xf>
    <xf numFmtId="168" fontId="9" fillId="0" borderId="0" xfId="8" applyNumberFormat="1" applyFont="1" applyFill="1" applyBorder="1" applyAlignment="1" applyProtection="1">
      <alignment horizontal="center" vertical="center"/>
    </xf>
    <xf numFmtId="174" fontId="9" fillId="0" borderId="0" xfId="8" applyNumberFormat="1" applyFont="1" applyFill="1" applyBorder="1" applyAlignment="1" applyProtection="1">
      <alignment horizontal="center" vertical="center"/>
    </xf>
    <xf numFmtId="0" fontId="13" fillId="4" borderId="5" xfId="0" applyFont="1" applyFill="1" applyBorder="1" applyAlignment="1" applyProtection="1">
      <alignment horizontal="center" vertical="center" textRotation="90" wrapText="1"/>
      <protection hidden="1"/>
    </xf>
    <xf numFmtId="0" fontId="13" fillId="4" borderId="6" xfId="0" applyFont="1" applyFill="1" applyBorder="1" applyAlignment="1" applyProtection="1">
      <alignment horizontal="center" vertical="center" textRotation="90" wrapText="1"/>
      <protection hidden="1"/>
    </xf>
    <xf numFmtId="0" fontId="13" fillId="4" borderId="9" xfId="0" applyFont="1" applyFill="1" applyBorder="1" applyAlignment="1" applyProtection="1">
      <alignment horizontal="center" vertical="center" textRotation="90" wrapText="1"/>
      <protection hidden="1"/>
    </xf>
    <xf numFmtId="0" fontId="19" fillId="6" borderId="12" xfId="0" applyFont="1" applyFill="1" applyBorder="1" applyAlignment="1" applyProtection="1">
      <alignment horizontal="left" vertical="center"/>
      <protection hidden="1"/>
    </xf>
    <xf numFmtId="0" fontId="19" fillId="6" borderId="16" xfId="0" applyFont="1" applyFill="1" applyBorder="1" applyAlignment="1" applyProtection="1">
      <alignment horizontal="left" vertical="center"/>
      <protection hidden="1"/>
    </xf>
    <xf numFmtId="169" fontId="42" fillId="0" borderId="3" xfId="4" applyNumberFormat="1" applyFont="1" applyFill="1" applyBorder="1" applyAlignment="1">
      <alignment horizontal="left"/>
    </xf>
    <xf numFmtId="0" fontId="13" fillId="2" borderId="12" xfId="0" applyFont="1" applyFill="1" applyBorder="1" applyAlignment="1" applyProtection="1">
      <alignment horizontal="center" vertical="center"/>
      <protection hidden="1"/>
    </xf>
    <xf numFmtId="0" fontId="13" fillId="2" borderId="13" xfId="0" applyFont="1" applyFill="1" applyBorder="1" applyAlignment="1" applyProtection="1">
      <alignment horizontal="center" vertical="center"/>
      <protection hidden="1"/>
    </xf>
    <xf numFmtId="0" fontId="13" fillId="2" borderId="14" xfId="0" applyFont="1" applyFill="1" applyBorder="1" applyAlignment="1" applyProtection="1">
      <alignment horizontal="center" vertical="center"/>
      <protection hidden="1"/>
    </xf>
    <xf numFmtId="0" fontId="13" fillId="2" borderId="16" xfId="0" applyFont="1" applyFill="1" applyBorder="1" applyAlignment="1" applyProtection="1">
      <alignment horizontal="center" vertical="center"/>
      <protection hidden="1"/>
    </xf>
    <xf numFmtId="0" fontId="13" fillId="2" borderId="17" xfId="0" applyFont="1" applyFill="1" applyBorder="1" applyAlignment="1" applyProtection="1">
      <alignment horizontal="center" vertical="center"/>
      <protection hidden="1"/>
    </xf>
    <xf numFmtId="0" fontId="13" fillId="2" borderId="18" xfId="0" applyFont="1" applyFill="1" applyBorder="1" applyAlignment="1" applyProtection="1">
      <alignment horizontal="center" vertical="center"/>
      <protection hidden="1"/>
    </xf>
    <xf numFmtId="170" fontId="43" fillId="2" borderId="7" xfId="5" applyNumberFormat="1" applyFont="1" applyFill="1" applyBorder="1" applyAlignment="1" applyProtection="1">
      <alignment horizontal="center"/>
      <protection hidden="1"/>
    </xf>
    <xf numFmtId="170" fontId="43" fillId="2" borderId="15" xfId="5" applyNumberFormat="1" applyFont="1" applyFill="1" applyBorder="1" applyAlignment="1" applyProtection="1">
      <alignment horizontal="center"/>
      <protection hidden="1"/>
    </xf>
    <xf numFmtId="170" fontId="43" fillId="2" borderId="8" xfId="5" applyNumberFormat="1" applyFont="1" applyFill="1" applyBorder="1" applyAlignment="1" applyProtection="1">
      <alignment horizontal="center"/>
      <protection hidden="1"/>
    </xf>
    <xf numFmtId="0" fontId="13" fillId="2" borderId="5" xfId="0" applyFont="1" applyFill="1" applyBorder="1" applyAlignment="1" applyProtection="1">
      <alignment horizontal="center" vertical="center"/>
      <protection hidden="1"/>
    </xf>
    <xf numFmtId="0" fontId="13" fillId="2" borderId="9" xfId="0" applyFont="1" applyFill="1" applyBorder="1" applyAlignment="1" applyProtection="1">
      <alignment horizontal="center" vertical="center"/>
      <protection hidden="1"/>
    </xf>
    <xf numFmtId="0" fontId="13" fillId="4" borderId="7" xfId="0" applyFont="1" applyFill="1" applyBorder="1" applyAlignment="1" applyProtection="1">
      <alignment horizontal="center"/>
      <protection hidden="1"/>
    </xf>
    <xf numFmtId="0" fontId="13" fillId="4" borderId="8" xfId="0" applyFont="1" applyFill="1" applyBorder="1" applyAlignment="1" applyProtection="1">
      <alignment horizontal="center"/>
      <protection hidden="1"/>
    </xf>
    <xf numFmtId="0" fontId="13" fillId="2" borderId="7" xfId="0" applyFont="1" applyFill="1" applyBorder="1" applyAlignment="1" applyProtection="1">
      <alignment horizontal="center" vertical="center"/>
      <protection hidden="1"/>
    </xf>
    <xf numFmtId="0" fontId="13" fillId="2" borderId="8" xfId="0" applyFont="1" applyFill="1" applyBorder="1" applyAlignment="1" applyProtection="1">
      <alignment horizontal="center" vertical="center"/>
      <protection hidden="1"/>
    </xf>
    <xf numFmtId="0" fontId="19" fillId="6" borderId="4" xfId="0" applyFont="1" applyFill="1" applyBorder="1" applyAlignment="1" applyProtection="1">
      <alignment horizontal="left" vertical="center"/>
      <protection hidden="1"/>
    </xf>
  </cellXfs>
  <cellStyles count="10">
    <cellStyle name="Hiperlink" xfId="5" builtinId="8"/>
    <cellStyle name="Moeda" xfId="2" builtinId="4"/>
    <cellStyle name="Normal" xfId="0" builtinId="0"/>
    <cellStyle name="Normal 10" xfId="4"/>
    <cellStyle name="Normal 2" xfId="7"/>
    <cellStyle name="Normal 3" xfId="6"/>
    <cellStyle name="Porcentagem" xfId="3" builtinId="5"/>
    <cellStyle name="Porcentagem 2" xfId="9"/>
    <cellStyle name="Vírgula" xfId="1" builtinId="3"/>
    <cellStyle name="Vírgula 3" xfId="8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27" formatCode="dd/mm/yyyy\ hh:mm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583406</xdr:colOff>
      <xdr:row>1</xdr:row>
      <xdr:rowOff>119063</xdr:rowOff>
    </xdr:from>
    <xdr:to>
      <xdr:col>6</xdr:col>
      <xdr:colOff>416719</xdr:colOff>
      <xdr:row>5</xdr:row>
      <xdr:rowOff>0</xdr:rowOff>
    </xdr:to>
    <xdr:cxnSp macro="">
      <xdr:nvCxnSpPr>
        <xdr:cNvPr id="2" name="Conector de seta reta 1"/>
        <xdr:cNvCxnSpPr/>
      </xdr:nvCxnSpPr>
      <xdr:spPr>
        <a:xfrm flipH="1">
          <a:off x="3383756" y="347663"/>
          <a:ext cx="4100513" cy="795337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582083</xdr:colOff>
      <xdr:row>1</xdr:row>
      <xdr:rowOff>158750</xdr:rowOff>
    </xdr:from>
    <xdr:to>
      <xdr:col>16</xdr:col>
      <xdr:colOff>1007956</xdr:colOff>
      <xdr:row>9</xdr:row>
      <xdr:rowOff>161026</xdr:rowOff>
    </xdr:to>
    <xdr:pic>
      <xdr:nvPicPr>
        <xdr:cNvPr id="2" name="8ED06A1F-2D54-4E3D-973A-49946C67E7C5" descr="Descrição: cid:34244601-5704-42D1-BD13-2ABA39D1C921@masutti.com.b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83983" y="368300"/>
          <a:ext cx="1464098" cy="315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18143</xdr:colOff>
      <xdr:row>1</xdr:row>
      <xdr:rowOff>18528</xdr:rowOff>
    </xdr:from>
    <xdr:to>
      <xdr:col>21</xdr:col>
      <xdr:colOff>1660071</xdr:colOff>
      <xdr:row>3</xdr:row>
      <xdr:rowOff>178828</xdr:rowOff>
    </xdr:to>
    <xdr:pic>
      <xdr:nvPicPr>
        <xdr:cNvPr id="2" name="8ED06A1F-2D54-4E3D-973A-49946C67E7C5" descr="Descrição: cid:34244601-5704-42D1-BD13-2ABA39D1C921@masutti.com.b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2429" y="222635"/>
          <a:ext cx="1641928" cy="568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756709</xdr:colOff>
      <xdr:row>0</xdr:row>
      <xdr:rowOff>202973</xdr:rowOff>
    </xdr:from>
    <xdr:to>
      <xdr:col>16</xdr:col>
      <xdr:colOff>920117</xdr:colOff>
      <xdr:row>2</xdr:row>
      <xdr:rowOff>93632</xdr:rowOff>
    </xdr:to>
    <xdr:pic>
      <xdr:nvPicPr>
        <xdr:cNvPr id="2" name="8ED06A1F-2D54-4E3D-973A-49946C67E7C5" descr="Descrição: cid:34244601-5704-42D1-BD13-2ABA39D1C921@masutti.com.b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2102" y="202973"/>
          <a:ext cx="1224765" cy="326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&#231;&#227;o%20Safra%202016-2017(sema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AO"/>
      <sheetName val="RESUMO"/>
      <sheetName val="RESULTADO"/>
      <sheetName val="compos_custo"/>
      <sheetName val="BD_COMPRAS"/>
      <sheetName val="FRETE"/>
      <sheetName val="FOLHA"/>
      <sheetName val="GERENCIAL"/>
      <sheetName val="Plan1"/>
      <sheetName val="Plan2"/>
      <sheetName val="c_pagar"/>
      <sheetName val="vcambial"/>
      <sheetName val="pgtos"/>
      <sheetName val="Plan3"/>
      <sheetName val="AnaliseFinan"/>
      <sheetName val="pgto_bcos"/>
      <sheetName val="indices"/>
    </sheetNames>
    <sheetDataSet>
      <sheetData sheetId="0">
        <row r="7">
          <cell r="J7">
            <v>10855</v>
          </cell>
          <cell r="K7">
            <v>21710000</v>
          </cell>
        </row>
        <row r="9">
          <cell r="J9">
            <v>13359</v>
          </cell>
          <cell r="K9">
            <v>16030800</v>
          </cell>
        </row>
        <row r="11">
          <cell r="J11">
            <v>12100</v>
          </cell>
          <cell r="K11">
            <v>24200000</v>
          </cell>
        </row>
        <row r="12">
          <cell r="J12">
            <v>948.5</v>
          </cell>
          <cell r="K12">
            <v>2845500</v>
          </cell>
        </row>
      </sheetData>
      <sheetData sheetId="1">
        <row r="15">
          <cell r="E15">
            <v>10855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queryTables/queryTable1.xml><?xml version="1.0" encoding="utf-8"?>
<queryTable xmlns="http://schemas.openxmlformats.org/spreadsheetml/2006/main" name="GM_PEDIDOS_2017_FIM" connectionId="2" autoFormatId="16" applyNumberFormats="0" applyBorderFormats="0" applyFontFormats="0" applyPatternFormats="0" applyAlignmentFormats="0" applyWidthHeightFormats="0">
  <queryTableRefresh nextId="23" unboundColumnsRight="4">
    <queryTableFields count="19">
      <queryTableField id="1" name="SEQ_PLA_PEDIDO" tableColumnId="1"/>
      <queryTableField id="2" name="NR_CONTROLE" tableColumnId="2"/>
      <queryTableField id="3" name="MOEDA" tableColumnId="3"/>
      <queryTableField id="4" name="FILIAL" tableColumnId="4"/>
      <queryTableField id="5" name="COD_TIPO_LCTO" tableColumnId="5"/>
      <queryTableField id="6" name="DESC_TIPO_LCTO" tableColumnId="6"/>
      <queryTableField id="7" name="TIPO_GRUPO" tableColumnId="7"/>
      <queryTableField id="8" name="PEDIDO" tableColumnId="8"/>
      <queryTableField id="9" name="DTPEDIDO" tableColumnId="9"/>
      <queryTableField id="10" name="VL_PEDIDO_COMPRA" tableColumnId="10"/>
      <queryTableField id="11" name="IND" tableColumnId="11"/>
      <queryTableField id="12" name="VALOR_PAGAR" tableColumnId="12"/>
      <queryTableField id="13" name="VALOR_PAGO_REAL" tableColumnId="13"/>
      <queryTableField id="14" name="FATURADO" tableColumnId="14"/>
      <queryTableField id="15" name="PAGO" tableColumnId="15"/>
      <queryTableField id="18" dataBound="0" tableColumnId="18"/>
      <queryTableField id="17" dataBound="0" tableColumnId="17"/>
      <queryTableField id="19" dataBound="0" tableColumnId="19"/>
      <queryTableField id="21" dataBound="0" tableColumnId="16"/>
    </queryTableFields>
  </queryTableRefresh>
</queryTable>
</file>

<file path=xl/queryTables/queryTable2.xml><?xml version="1.0" encoding="utf-8"?>
<queryTable xmlns="http://schemas.openxmlformats.org/spreadsheetml/2006/main" name="(padrão) GM_CONV_NOTAS_ENTRADA" connectionId="1" autoFormatId="16" applyNumberFormats="0" applyBorderFormats="0" applyFontFormats="0" applyPatternFormats="0" applyAlignmentFormats="0" applyWidthHeightFormats="0">
  <queryTableRefresh nextId="12">
    <queryTableFields count="11">
      <queryTableField id="1" name="SEQ_PLA_PEDIDO" tableColumnId="1"/>
      <queryTableField id="2" name="NR_PEDIDO" tableColumnId="2"/>
      <queryTableField id="3" name="DATA_EMISSAO" tableColumnId="3"/>
      <queryTableField id="4" name="DATA_ENTRADA" tableColumnId="4"/>
      <queryTableField id="5" name="NR_CONTROLE" tableColumnId="5"/>
      <queryTableField id="6" name="NOME_CLIENTE" tableColumnId="6"/>
      <queryTableField id="7" name="SIGLA_MOEDA" tableColumnId="7"/>
      <queryTableField id="8" name="NR_DOCUMENTO" tableColumnId="8"/>
      <queryTableField id="9" name="VALOR" tableColumnId="9"/>
      <queryTableField id="10" name="VALOR_NF" tableColumnId="10"/>
      <queryTableField id="11" name="VALOR_DOLA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ela_GM_PEDIDOS_2017_FIM" displayName="Tabela_GM_PEDIDOS_2017_FIM" ref="A7:S134" tableType="queryTable" totalsRowShown="0">
  <autoFilter ref="A7:S134">
    <filterColumn colId="3">
      <filters>
        <filter val="02-FAZENDA JK"/>
      </filters>
    </filterColumn>
  </autoFilter>
  <tableColumns count="19">
    <tableColumn id="1" uniqueName="1" name="SEQ_PLA_PEDIDO" queryTableFieldId="1"/>
    <tableColumn id="2" uniqueName="2" name="NR_CONTROLE" queryTableFieldId="2"/>
    <tableColumn id="3" uniqueName="3" name="MOEDA" queryTableFieldId="3"/>
    <tableColumn id="4" uniqueName="4" name="FILIAL" queryTableFieldId="4"/>
    <tableColumn id="5" uniqueName="5" name="COD_TIPO_LCTO" queryTableFieldId="5"/>
    <tableColumn id="6" uniqueName="6" name="DESC_TIPO_LCTO" queryTableFieldId="6"/>
    <tableColumn id="7" uniqueName="7" name="TIPO_GRUPO" queryTableFieldId="7"/>
    <tableColumn id="8" uniqueName="8" name="PEDIDO" queryTableFieldId="8"/>
    <tableColumn id="9" uniqueName="9" name="DTPEDIDO" queryTableFieldId="9" dataDxfId="13"/>
    <tableColumn id="10" uniqueName="10" name="VL_PEDIDO_COMPRA" queryTableFieldId="10" dataCellStyle="Vírgula"/>
    <tableColumn id="11" uniqueName="11" name="IND" queryTableFieldId="11"/>
    <tableColumn id="12" uniqueName="12" name="VALOR_PAGAR" queryTableFieldId="12" dataCellStyle="Vírgula"/>
    <tableColumn id="13" uniqueName="13" name="VALOR_PAGO_REAL" queryTableFieldId="13" dataCellStyle="Vírgula"/>
    <tableColumn id="14" uniqueName="14" name="FATURADO" queryTableFieldId="14"/>
    <tableColumn id="15" uniqueName="15" name="PAGO" queryTableFieldId="15"/>
    <tableColumn id="18" uniqueName="18" name="VL_NOTAS" queryTableFieldId="18" dataCellStyle="Vírgula">
      <calculatedColumnFormula>SUMIF(Tabela_padrão__GM_CONV_NOTAS_ENTRADA[SEQ_PLA_PEDIDO],Tabela_GM_PEDIDOS_2017_FIM[[#This Row],[SEQ_PLA_PEDIDO]],Tabela_padrão__GM_CONV_NOTAS_ENTRADA[VALOR_NF])</calculatedColumnFormula>
    </tableColumn>
    <tableColumn id="17" uniqueName="17" name="VC_FINANCEIRA" queryTableFieldId="17" dataDxfId="12" dataCellStyle="Vírgula">
      <calculatedColumnFormula array="1">IF(AND(Tabela_GM_PEDIDOS_2017_FIM[[#This Row],[MOEDA]]="US$",Tabela_GM_PEDIDOS_2017_FIM[[#This Row],[PAGO]]="S"),Tabela_GM_PEDIDOS_2017_FIM[[#This Row],[VALOR_PAGO_REAL]]-Tabela_GM_PEDIDOS_2017_FIM[[#This Row],[VALOR_PAGAR]],0)</calculatedColumnFormula>
    </tableColumn>
    <tableColumn id="19" uniqueName="19" name="VC_FORNECEDOR" queryTableFieldId="19" dataDxfId="11" dataCellStyle="Vírgula">
      <calculatedColumnFormula>IF(AND(Tabela_GM_PEDIDOS_2017_FIM[[#This Row],[MOEDA]]="US$",Tabela_GM_PEDIDOS_2017_FIM[[#This Row],[FATURADO]]="S"),Tabela_GM_PEDIDOS_2017_FIM[[#This Row],[VL_NOTAS]]-Tabela_GM_PEDIDOS_2017_FIM[[#This Row],[VALOR_PAGO_REAL]],0)</calculatedColumnFormula>
    </tableColumn>
    <tableColumn id="16" uniqueName="16" name="CONFERE" queryTableFieldId="21" dataDxfId="10">
      <calculatedColumnFormula>IF(AND(Tabela_GM_PEDIDOS_2017_FIM[[#This Row],[PAGO]]="S",Tabela_GM_PEDIDOS_2017_FIM[[#This Row],[MOEDA]]="R$"),Tabela_GM_PEDIDOS_2017_FIM[[#This Row],[VALOR_PAGO_REAL]]-Tabela_GM_PEDIDOS_2017_FIM[[#This Row],[VL_PEDIDO_COMPRA]])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_padrão__GM_CONV_NOTAS_ENTRADA" displayName="Tabela_padrão__GM_CONV_NOTAS_ENTRADA" ref="A3:K6036" tableType="queryTable" totalsRowShown="0">
  <autoFilter ref="A3:K6036"/>
  <tableColumns count="11">
    <tableColumn id="1" uniqueName="1" name="SEQ_PLA_PEDIDO" queryTableFieldId="1"/>
    <tableColumn id="2" uniqueName="2" name="NR_PEDIDO" queryTableFieldId="2"/>
    <tableColumn id="3" uniqueName="3" name="DATA_EMISSAO" queryTableFieldId="3" dataDxfId="9"/>
    <tableColumn id="4" uniqueName="4" name="DATA_ENTRADA" queryTableFieldId="4" dataDxfId="8"/>
    <tableColumn id="5" uniqueName="5" name="NR_CONTROLE" queryTableFieldId="5"/>
    <tableColumn id="6" uniqueName="6" name="NOME_CLIENTE" queryTableFieldId="6"/>
    <tableColumn id="7" uniqueName="7" name="SIGLA_MOEDA" queryTableFieldId="7"/>
    <tableColumn id="8" uniqueName="8" name="NR_DOCUMENTO" queryTableFieldId="8"/>
    <tableColumn id="9" uniqueName="9" name="VALOR" queryTableFieldId="9"/>
    <tableColumn id="10" uniqueName="10" name="VALOR_NF" queryTableFieldId="10"/>
    <tableColumn id="11" uniqueName="11" name="VALOR_DOLAR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topLeftCell="A19" zoomScale="70" zoomScaleNormal="70" workbookViewId="0">
      <selection activeCell="B50" sqref="B50"/>
    </sheetView>
  </sheetViews>
  <sheetFormatPr defaultRowHeight="15" outlineLevelCol="1" x14ac:dyDescent="0.25"/>
  <cols>
    <col min="1" max="1" width="6.7109375" style="6" customWidth="1" outlineLevel="1"/>
    <col min="2" max="2" width="35.28515625" style="6" customWidth="1" outlineLevel="1"/>
    <col min="3" max="3" width="12.140625" style="6" customWidth="1" outlineLevel="1"/>
    <col min="4" max="4" width="15.42578125" style="6" customWidth="1" outlineLevel="1"/>
    <col min="5" max="5" width="26.28515625" style="6" customWidth="1" outlineLevel="1"/>
    <col min="6" max="6" width="10.140625" style="6" customWidth="1" outlineLevel="1"/>
    <col min="7" max="7" width="16.5703125" style="6" customWidth="1" outlineLevel="1"/>
    <col min="8" max="8" width="38.5703125" style="6" bestFit="1" customWidth="1"/>
    <col min="9" max="9" width="38.42578125" style="6" bestFit="1" customWidth="1"/>
    <col min="10" max="10" width="27.5703125" style="6" customWidth="1" outlineLevel="1"/>
    <col min="11" max="11" width="31.42578125" style="6" customWidth="1" outlineLevel="1"/>
    <col min="12" max="12" width="11.42578125" style="6" bestFit="1" customWidth="1"/>
    <col min="13" max="16384" width="9.140625" style="6"/>
  </cols>
  <sheetData>
    <row r="1" spans="1:13" ht="15.75" x14ac:dyDescent="0.25">
      <c r="A1" s="86"/>
      <c r="B1" s="87"/>
      <c r="C1" s="86"/>
      <c r="D1" s="86"/>
      <c r="E1" s="86"/>
      <c r="F1" s="88"/>
      <c r="G1" s="86"/>
      <c r="H1" s="86"/>
      <c r="I1" s="86"/>
      <c r="J1" s="86"/>
      <c r="K1" s="86"/>
      <c r="L1" s="89"/>
    </row>
    <row r="2" spans="1:13" ht="15.75" x14ac:dyDescent="0.25">
      <c r="A2" s="86"/>
      <c r="B2" s="87"/>
      <c r="C2" s="86"/>
      <c r="D2" s="86"/>
      <c r="E2" s="86"/>
      <c r="F2" s="86"/>
      <c r="G2" s="86"/>
      <c r="H2" s="90" t="s">
        <v>7677</v>
      </c>
      <c r="I2" s="86"/>
      <c r="J2" s="86"/>
      <c r="K2" s="86"/>
      <c r="L2" s="89"/>
    </row>
    <row r="3" spans="1:13" ht="15.75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9"/>
    </row>
    <row r="4" spans="1:13" ht="15.75" x14ac:dyDescent="0.25">
      <c r="A4" s="86"/>
      <c r="B4" s="91" t="s">
        <v>7653</v>
      </c>
      <c r="C4" s="86"/>
      <c r="D4" s="86"/>
      <c r="E4" s="86"/>
      <c r="F4" s="86"/>
      <c r="G4" s="86"/>
      <c r="H4" s="92" t="s">
        <v>7674</v>
      </c>
      <c r="I4" s="93"/>
      <c r="J4" s="86"/>
      <c r="K4" s="94"/>
      <c r="L4" s="89"/>
    </row>
    <row r="5" spans="1:13" ht="15.75" x14ac:dyDescent="0.25">
      <c r="A5" s="86"/>
      <c r="B5" s="86"/>
      <c r="C5" s="86"/>
      <c r="D5" s="94"/>
      <c r="E5" s="86"/>
      <c r="F5" s="86"/>
      <c r="G5" s="86"/>
      <c r="H5" s="86"/>
      <c r="I5" s="86"/>
      <c r="J5" s="95"/>
      <c r="K5" s="86"/>
      <c r="L5" s="96"/>
    </row>
    <row r="6" spans="1:13" ht="15.75" x14ac:dyDescent="0.25">
      <c r="A6" s="86"/>
      <c r="B6" s="97" t="s">
        <v>7654</v>
      </c>
      <c r="C6" s="97" t="s">
        <v>7655</v>
      </c>
      <c r="D6" s="97" t="s">
        <v>7656</v>
      </c>
      <c r="E6" s="97" t="s">
        <v>7657</v>
      </c>
      <c r="F6" s="98" t="s">
        <v>7658</v>
      </c>
      <c r="G6" s="86"/>
      <c r="H6" s="97" t="s">
        <v>7671</v>
      </c>
      <c r="I6" s="97" t="s">
        <v>7654</v>
      </c>
      <c r="J6" s="99" t="s">
        <v>7676</v>
      </c>
      <c r="K6" s="97" t="s">
        <v>7657</v>
      </c>
      <c r="L6" s="100" t="s">
        <v>7678</v>
      </c>
      <c r="M6" s="101"/>
    </row>
    <row r="7" spans="1:13" ht="15.75" x14ac:dyDescent="0.25">
      <c r="A7" s="86"/>
      <c r="B7" s="102" t="s">
        <v>7659</v>
      </c>
      <c r="C7" s="103">
        <v>2000</v>
      </c>
      <c r="D7" s="103">
        <f t="shared" ref="D7:D17" si="0">SUMIF($I$7:$I$45,B7,$J$7:$J$45)</f>
        <v>12800</v>
      </c>
      <c r="E7" s="103">
        <f t="shared" ref="E7:E17" si="1">SUMIF($I$7:$I$45,B7,$K$7:$K$45)</f>
        <v>25600000</v>
      </c>
      <c r="F7" s="104">
        <f t="shared" ref="F7:F17" si="2">E7/E$18</f>
        <v>0.14856254134797292</v>
      </c>
      <c r="G7" s="86"/>
      <c r="H7" s="105" t="s">
        <v>24</v>
      </c>
      <c r="I7" s="105" t="s">
        <v>7660</v>
      </c>
      <c r="J7" s="106">
        <f>2000+9868</f>
        <v>11868</v>
      </c>
      <c r="K7" s="107">
        <f>SUMIF($B$7:$B$17,I7,$C$7:$C$17)*J7</f>
        <v>23736000</v>
      </c>
      <c r="L7" s="108">
        <f>K7/(SUMIF($H$7:$H$46,H7,$K$7:$K$46))</f>
        <v>0.18472170339932761</v>
      </c>
    </row>
    <row r="8" spans="1:13" ht="15.75" x14ac:dyDescent="0.25">
      <c r="A8" s="86"/>
      <c r="B8" s="102" t="s">
        <v>7660</v>
      </c>
      <c r="C8" s="103">
        <v>2000</v>
      </c>
      <c r="D8" s="103">
        <f t="shared" si="0"/>
        <v>23853</v>
      </c>
      <c r="E8" s="103">
        <f t="shared" si="1"/>
        <v>47706000</v>
      </c>
      <c r="F8" s="104">
        <f t="shared" si="2"/>
        <v>0.27684861709165615</v>
      </c>
      <c r="G8" s="109"/>
      <c r="H8" s="105" t="s">
        <v>24</v>
      </c>
      <c r="I8" s="102" t="s">
        <v>7662</v>
      </c>
      <c r="J8" s="106">
        <v>1000</v>
      </c>
      <c r="K8" s="107">
        <f t="shared" ref="K8:K45" si="3">SUMIF($B$7:$B$17,I8,$C$7:$C$17)*J8</f>
        <v>2000000</v>
      </c>
      <c r="L8" s="108">
        <f t="shared" ref="L8:L45" si="4">K8/(SUMIF($H$7:$H$46,H8,$K$7:$K$46))</f>
        <v>1.556468683850081E-2</v>
      </c>
    </row>
    <row r="9" spans="1:13" ht="15.75" x14ac:dyDescent="0.25">
      <c r="A9" s="86"/>
      <c r="B9" s="102" t="s">
        <v>7661</v>
      </c>
      <c r="C9" s="103">
        <v>2000</v>
      </c>
      <c r="D9" s="103">
        <f t="shared" si="0"/>
        <v>3500</v>
      </c>
      <c r="E9" s="103">
        <f t="shared" si="1"/>
        <v>7000000</v>
      </c>
      <c r="F9" s="104">
        <f t="shared" si="2"/>
        <v>4.0622569899836349E-2</v>
      </c>
      <c r="G9" s="109"/>
      <c r="H9" s="105" t="s">
        <v>24</v>
      </c>
      <c r="I9" s="105" t="s">
        <v>7663</v>
      </c>
      <c r="J9" s="106">
        <v>12000</v>
      </c>
      <c r="K9" s="107">
        <f t="shared" si="3"/>
        <v>14400000</v>
      </c>
      <c r="L9" s="108">
        <f t="shared" si="4"/>
        <v>0.11206574523720583</v>
      </c>
    </row>
    <row r="10" spans="1:13" ht="15.75" x14ac:dyDescent="0.25">
      <c r="A10" s="86"/>
      <c r="B10" s="102" t="s">
        <v>7662</v>
      </c>
      <c r="C10" s="103">
        <v>2000</v>
      </c>
      <c r="D10" s="103">
        <f t="shared" si="0"/>
        <v>1000</v>
      </c>
      <c r="E10" s="103">
        <f t="shared" si="1"/>
        <v>2000000</v>
      </c>
      <c r="F10" s="104">
        <f t="shared" si="2"/>
        <v>1.1606448542810385E-2</v>
      </c>
      <c r="G10" s="110"/>
      <c r="H10" s="105" t="s">
        <v>24</v>
      </c>
      <c r="I10" s="105" t="s">
        <v>7665</v>
      </c>
      <c r="J10" s="106">
        <v>8000</v>
      </c>
      <c r="K10" s="107">
        <f t="shared" si="3"/>
        <v>60000000</v>
      </c>
      <c r="L10" s="108">
        <f t="shared" si="4"/>
        <v>0.46694060515502428</v>
      </c>
    </row>
    <row r="11" spans="1:13" ht="15.75" x14ac:dyDescent="0.25">
      <c r="A11" s="88"/>
      <c r="B11" s="102" t="s">
        <v>7663</v>
      </c>
      <c r="C11" s="103">
        <v>1200</v>
      </c>
      <c r="D11" s="103">
        <f t="shared" si="0"/>
        <v>22460</v>
      </c>
      <c r="E11" s="103">
        <f t="shared" si="1"/>
        <v>26952000</v>
      </c>
      <c r="F11" s="104">
        <f t="shared" si="2"/>
        <v>0.15640850056291275</v>
      </c>
      <c r="G11" s="86"/>
      <c r="H11" s="105" t="s">
        <v>24</v>
      </c>
      <c r="I11" s="105" t="s">
        <v>7659</v>
      </c>
      <c r="J11" s="106">
        <f>11000</f>
        <v>11000</v>
      </c>
      <c r="K11" s="107">
        <f t="shared" si="3"/>
        <v>22000000</v>
      </c>
      <c r="L11" s="108">
        <f t="shared" si="4"/>
        <v>0.17121155522350889</v>
      </c>
    </row>
    <row r="12" spans="1:13" ht="15.75" x14ac:dyDescent="0.25">
      <c r="A12" s="86"/>
      <c r="B12" s="111" t="s">
        <v>7664</v>
      </c>
      <c r="C12" s="112">
        <v>1200</v>
      </c>
      <c r="D12" s="112">
        <f t="shared" si="0"/>
        <v>300</v>
      </c>
      <c r="E12" s="112">
        <f t="shared" si="1"/>
        <v>360000</v>
      </c>
      <c r="F12" s="113">
        <f t="shared" si="2"/>
        <v>2.0891607377058695E-3</v>
      </c>
      <c r="G12" s="86"/>
      <c r="H12" s="105" t="s">
        <v>24</v>
      </c>
      <c r="I12" s="105" t="s">
        <v>7661</v>
      </c>
      <c r="J12" s="106">
        <f>1000+2000</f>
        <v>3000</v>
      </c>
      <c r="K12" s="107">
        <f t="shared" si="3"/>
        <v>6000000</v>
      </c>
      <c r="L12" s="108">
        <f t="shared" si="4"/>
        <v>4.6694060515502428E-2</v>
      </c>
    </row>
    <row r="13" spans="1:13" ht="15.75" x14ac:dyDescent="0.25">
      <c r="A13" s="86"/>
      <c r="B13" s="102" t="s">
        <v>7665</v>
      </c>
      <c r="C13" s="103">
        <v>7500</v>
      </c>
      <c r="D13" s="103">
        <f t="shared" si="0"/>
        <v>8000</v>
      </c>
      <c r="E13" s="103">
        <f t="shared" si="1"/>
        <v>60000000</v>
      </c>
      <c r="F13" s="104">
        <f t="shared" si="2"/>
        <v>0.34819345628431159</v>
      </c>
      <c r="G13" s="86"/>
      <c r="H13" s="105" t="s">
        <v>24</v>
      </c>
      <c r="I13" s="105" t="s">
        <v>7664</v>
      </c>
      <c r="J13" s="106">
        <v>300</v>
      </c>
      <c r="K13" s="107">
        <f t="shared" si="3"/>
        <v>360000</v>
      </c>
      <c r="L13" s="108">
        <f t="shared" si="4"/>
        <v>2.8016436309301457E-3</v>
      </c>
    </row>
    <row r="14" spans="1:13" ht="15.75" x14ac:dyDescent="0.25">
      <c r="A14" s="86"/>
      <c r="B14" s="102" t="s">
        <v>7666</v>
      </c>
      <c r="C14" s="103">
        <v>500</v>
      </c>
      <c r="D14" s="103">
        <f t="shared" si="0"/>
        <v>0</v>
      </c>
      <c r="E14" s="103">
        <f t="shared" si="1"/>
        <v>0</v>
      </c>
      <c r="F14" s="104">
        <f t="shared" si="2"/>
        <v>0</v>
      </c>
      <c r="G14" s="86"/>
      <c r="H14" s="105" t="s">
        <v>36</v>
      </c>
      <c r="I14" s="114" t="s">
        <v>7660</v>
      </c>
      <c r="J14" s="106">
        <v>4315</v>
      </c>
      <c r="K14" s="107">
        <f t="shared" si="3"/>
        <v>8630000</v>
      </c>
      <c r="L14" s="108">
        <f t="shared" si="4"/>
        <v>0.49569213095921882</v>
      </c>
    </row>
    <row r="15" spans="1:13" ht="15.75" x14ac:dyDescent="0.25">
      <c r="A15" s="86"/>
      <c r="B15" s="102" t="s">
        <v>7667</v>
      </c>
      <c r="C15" s="103">
        <v>1500</v>
      </c>
      <c r="D15" s="103">
        <f t="shared" si="0"/>
        <v>500</v>
      </c>
      <c r="E15" s="103">
        <f t="shared" si="1"/>
        <v>750000</v>
      </c>
      <c r="F15" s="104">
        <f t="shared" si="2"/>
        <v>4.3524182035538945E-3</v>
      </c>
      <c r="G15" s="86"/>
      <c r="H15" s="105" t="s">
        <v>36</v>
      </c>
      <c r="I15" s="105" t="s">
        <v>7659</v>
      </c>
      <c r="J15" s="106">
        <v>1300</v>
      </c>
      <c r="K15" s="107">
        <f t="shared" si="3"/>
        <v>2600000</v>
      </c>
      <c r="L15" s="108">
        <f t="shared" si="4"/>
        <v>0.14933946008041354</v>
      </c>
    </row>
    <row r="16" spans="1:13" ht="15.75" x14ac:dyDescent="0.25">
      <c r="A16" s="86"/>
      <c r="B16" s="111" t="s">
        <v>7668</v>
      </c>
      <c r="C16" s="112">
        <v>200</v>
      </c>
      <c r="D16" s="112">
        <f t="shared" si="0"/>
        <v>0</v>
      </c>
      <c r="E16" s="112">
        <f t="shared" si="1"/>
        <v>0</v>
      </c>
      <c r="F16" s="113">
        <f t="shared" si="2"/>
        <v>0</v>
      </c>
      <c r="G16" s="86"/>
      <c r="H16" s="105" t="s">
        <v>36</v>
      </c>
      <c r="I16" s="105" t="s">
        <v>7663</v>
      </c>
      <c r="J16" s="106">
        <v>5150</v>
      </c>
      <c r="K16" s="107">
        <f t="shared" si="3"/>
        <v>6180000</v>
      </c>
      <c r="L16" s="108">
        <f t="shared" si="4"/>
        <v>0.35496840896036763</v>
      </c>
    </row>
    <row r="17" spans="1:12" ht="15.75" x14ac:dyDescent="0.25">
      <c r="A17" s="86"/>
      <c r="B17" s="102" t="s">
        <v>7669</v>
      </c>
      <c r="C17" s="103">
        <v>5000</v>
      </c>
      <c r="D17" s="103">
        <f t="shared" si="0"/>
        <v>390</v>
      </c>
      <c r="E17" s="103">
        <f t="shared" si="1"/>
        <v>1950000</v>
      </c>
      <c r="F17" s="104">
        <f t="shared" si="2"/>
        <v>1.1316287329240126E-2</v>
      </c>
      <c r="G17" s="86"/>
      <c r="H17" s="105" t="s">
        <v>36</v>
      </c>
      <c r="I17" s="105" t="s">
        <v>7661</v>
      </c>
      <c r="J17" s="106"/>
      <c r="K17" s="107">
        <f t="shared" si="3"/>
        <v>0</v>
      </c>
      <c r="L17" s="108">
        <f t="shared" si="4"/>
        <v>0</v>
      </c>
    </row>
    <row r="18" spans="1:12" ht="15.75" x14ac:dyDescent="0.25">
      <c r="A18" s="86"/>
      <c r="B18" s="115"/>
      <c r="C18" s="115"/>
      <c r="D18" s="115">
        <f>SUM(D7:D17)</f>
        <v>72803</v>
      </c>
      <c r="E18" s="115">
        <f>SUM(E7:E17)</f>
        <v>172318000</v>
      </c>
      <c r="F18" s="116">
        <f>E18/E18</f>
        <v>1</v>
      </c>
      <c r="G18" s="86"/>
      <c r="H18" s="105" t="s">
        <v>36</v>
      </c>
      <c r="I18" s="105" t="s">
        <v>7662</v>
      </c>
      <c r="J18" s="106"/>
      <c r="K18" s="107">
        <f t="shared" si="3"/>
        <v>0</v>
      </c>
      <c r="L18" s="108">
        <f t="shared" si="4"/>
        <v>0</v>
      </c>
    </row>
    <row r="19" spans="1:12" ht="15.75" x14ac:dyDescent="0.25">
      <c r="A19" s="86"/>
      <c r="B19" s="86"/>
      <c r="C19" s="86"/>
      <c r="D19" s="86"/>
      <c r="E19" s="86"/>
      <c r="F19" s="86"/>
      <c r="G19" s="86"/>
      <c r="H19" s="105" t="s">
        <v>55</v>
      </c>
      <c r="I19" s="105" t="s">
        <v>7659</v>
      </c>
      <c r="J19" s="106"/>
      <c r="K19" s="107">
        <f t="shared" si="3"/>
        <v>0</v>
      </c>
      <c r="L19" s="108">
        <f t="shared" si="4"/>
        <v>0</v>
      </c>
    </row>
    <row r="20" spans="1:12" ht="15.75" x14ac:dyDescent="0.25">
      <c r="A20" s="86"/>
      <c r="B20" s="86"/>
      <c r="C20" s="86"/>
      <c r="D20" s="86"/>
      <c r="E20" s="86"/>
      <c r="F20" s="86"/>
      <c r="G20" s="86"/>
      <c r="H20" s="105" t="s">
        <v>55</v>
      </c>
      <c r="I20" s="105" t="s">
        <v>7663</v>
      </c>
      <c r="J20" s="106">
        <v>2500</v>
      </c>
      <c r="K20" s="107">
        <f t="shared" si="3"/>
        <v>3000000</v>
      </c>
      <c r="L20" s="108">
        <f t="shared" si="4"/>
        <v>0.375</v>
      </c>
    </row>
    <row r="21" spans="1:12" ht="15.75" x14ac:dyDescent="0.25">
      <c r="A21" s="86"/>
      <c r="B21" s="86"/>
      <c r="C21" s="86"/>
      <c r="D21" s="86"/>
      <c r="E21" s="86"/>
      <c r="F21" s="86"/>
      <c r="G21" s="86"/>
      <c r="H21" s="105" t="s">
        <v>55</v>
      </c>
      <c r="I21" s="114" t="s">
        <v>7660</v>
      </c>
      <c r="J21" s="106">
        <v>2500</v>
      </c>
      <c r="K21" s="107">
        <f t="shared" si="3"/>
        <v>5000000</v>
      </c>
      <c r="L21" s="108">
        <f t="shared" si="4"/>
        <v>0.625</v>
      </c>
    </row>
    <row r="22" spans="1:12" ht="15.75" x14ac:dyDescent="0.25">
      <c r="A22" s="86"/>
      <c r="B22" s="86"/>
      <c r="C22" s="86"/>
      <c r="D22" s="86"/>
      <c r="E22" s="86"/>
      <c r="F22" s="86"/>
      <c r="G22" s="86"/>
      <c r="H22" s="105" t="s">
        <v>55</v>
      </c>
      <c r="I22" s="105" t="s">
        <v>7661</v>
      </c>
      <c r="J22" s="106"/>
      <c r="K22" s="107">
        <f t="shared" si="3"/>
        <v>0</v>
      </c>
      <c r="L22" s="108">
        <f t="shared" si="4"/>
        <v>0</v>
      </c>
    </row>
    <row r="23" spans="1:12" ht="15.75" x14ac:dyDescent="0.25">
      <c r="A23" s="86"/>
      <c r="B23" s="86"/>
      <c r="C23" s="86"/>
      <c r="D23" s="86"/>
      <c r="E23" s="86"/>
      <c r="F23" s="86"/>
      <c r="G23" s="86"/>
      <c r="H23" s="105" t="s">
        <v>33</v>
      </c>
      <c r="I23" s="114" t="s">
        <v>7663</v>
      </c>
      <c r="J23" s="106">
        <v>360</v>
      </c>
      <c r="K23" s="107">
        <f t="shared" si="3"/>
        <v>432000</v>
      </c>
      <c r="L23" s="108">
        <f t="shared" si="4"/>
        <v>7.7950198484301694E-2</v>
      </c>
    </row>
    <row r="24" spans="1:12" ht="15.75" x14ac:dyDescent="0.25">
      <c r="A24" s="86"/>
      <c r="B24" s="86"/>
      <c r="C24" s="86"/>
      <c r="D24" s="86"/>
      <c r="E24" s="86"/>
      <c r="F24" s="86"/>
      <c r="G24" s="86"/>
      <c r="H24" s="105" t="s">
        <v>33</v>
      </c>
      <c r="I24" s="105" t="s">
        <v>7660</v>
      </c>
      <c r="J24" s="106">
        <v>1580</v>
      </c>
      <c r="K24" s="107">
        <f t="shared" si="3"/>
        <v>3160000</v>
      </c>
      <c r="L24" s="108">
        <f t="shared" si="4"/>
        <v>0.5701912666907254</v>
      </c>
    </row>
    <row r="25" spans="1:12" ht="15.75" x14ac:dyDescent="0.25">
      <c r="A25" s="86"/>
      <c r="B25" s="92" t="s">
        <v>7670</v>
      </c>
      <c r="C25" s="86"/>
      <c r="D25" s="86"/>
      <c r="E25" s="86"/>
      <c r="F25" s="86"/>
      <c r="G25" s="86"/>
      <c r="H25" s="105" t="s">
        <v>33</v>
      </c>
      <c r="I25" s="105" t="s">
        <v>7669</v>
      </c>
      <c r="J25" s="106">
        <v>390</v>
      </c>
      <c r="K25" s="107">
        <f t="shared" si="3"/>
        <v>1950000</v>
      </c>
      <c r="L25" s="108">
        <f t="shared" si="4"/>
        <v>0.35185853482497292</v>
      </c>
    </row>
    <row r="26" spans="1:12" ht="15.75" x14ac:dyDescent="0.25">
      <c r="A26" s="86"/>
      <c r="B26" s="86"/>
      <c r="C26" s="86"/>
      <c r="D26" s="86"/>
      <c r="E26" s="86"/>
      <c r="F26" s="86"/>
      <c r="G26" s="111"/>
      <c r="H26" s="105"/>
      <c r="I26" s="105"/>
      <c r="J26" s="106"/>
      <c r="K26" s="107">
        <f t="shared" si="3"/>
        <v>0</v>
      </c>
      <c r="L26" s="108"/>
    </row>
    <row r="27" spans="1:12" ht="15.75" x14ac:dyDescent="0.25">
      <c r="A27" s="86"/>
      <c r="B27" s="97" t="s">
        <v>7671</v>
      </c>
      <c r="C27" s="97"/>
      <c r="D27" s="97" t="s">
        <v>7656</v>
      </c>
      <c r="E27" s="97" t="s">
        <v>7657</v>
      </c>
      <c r="F27" s="97" t="s">
        <v>7658</v>
      </c>
      <c r="G27" s="86"/>
      <c r="H27" s="105" t="s">
        <v>60</v>
      </c>
      <c r="I27" s="114" t="s">
        <v>7660</v>
      </c>
      <c r="J27" s="106">
        <v>720</v>
      </c>
      <c r="K27" s="107">
        <f t="shared" si="3"/>
        <v>1440000</v>
      </c>
      <c r="L27" s="108">
        <f t="shared" si="4"/>
        <v>0.67796610169491522</v>
      </c>
    </row>
    <row r="28" spans="1:12" ht="15.75" x14ac:dyDescent="0.25">
      <c r="A28" s="86"/>
      <c r="B28" s="102" t="s">
        <v>24</v>
      </c>
      <c r="C28" s="102"/>
      <c r="D28" s="117">
        <f t="shared" ref="D28:D38" si="5">SUMIF($H$7:$H$45,B28,$J$7:$J$45)</f>
        <v>47168</v>
      </c>
      <c r="E28" s="117">
        <f t="shared" ref="E28:E38" si="6">SUMIF($H$7:$H$45,B28,$K$7:$K$45)</f>
        <v>128496000</v>
      </c>
      <c r="F28" s="104">
        <f t="shared" ref="F28:F38" si="7">E28/E$39</f>
        <v>0.74569110597848165</v>
      </c>
      <c r="G28" s="118"/>
      <c r="H28" s="105" t="s">
        <v>60</v>
      </c>
      <c r="I28" s="105" t="s">
        <v>7666</v>
      </c>
      <c r="J28" s="106"/>
      <c r="K28" s="107">
        <f t="shared" si="3"/>
        <v>0</v>
      </c>
      <c r="L28" s="108">
        <f t="shared" si="4"/>
        <v>0</v>
      </c>
    </row>
    <row r="29" spans="1:12" ht="15.75" x14ac:dyDescent="0.25">
      <c r="A29" s="86"/>
      <c r="B29" s="102" t="s">
        <v>36</v>
      </c>
      <c r="C29" s="102"/>
      <c r="D29" s="117">
        <f t="shared" si="5"/>
        <v>10765</v>
      </c>
      <c r="E29" s="117">
        <f t="shared" si="6"/>
        <v>17410000</v>
      </c>
      <c r="F29" s="104">
        <f t="shared" si="7"/>
        <v>0.1010341345651644</v>
      </c>
      <c r="G29" s="118"/>
      <c r="H29" s="105"/>
      <c r="I29" s="105"/>
      <c r="J29" s="106"/>
      <c r="K29" s="107">
        <f t="shared" si="3"/>
        <v>0</v>
      </c>
      <c r="L29" s="108"/>
    </row>
    <row r="30" spans="1:12" ht="15.75" x14ac:dyDescent="0.25">
      <c r="A30" s="86"/>
      <c r="B30" s="102" t="s">
        <v>55</v>
      </c>
      <c r="C30" s="102"/>
      <c r="D30" s="117">
        <f t="shared" si="5"/>
        <v>5000</v>
      </c>
      <c r="E30" s="117">
        <f t="shared" si="6"/>
        <v>8000000</v>
      </c>
      <c r="F30" s="104">
        <f t="shared" si="7"/>
        <v>4.6425794171241541E-2</v>
      </c>
      <c r="G30" s="118"/>
      <c r="H30" s="105" t="s">
        <v>60</v>
      </c>
      <c r="I30" s="105" t="s">
        <v>7663</v>
      </c>
      <c r="J30" s="106">
        <v>570</v>
      </c>
      <c r="K30" s="107">
        <f t="shared" si="3"/>
        <v>684000</v>
      </c>
      <c r="L30" s="108">
        <f t="shared" si="4"/>
        <v>0.32203389830508472</v>
      </c>
    </row>
    <row r="31" spans="1:12" ht="15.75" x14ac:dyDescent="0.25">
      <c r="A31" s="86"/>
      <c r="B31" s="102" t="s">
        <v>33</v>
      </c>
      <c r="C31" s="102"/>
      <c r="D31" s="117">
        <f t="shared" si="5"/>
        <v>2330</v>
      </c>
      <c r="E31" s="117">
        <f t="shared" si="6"/>
        <v>5542000</v>
      </c>
      <c r="F31" s="104">
        <f t="shared" si="7"/>
        <v>3.216146891212758E-2</v>
      </c>
      <c r="G31" s="118"/>
      <c r="H31" s="105" t="s">
        <v>17</v>
      </c>
      <c r="I31" s="114" t="s">
        <v>7660</v>
      </c>
      <c r="J31" s="106">
        <v>660</v>
      </c>
      <c r="K31" s="107">
        <f t="shared" si="3"/>
        <v>1320000</v>
      </c>
      <c r="L31" s="108">
        <f t="shared" si="4"/>
        <v>0.66265060240963858</v>
      </c>
    </row>
    <row r="32" spans="1:12" ht="15.75" x14ac:dyDescent="0.25">
      <c r="A32" s="86"/>
      <c r="B32" s="102" t="s">
        <v>60</v>
      </c>
      <c r="C32" s="102"/>
      <c r="D32" s="117">
        <f t="shared" si="5"/>
        <v>1290</v>
      </c>
      <c r="E32" s="117">
        <f t="shared" si="6"/>
        <v>2124000</v>
      </c>
      <c r="F32" s="104">
        <f t="shared" si="7"/>
        <v>1.232604835246463E-2</v>
      </c>
      <c r="G32" s="118"/>
      <c r="H32" s="105" t="s">
        <v>17</v>
      </c>
      <c r="I32" s="105" t="s">
        <v>7663</v>
      </c>
      <c r="J32" s="106">
        <v>560</v>
      </c>
      <c r="K32" s="107">
        <f t="shared" si="3"/>
        <v>672000</v>
      </c>
      <c r="L32" s="108">
        <f t="shared" si="4"/>
        <v>0.33734939759036142</v>
      </c>
    </row>
    <row r="33" spans="1:12" ht="15.75" x14ac:dyDescent="0.25">
      <c r="A33" s="86"/>
      <c r="B33" s="102" t="s">
        <v>17</v>
      </c>
      <c r="C33" s="102"/>
      <c r="D33" s="117">
        <f t="shared" si="5"/>
        <v>1220</v>
      </c>
      <c r="E33" s="117">
        <f t="shared" si="6"/>
        <v>1992000</v>
      </c>
      <c r="F33" s="104">
        <f t="shared" si="7"/>
        <v>1.1560022748639143E-2</v>
      </c>
      <c r="G33" s="118"/>
      <c r="H33" s="105"/>
      <c r="I33" s="105"/>
      <c r="J33" s="106"/>
      <c r="K33" s="107">
        <f t="shared" si="3"/>
        <v>0</v>
      </c>
      <c r="L33" s="108"/>
    </row>
    <row r="34" spans="1:12" ht="15.75" x14ac:dyDescent="0.25">
      <c r="A34" s="86"/>
      <c r="B34" s="102" t="s">
        <v>49</v>
      </c>
      <c r="C34" s="102"/>
      <c r="D34" s="117">
        <f t="shared" si="5"/>
        <v>0</v>
      </c>
      <c r="E34" s="117">
        <f t="shared" si="6"/>
        <v>0</v>
      </c>
      <c r="F34" s="104">
        <f t="shared" si="7"/>
        <v>0</v>
      </c>
      <c r="G34" s="118"/>
      <c r="H34" s="105" t="s">
        <v>28</v>
      </c>
      <c r="I34" s="114" t="s">
        <v>7660</v>
      </c>
      <c r="J34" s="106">
        <v>1450</v>
      </c>
      <c r="K34" s="107">
        <f t="shared" si="3"/>
        <v>2900000</v>
      </c>
      <c r="L34" s="108">
        <f t="shared" si="4"/>
        <v>0.42335766423357662</v>
      </c>
    </row>
    <row r="35" spans="1:12" ht="15.75" x14ac:dyDescent="0.25">
      <c r="A35" s="86"/>
      <c r="B35" s="102" t="s">
        <v>7672</v>
      </c>
      <c r="C35" s="102"/>
      <c r="D35" s="117">
        <f t="shared" si="5"/>
        <v>0</v>
      </c>
      <c r="E35" s="117">
        <f t="shared" si="6"/>
        <v>0</v>
      </c>
      <c r="F35" s="104">
        <f t="shared" si="7"/>
        <v>0</v>
      </c>
      <c r="G35" s="118"/>
      <c r="H35" s="105" t="s">
        <v>28</v>
      </c>
      <c r="I35" s="105" t="s">
        <v>7659</v>
      </c>
      <c r="J35" s="106">
        <v>500</v>
      </c>
      <c r="K35" s="107">
        <f t="shared" si="3"/>
        <v>1000000</v>
      </c>
      <c r="L35" s="108">
        <f t="shared" si="4"/>
        <v>0.145985401459854</v>
      </c>
    </row>
    <row r="36" spans="1:12" ht="15.75" x14ac:dyDescent="0.25">
      <c r="A36" s="86"/>
      <c r="B36" s="102" t="s">
        <v>7673</v>
      </c>
      <c r="C36" s="102"/>
      <c r="D36" s="117">
        <f t="shared" si="5"/>
        <v>0</v>
      </c>
      <c r="E36" s="117">
        <f t="shared" si="6"/>
        <v>0</v>
      </c>
      <c r="F36" s="104">
        <f t="shared" si="7"/>
        <v>0</v>
      </c>
      <c r="G36" s="118"/>
      <c r="H36" s="105" t="s">
        <v>28</v>
      </c>
      <c r="I36" s="105" t="s">
        <v>7669</v>
      </c>
      <c r="J36" s="106"/>
      <c r="K36" s="107">
        <f t="shared" si="3"/>
        <v>0</v>
      </c>
      <c r="L36" s="108">
        <f t="shared" si="4"/>
        <v>0</v>
      </c>
    </row>
    <row r="37" spans="1:12" ht="15.75" x14ac:dyDescent="0.25">
      <c r="A37" s="86"/>
      <c r="B37" s="102" t="s">
        <v>28</v>
      </c>
      <c r="C37" s="102"/>
      <c r="D37" s="117">
        <f t="shared" si="5"/>
        <v>3950</v>
      </c>
      <c r="E37" s="117">
        <f t="shared" si="6"/>
        <v>6850000</v>
      </c>
      <c r="F37" s="104">
        <f t="shared" si="7"/>
        <v>3.9752086259125567E-2</v>
      </c>
      <c r="G37" s="118"/>
      <c r="H37" s="105" t="s">
        <v>28</v>
      </c>
      <c r="I37" s="105" t="s">
        <v>7663</v>
      </c>
      <c r="J37" s="106">
        <v>1000</v>
      </c>
      <c r="K37" s="107">
        <f t="shared" si="3"/>
        <v>1200000</v>
      </c>
      <c r="L37" s="108">
        <f t="shared" si="4"/>
        <v>0.17518248175182483</v>
      </c>
    </row>
    <row r="38" spans="1:12" ht="15.75" x14ac:dyDescent="0.25">
      <c r="A38" s="86"/>
      <c r="B38" s="119" t="s">
        <v>131</v>
      </c>
      <c r="C38" s="102"/>
      <c r="D38" s="117">
        <f t="shared" si="5"/>
        <v>1080</v>
      </c>
      <c r="E38" s="117">
        <f t="shared" si="6"/>
        <v>1904000</v>
      </c>
      <c r="F38" s="104">
        <f t="shared" si="7"/>
        <v>1.1049339012755488E-2</v>
      </c>
      <c r="G38" s="118"/>
      <c r="H38" s="105" t="s">
        <v>28</v>
      </c>
      <c r="I38" s="105" t="s">
        <v>7666</v>
      </c>
      <c r="J38" s="106"/>
      <c r="K38" s="107">
        <f t="shared" si="3"/>
        <v>0</v>
      </c>
      <c r="L38" s="108">
        <f t="shared" si="4"/>
        <v>0</v>
      </c>
    </row>
    <row r="39" spans="1:12" ht="15.75" x14ac:dyDescent="0.25">
      <c r="A39" s="86"/>
      <c r="B39" s="115"/>
      <c r="C39" s="120"/>
      <c r="D39" s="115">
        <f>SUM(D28:D38)</f>
        <v>72803</v>
      </c>
      <c r="E39" s="115">
        <f>SUM(E28:E38)</f>
        <v>172318000</v>
      </c>
      <c r="F39" s="116">
        <f>E39/E39</f>
        <v>1</v>
      </c>
      <c r="G39" s="86"/>
      <c r="H39" s="105" t="s">
        <v>28</v>
      </c>
      <c r="I39" s="105" t="s">
        <v>7667</v>
      </c>
      <c r="J39" s="106">
        <v>500</v>
      </c>
      <c r="K39" s="107">
        <f t="shared" si="3"/>
        <v>750000</v>
      </c>
      <c r="L39" s="108">
        <f t="shared" si="4"/>
        <v>0.10948905109489052</v>
      </c>
    </row>
    <row r="40" spans="1:12" ht="15.75" x14ac:dyDescent="0.25">
      <c r="A40" s="86"/>
      <c r="B40" s="86"/>
      <c r="C40" s="86"/>
      <c r="D40" s="86"/>
      <c r="E40" s="86"/>
      <c r="F40" s="86"/>
      <c r="G40" s="86"/>
      <c r="H40" s="105" t="s">
        <v>28</v>
      </c>
      <c r="I40" s="105" t="s">
        <v>7661</v>
      </c>
      <c r="J40" s="106">
        <v>500</v>
      </c>
      <c r="K40" s="107">
        <f t="shared" si="3"/>
        <v>1000000</v>
      </c>
      <c r="L40" s="108">
        <f t="shared" si="4"/>
        <v>0.145985401459854</v>
      </c>
    </row>
    <row r="41" spans="1:12" ht="15.75" x14ac:dyDescent="0.25">
      <c r="A41" s="86"/>
      <c r="B41" s="86"/>
      <c r="C41" s="86"/>
      <c r="D41" s="86"/>
      <c r="E41" s="86"/>
      <c r="F41" s="86"/>
      <c r="G41" s="86"/>
      <c r="H41" s="105" t="s">
        <v>49</v>
      </c>
      <c r="I41" s="105" t="s">
        <v>7666</v>
      </c>
      <c r="J41" s="106"/>
      <c r="K41" s="107">
        <f t="shared" si="3"/>
        <v>0</v>
      </c>
      <c r="L41" s="108">
        <v>1</v>
      </c>
    </row>
    <row r="42" spans="1:12" ht="15.75" x14ac:dyDescent="0.25">
      <c r="A42" s="86"/>
      <c r="B42" s="86"/>
      <c r="C42" s="86"/>
      <c r="D42" s="86"/>
      <c r="E42" s="86"/>
      <c r="F42" s="86"/>
      <c r="G42" s="86"/>
      <c r="H42" s="105" t="s">
        <v>7672</v>
      </c>
      <c r="I42" s="105" t="s">
        <v>7666</v>
      </c>
      <c r="J42" s="106"/>
      <c r="K42" s="107">
        <f t="shared" si="3"/>
        <v>0</v>
      </c>
      <c r="L42" s="108">
        <v>1</v>
      </c>
    </row>
    <row r="43" spans="1:12" ht="15.75" x14ac:dyDescent="0.25">
      <c r="A43" s="86"/>
      <c r="B43" s="86"/>
      <c r="C43" s="86"/>
      <c r="D43" s="86"/>
      <c r="E43" s="86"/>
      <c r="F43" s="86"/>
      <c r="G43" s="86"/>
      <c r="H43" s="105" t="s">
        <v>7673</v>
      </c>
      <c r="I43" s="105" t="s">
        <v>7666</v>
      </c>
      <c r="J43" s="106"/>
      <c r="K43" s="107">
        <f t="shared" si="3"/>
        <v>0</v>
      </c>
      <c r="L43" s="108">
        <v>1</v>
      </c>
    </row>
    <row r="44" spans="1:12" ht="15.75" x14ac:dyDescent="0.25">
      <c r="A44" s="86"/>
      <c r="B44" s="86"/>
      <c r="C44" s="86"/>
      <c r="D44" s="86"/>
      <c r="E44" s="86"/>
      <c r="F44" s="86"/>
      <c r="G44" s="86"/>
      <c r="H44" s="105" t="s">
        <v>131</v>
      </c>
      <c r="I44" s="114" t="s">
        <v>7660</v>
      </c>
      <c r="J44" s="106">
        <v>760</v>
      </c>
      <c r="K44" s="107">
        <f t="shared" si="3"/>
        <v>1520000</v>
      </c>
      <c r="L44" s="108">
        <f t="shared" si="4"/>
        <v>0.79831932773109249</v>
      </c>
    </row>
    <row r="45" spans="1:12" ht="15.75" x14ac:dyDescent="0.25">
      <c r="A45" s="86"/>
      <c r="B45" s="92"/>
      <c r="C45" s="86"/>
      <c r="D45" s="86"/>
      <c r="E45" s="86"/>
      <c r="F45" s="86"/>
      <c r="G45" s="86"/>
      <c r="H45" s="105" t="s">
        <v>131</v>
      </c>
      <c r="I45" s="105" t="s">
        <v>7663</v>
      </c>
      <c r="J45" s="106">
        <v>320</v>
      </c>
      <c r="K45" s="107">
        <f t="shared" si="3"/>
        <v>384000</v>
      </c>
      <c r="L45" s="108">
        <f t="shared" si="4"/>
        <v>0.20168067226890757</v>
      </c>
    </row>
    <row r="46" spans="1:12" ht="15.75" x14ac:dyDescent="0.25">
      <c r="A46" s="86"/>
      <c r="B46" s="86"/>
      <c r="C46" s="86"/>
      <c r="D46" s="86"/>
      <c r="E46" s="86"/>
      <c r="F46" s="86"/>
      <c r="G46" s="86"/>
      <c r="H46" s="121"/>
      <c r="I46" s="121"/>
      <c r="J46" s="122"/>
      <c r="K46" s="121">
        <f>SUM(K7:K45)</f>
        <v>172318000</v>
      </c>
      <c r="L46" s="123"/>
    </row>
    <row r="49" spans="2:2" ht="15.75" x14ac:dyDescent="0.25">
      <c r="B49" s="91"/>
    </row>
  </sheetData>
  <autoFilter ref="H6:L46"/>
  <pageMargins left="0.511811024" right="0.511811024" top="0.78740157499999996" bottom="0.78740157499999996" header="0.31496062000000002" footer="0.31496062000000002"/>
  <pageSetup paperSize="9" scale="62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7"/>
  <sheetViews>
    <sheetView tabSelected="1" zoomScale="80" zoomScaleNormal="80" workbookViewId="0">
      <pane ySplit="10" topLeftCell="A215" activePane="bottomLeft" state="frozen"/>
      <selection pane="bottomLeft" activeCell="U228" sqref="U228"/>
    </sheetView>
  </sheetViews>
  <sheetFormatPr defaultRowHeight="15" outlineLevelRow="1" x14ac:dyDescent="0.25"/>
  <cols>
    <col min="1" max="1" width="2.7109375" style="6" customWidth="1"/>
    <col min="2" max="2" width="9.140625" style="6" customWidth="1"/>
    <col min="3" max="3" width="0.85546875" style="6" customWidth="1"/>
    <col min="4" max="4" width="41" style="6" customWidth="1"/>
    <col min="5" max="5" width="13.7109375" style="6" customWidth="1"/>
    <col min="6" max="6" width="15.5703125" style="6" customWidth="1"/>
    <col min="7" max="8" width="17.5703125" style="6" customWidth="1"/>
    <col min="9" max="11" width="15.5703125" style="6" customWidth="1"/>
    <col min="12" max="12" width="17.42578125" style="6" customWidth="1"/>
    <col min="13" max="16" width="15.5703125" style="6" customWidth="1"/>
    <col min="17" max="17" width="18.28515625" style="6" bestFit="1" customWidth="1"/>
    <col min="18" max="19" width="9.140625" style="6" customWidth="1"/>
    <col min="20" max="16384" width="9.140625" style="6"/>
  </cols>
  <sheetData>
    <row r="1" spans="1:17" ht="16.5" hidden="1" customHeight="1" outlineLevel="1" x14ac:dyDescent="0.25">
      <c r="A1" s="3"/>
      <c r="B1" s="4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6.5" hidden="1" customHeight="1" outlineLevel="1" x14ac:dyDescent="0.25">
      <c r="A2" s="3"/>
      <c r="B2" s="325" t="s">
        <v>7679</v>
      </c>
      <c r="C2" s="325"/>
      <c r="D2" s="325"/>
      <c r="E2" s="7"/>
      <c r="F2" s="7"/>
      <c r="G2" s="7"/>
      <c r="H2" s="7"/>
      <c r="I2" s="7"/>
      <c r="J2" s="7"/>
      <c r="M2" s="3"/>
      <c r="N2" s="3"/>
      <c r="O2" s="8"/>
      <c r="P2" s="3"/>
      <c r="Q2" s="3"/>
    </row>
    <row r="3" spans="1:17" ht="16.5" hidden="1" customHeight="1" outlineLevel="1" x14ac:dyDescent="0.25">
      <c r="A3" s="3"/>
      <c r="B3" s="325"/>
      <c r="C3" s="325"/>
      <c r="D3" s="325"/>
      <c r="E3" s="7"/>
      <c r="F3" s="7"/>
      <c r="G3" s="7"/>
      <c r="H3" s="7"/>
      <c r="I3" s="7"/>
      <c r="J3" s="7"/>
      <c r="M3" s="3"/>
      <c r="N3" s="3"/>
      <c r="O3" s="8"/>
      <c r="P3" s="3"/>
      <c r="Q3" s="3"/>
    </row>
    <row r="4" spans="1:17" ht="16.5" hidden="1" customHeight="1" outlineLevel="1" x14ac:dyDescent="0.3">
      <c r="A4" s="3"/>
      <c r="B4" s="9" t="s">
        <v>7680</v>
      </c>
      <c r="C4" s="9"/>
      <c r="D4" s="7"/>
      <c r="E4" s="7"/>
      <c r="F4" s="7"/>
      <c r="G4" s="7"/>
      <c r="H4" s="7"/>
      <c r="I4" s="7"/>
      <c r="J4" s="7"/>
      <c r="M4" s="3"/>
      <c r="N4" s="3"/>
      <c r="O4" s="8"/>
      <c r="P4" s="3"/>
      <c r="Q4" s="3"/>
    </row>
    <row r="5" spans="1:17" ht="16.5" hidden="1" customHeight="1" outlineLevel="1" thickBot="1" x14ac:dyDescent="0.35">
      <c r="A5" s="3"/>
      <c r="B5" s="9"/>
      <c r="C5" s="9"/>
      <c r="D5" s="7"/>
      <c r="E5" s="7"/>
      <c r="F5" s="7"/>
      <c r="G5" s="7"/>
      <c r="H5" s="7"/>
      <c r="I5" s="7"/>
      <c r="J5" s="7"/>
      <c r="M5" s="3"/>
      <c r="N5" s="3"/>
      <c r="O5" s="8"/>
      <c r="P5" s="3"/>
      <c r="Q5" s="3"/>
    </row>
    <row r="6" spans="1:17" ht="16.5" hidden="1" customHeight="1" outlineLevel="1" x14ac:dyDescent="0.25">
      <c r="A6" s="3"/>
      <c r="B6" s="10" t="s">
        <v>7787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6.5" hidden="1" customHeight="1" outlineLevel="1" thickBot="1" x14ac:dyDescent="0.3">
      <c r="A7" s="3"/>
      <c r="B7" s="326">
        <f ca="1">TODAY()</f>
        <v>42601</v>
      </c>
      <c r="C7" s="326"/>
      <c r="D7" s="326"/>
      <c r="E7" s="326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ht="15.75" hidden="1" outlineLevel="1" thickBot="1" x14ac:dyDescent="0.3">
      <c r="A8" s="3"/>
      <c r="B8" s="3"/>
      <c r="C8" s="1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5.75" collapsed="1" thickBot="1" x14ac:dyDescent="0.3">
      <c r="A9" s="15"/>
      <c r="B9" s="318" t="s">
        <v>3</v>
      </c>
      <c r="C9" s="318"/>
      <c r="D9" s="318"/>
      <c r="E9" s="16">
        <v>1</v>
      </c>
      <c r="F9" s="16">
        <v>2</v>
      </c>
      <c r="G9" s="16">
        <v>3</v>
      </c>
      <c r="H9" s="16">
        <v>4</v>
      </c>
      <c r="I9" s="16">
        <v>5</v>
      </c>
      <c r="J9" s="16">
        <v>6</v>
      </c>
      <c r="K9" s="16">
        <v>7</v>
      </c>
      <c r="L9" s="16">
        <v>8</v>
      </c>
      <c r="M9" s="16">
        <v>9</v>
      </c>
      <c r="N9" s="16">
        <v>10</v>
      </c>
      <c r="O9" s="16">
        <v>11</v>
      </c>
      <c r="P9" s="17"/>
      <c r="Q9" s="318" t="s">
        <v>7681</v>
      </c>
    </row>
    <row r="10" spans="1:17" ht="15.75" thickBot="1" x14ac:dyDescent="0.3">
      <c r="A10" s="15"/>
      <c r="B10" s="318"/>
      <c r="C10" s="318"/>
      <c r="D10" s="318"/>
      <c r="E10" s="18" t="s">
        <v>7682</v>
      </c>
      <c r="F10" s="18" t="s">
        <v>20</v>
      </c>
      <c r="G10" s="18" t="s">
        <v>37</v>
      </c>
      <c r="H10" s="18" t="s">
        <v>322</v>
      </c>
      <c r="I10" s="18" t="s">
        <v>336</v>
      </c>
      <c r="J10" s="18" t="s">
        <v>7675</v>
      </c>
      <c r="K10" s="18" t="s">
        <v>156</v>
      </c>
      <c r="L10" s="18" t="s">
        <v>42</v>
      </c>
      <c r="M10" s="18" t="s">
        <v>211</v>
      </c>
      <c r="N10" s="18" t="s">
        <v>29</v>
      </c>
      <c r="O10" s="18" t="s">
        <v>52</v>
      </c>
      <c r="P10" s="18" t="s">
        <v>7683</v>
      </c>
      <c r="Q10" s="318"/>
    </row>
    <row r="11" spans="1:17" ht="15.75" thickBot="1" x14ac:dyDescent="0.3">
      <c r="A11" s="19"/>
      <c r="B11" s="20"/>
      <c r="C11" s="20"/>
      <c r="D11" s="20"/>
      <c r="E11" s="21"/>
      <c r="F11" s="317"/>
      <c r="G11" s="316"/>
      <c r="H11" s="316"/>
      <c r="I11" s="316"/>
      <c r="J11" s="316"/>
      <c r="K11" s="316"/>
      <c r="L11" s="316"/>
      <c r="M11" s="316"/>
      <c r="N11" s="316"/>
      <c r="O11" s="316"/>
      <c r="P11" s="21"/>
      <c r="Q11" s="20"/>
    </row>
    <row r="12" spans="1:17" ht="15.75" thickBot="1" x14ac:dyDescent="0.3">
      <c r="A12" s="19"/>
      <c r="B12" s="20"/>
      <c r="C12" s="20"/>
      <c r="D12" s="22"/>
      <c r="E12" s="23" t="s">
        <v>7684</v>
      </c>
      <c r="F12" s="24">
        <v>10820</v>
      </c>
      <c r="G12" s="24">
        <v>0</v>
      </c>
      <c r="H12" s="24">
        <v>9000</v>
      </c>
      <c r="I12" s="24">
        <v>0</v>
      </c>
      <c r="J12" s="24">
        <v>15000</v>
      </c>
      <c r="K12" s="24">
        <v>8000</v>
      </c>
      <c r="L12" s="24">
        <v>2000</v>
      </c>
      <c r="M12" s="24">
        <v>3500</v>
      </c>
      <c r="N12" s="24">
        <v>0</v>
      </c>
      <c r="O12" s="24">
        <v>5700</v>
      </c>
      <c r="P12" s="25"/>
      <c r="Q12" s="26"/>
    </row>
    <row r="13" spans="1:17" ht="15.75" thickBot="1" x14ac:dyDescent="0.3">
      <c r="A13" s="27"/>
      <c r="B13" s="28"/>
      <c r="C13" s="29"/>
      <c r="D13" s="30"/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3" t="s">
        <v>7784</v>
      </c>
      <c r="P13" s="32"/>
      <c r="Q13" s="34"/>
    </row>
    <row r="14" spans="1:17" ht="15.75" thickBot="1" x14ac:dyDescent="0.3">
      <c r="A14" s="27"/>
      <c r="B14" s="319" t="s">
        <v>7685</v>
      </c>
      <c r="C14" s="35"/>
      <c r="D14" s="36" t="s">
        <v>24</v>
      </c>
      <c r="E14" s="37">
        <f t="array" ref="E14">SUM(IF((ProjecaoAreas!$B$28:$B$38=ResumoCusto!D14),ProjecaoAreas!$D$28:$D$38))</f>
        <v>47168</v>
      </c>
      <c r="F14" s="37">
        <f t="array" ref="F14">(SUM(IF((Tabela_GM_PEDIDOS_2017_FIM[TIPO_GRUPO]=ResumoCusto!F$10)*(Tabela_GM_PEDIDOS_2017_FIM[FILIAL]=ResumoCusto!$D14),Tabela_GM_PEDIDOS_2017_FIM[VALOR_PAGAR]+Tabela_GM_PEDIDOS_2017_FIM[VC_FINANCEIRA]))/1000)+F12</f>
        <v>42995.749177749996</v>
      </c>
      <c r="G14" s="37">
        <f t="array" ref="G14">(SUM(IF((Tabela_GM_PEDIDOS_2017_FIM[TIPO_GRUPO]=ResumoCusto!G$10)*(Tabela_GM_PEDIDOS_2017_FIM[FILIAL]=ResumoCusto!$D14),Tabela_GM_PEDIDOS_2017_FIM[VALOR_PAGAR]+Tabela_GM_PEDIDOS_2017_FIM[VC_FINANCEIRA]))/1000)+G12</f>
        <v>29482.666735400002</v>
      </c>
      <c r="H14" s="37">
        <f t="array" ref="H14">(SUM(IF((Tabela_GM_PEDIDOS_2017_FIM[TIPO_GRUPO]=ResumoCusto!H$10)*(Tabela_GM_PEDIDOS_2017_FIM[FILIAL]=ResumoCusto!$D14),Tabela_GM_PEDIDOS_2017_FIM[VALOR_PAGAR]+Tabela_GM_PEDIDOS_2017_FIM[VC_FINANCEIRA]))/1000)+H12</f>
        <v>9000</v>
      </c>
      <c r="I14" s="37">
        <f>Frete!C8/1000</f>
        <v>9244.8183114614931</v>
      </c>
      <c r="J14" s="37">
        <f t="array" ref="J14">(SUM(IF((Tabela_GM_PEDIDOS_2017_FIM[TIPO_GRUPO]=ResumoCusto!J$10)*(Tabela_GM_PEDIDOS_2017_FIM[FILIAL]=ResumoCusto!$D14),Tabela_GM_PEDIDOS_2017_FIM[VALOR_PAGAR]+Tabela_GM_PEDIDOS_2017_FIM[VC_FINANCEIRA]))/1000)+J12</f>
        <v>15000</v>
      </c>
      <c r="K14" s="37">
        <f t="array" ref="K14">(SUM(IF((Tabela_GM_PEDIDOS_2017_FIM[TIPO_GRUPO]=ResumoCusto!K$10)*(Tabela_GM_PEDIDOS_2017_FIM[FILIAL]=ResumoCusto!$D14),Tabela_GM_PEDIDOS_2017_FIM[VALOR_PAGAR]+Tabela_GM_PEDIDOS_2017_FIM[VC_FINANCEIRA]))/1000)+K12</f>
        <v>8000</v>
      </c>
      <c r="L14" s="37">
        <f t="array" ref="L14">(SUM(IF((Tabela_GM_PEDIDOS_2017_FIM[TIPO_GRUPO]=ResumoCusto!L$10)*(Tabela_GM_PEDIDOS_2017_FIM[FILIAL]=ResumoCusto!$D14),Tabela_GM_PEDIDOS_2017_FIM[VALOR_PAGAR]+Tabela_GM_PEDIDOS_2017_FIM[VC_FINANCEIRA]))/1000)+L12</f>
        <v>5344.4974899999997</v>
      </c>
      <c r="M14" s="37">
        <f t="array" ref="M14">(SUM(IF((Tabela_GM_PEDIDOS_2017_FIM[TIPO_GRUPO]=ResumoCusto!M$10)*(Tabela_GM_PEDIDOS_2017_FIM[FILIAL]=ResumoCusto!$D14),Tabela_GM_PEDIDOS_2017_FIM[VALOR_PAGAR]+Tabela_GM_PEDIDOS_2017_FIM[VC_FINANCEIRA]))/1000)+M12</f>
        <v>3500</v>
      </c>
      <c r="N14" s="37">
        <f t="array" ref="N14">(SUM(IF((Tabela_GM_PEDIDOS_2017_FIM[TIPO_GRUPO]=ResumoCusto!N$10)*(Tabela_GM_PEDIDOS_2017_FIM[FILIAL]=ResumoCusto!$D14),Tabela_GM_PEDIDOS_2017_FIM[VALOR_PAGAR]+Tabela_GM_PEDIDOS_2017_FIM[VC_FINANCEIRA]))/1000)+N12</f>
        <v>289.33199999999999</v>
      </c>
      <c r="O14" s="37">
        <f t="array" ref="O14">(SUM(IF((Tabela_GM_PEDIDOS_2017_FIM[TIPO_GRUPO]=ResumoCusto!O$10)*(Tabela_GM_PEDIDOS_2017_FIM[FILIAL]=ResumoCusto!$D14),Tabela_GM_PEDIDOS_2017_FIM[VALOR_PAGAR]+Tabela_GM_PEDIDOS_2017_FIM[VC_FINANCEIRA]))/1000)+O12</f>
        <v>5736.3023999999996</v>
      </c>
      <c r="P14" s="37">
        <f>SUM(F14:O14)</f>
        <v>128593.36611461149</v>
      </c>
      <c r="Q14" s="38">
        <f>P14/E14*1000</f>
        <v>2726.2840509373195</v>
      </c>
    </row>
    <row r="15" spans="1:17" ht="15" customHeight="1" thickBot="1" x14ac:dyDescent="0.3">
      <c r="A15" s="27"/>
      <c r="B15" s="320"/>
      <c r="C15" s="35"/>
      <c r="D15" s="39" t="s">
        <v>7786</v>
      </c>
      <c r="E15" s="40"/>
      <c r="F15" s="41">
        <f t="array" ref="F15">SUM(IF((ProjecaoAreas!$H$6:$H$46=ResumoCusto!$D$14)*(ProjecaoAreas!$I$6:$I$46=ResumoCusto!$D16),ProjecaoAreas!$L$6:$L$46))</f>
        <v>0.18472170339932761</v>
      </c>
      <c r="G15" s="41">
        <f t="array" ref="G15">SUM(IF((ProjecaoAreas!$H$6:$H$46=ResumoCusto!$D$14)*(ProjecaoAreas!$I$6:$I$46=ResumoCusto!$D16),ProjecaoAreas!$L$6:$L$46))</f>
        <v>0.18472170339932761</v>
      </c>
      <c r="H15" s="41">
        <f t="array" ref="H15">SUM(IF((ProjecaoAreas!$H$6:$H$46=ResumoCusto!$D$14)*(ProjecaoAreas!$I$6:$I$46=ResumoCusto!$D16),ProjecaoAreas!$L$6:$L$46))</f>
        <v>0.18472170339932761</v>
      </c>
      <c r="I15" s="41">
        <v>0.34699999999999998</v>
      </c>
      <c r="J15" s="41">
        <f t="array" ref="J15">SUM(IF((ProjecaoAreas!$H$6:$H$46=ResumoCusto!$D$14)*(ProjecaoAreas!$I$6:$I$46=ResumoCusto!$D16),ProjecaoAreas!$L$6:$L$46))</f>
        <v>0.18472170339932761</v>
      </c>
      <c r="K15" s="41">
        <f t="array" ref="K15">SUM(IF((ProjecaoAreas!$H$6:$H$46=ResumoCusto!$D$14)*(ProjecaoAreas!$I$6:$I$46=ResumoCusto!$D16),ProjecaoAreas!$L$6:$L$46))</f>
        <v>0.18472170339932761</v>
      </c>
      <c r="L15" s="41">
        <f t="array" ref="L15">SUM(IF((ProjecaoAreas!$H$6:$H$46=ResumoCusto!$D$14)*(ProjecaoAreas!$I$6:$I$46=ResumoCusto!$D16),ProjecaoAreas!$L$6:$L$46))</f>
        <v>0.18472170339932761</v>
      </c>
      <c r="M15" s="41">
        <f t="array" ref="M15">SUM(IF((ProjecaoAreas!$H$6:$H$46=ResumoCusto!$D$14)*(ProjecaoAreas!$I$6:$I$46=ResumoCusto!$D16),ProjecaoAreas!$L$6:$L$46))</f>
        <v>0.18472170339932761</v>
      </c>
      <c r="N15" s="41">
        <f t="array" ref="N15">SUM(IF((ProjecaoAreas!$H$6:$H$46=ResumoCusto!$D$14)*(ProjecaoAreas!$I$6:$I$46=ResumoCusto!$D16),ProjecaoAreas!$L$6:$L$46))</f>
        <v>0.18472170339932761</v>
      </c>
      <c r="O15" s="41">
        <f t="array" ref="O15">SUM(IF((ProjecaoAreas!$H$6:$H$46=ResumoCusto!$D$14)*(ProjecaoAreas!$I$6:$I$46=ResumoCusto!$D16),ProjecaoAreas!$L$6:$L$46))</f>
        <v>0.18472170339932761</v>
      </c>
      <c r="P15" s="40"/>
      <c r="Q15" s="42"/>
    </row>
    <row r="16" spans="1:17" ht="15.75" customHeight="1" thickBot="1" x14ac:dyDescent="0.3">
      <c r="A16" s="27"/>
      <c r="B16" s="320"/>
      <c r="C16" s="35"/>
      <c r="D16" s="43" t="s">
        <v>7660</v>
      </c>
      <c r="E16" s="44">
        <f t="array" ref="E16">SUM(IF((ProjecaoAreas!$H$6:$H$46=ResumoCusto!$D14)*(ProjecaoAreas!$I$6:$I$46=ResumoCusto!$D16),ProjecaoAreas!$J$6:$J$46))</f>
        <v>11868</v>
      </c>
      <c r="F16" s="44">
        <f>F$14*F15</f>
        <v>7942.2480270442193</v>
      </c>
      <c r="G16" s="44">
        <f t="shared" ref="G16:O16" si="0">G$14*G15</f>
        <v>5446.0884201177814</v>
      </c>
      <c r="H16" s="44">
        <f t="shared" si="0"/>
        <v>1662.4953305939484</v>
      </c>
      <c r="I16" s="44">
        <f>(I$14-Frete!L16)*I15</f>
        <v>654.03195407713804</v>
      </c>
      <c r="J16" s="44">
        <f t="shared" si="0"/>
        <v>2770.8255509899141</v>
      </c>
      <c r="K16" s="44">
        <f t="shared" si="0"/>
        <v>1477.773627194621</v>
      </c>
      <c r="L16" s="44">
        <f t="shared" si="0"/>
        <v>987.24468016623086</v>
      </c>
      <c r="M16" s="44">
        <f t="shared" si="0"/>
        <v>646.52596189764665</v>
      </c>
      <c r="N16" s="44">
        <f t="shared" si="0"/>
        <v>53.445899887934253</v>
      </c>
      <c r="O16" s="44">
        <f t="shared" si="0"/>
        <v>1059.6195505416511</v>
      </c>
      <c r="P16" s="44">
        <f>SUM(F16:O16)</f>
        <v>22700.299002511081</v>
      </c>
      <c r="Q16" s="45">
        <f>P16/E16*1000</f>
        <v>1912.7316314889688</v>
      </c>
    </row>
    <row r="17" spans="1:17" ht="15.75" hidden="1" customHeight="1" outlineLevel="1" thickBot="1" x14ac:dyDescent="0.3">
      <c r="A17" s="27"/>
      <c r="B17" s="320"/>
      <c r="C17" s="35"/>
      <c r="D17" s="46" t="s">
        <v>7686</v>
      </c>
      <c r="E17" s="47" t="s">
        <v>27</v>
      </c>
      <c r="F17" s="47">
        <f t="array" ref="F17">SUM(IF((Tabela_GM_PEDIDOS_2017_FIM[MOEDA]=$E17)*(Tabela_GM_PEDIDOS_2017_FIM[FILIAL]=$D$14)*(Tabela_GM_PEDIDOS_2017_FIM[TIPO_GRUPO]=F$10),Tabela_GM_PEDIDOS_2017_FIM[VALOR_PAGAR]+Tabela_GM_PEDIDOS_2017_FIM[VC_FINANCEIRA]))*F15/1000</f>
        <v>1.7690298785954426</v>
      </c>
      <c r="G17" s="47">
        <f t="array" ref="G17">SUM(IF((Tabela_GM_PEDIDOS_2017_FIM[MOEDA]=$E17)*(Tabela_GM_PEDIDOS_2017_FIM[FILIAL]=$D$14)*(Tabela_GM_PEDIDOS_2017_FIM[TIPO_GRUPO]=G$10),Tabela_GM_PEDIDOS_2017_FIM[VALOR_PAGAR]+Tabela_GM_PEDIDOS_2017_FIM[VC_FINANCEIRA]))*G15/1000</f>
        <v>708.88491487672775</v>
      </c>
      <c r="H17" s="47">
        <f t="array" ref="H17">SUM(IF((Tabela_GM_PEDIDOS_2017_FIM[MOEDA]=$E17)*(Tabela_GM_PEDIDOS_2017_FIM[FILIAL]=$D$14)*(Tabela_GM_PEDIDOS_2017_FIM[TIPO_GRUPO]=H$10),Tabela_GM_PEDIDOS_2017_FIM[VALOR_PAGAR]+Tabela_GM_PEDIDOS_2017_FIM[VC_FINANCEIRA]))*H15/1000</f>
        <v>0</v>
      </c>
      <c r="I17" s="47">
        <f t="array" ref="I17">SUM(IF((Tabela_GM_PEDIDOS_2017_FIM[MOEDA]=$E17)*(Tabela_GM_PEDIDOS_2017_FIM[FILIAL]=$D$14)*(Tabela_GM_PEDIDOS_2017_FIM[TIPO_GRUPO]=I$10),Tabela_GM_PEDIDOS_2017_FIM[VALOR_PAGAR]+Tabela_GM_PEDIDOS_2017_FIM[VC_FINANCEIRA]))*I15/1000</f>
        <v>0</v>
      </c>
      <c r="J17" s="47">
        <f t="array" ref="J17">SUM(IF((Tabela_GM_PEDIDOS_2017_FIM[MOEDA]=$E17)*(Tabela_GM_PEDIDOS_2017_FIM[FILIAL]=$D$14)*(Tabela_GM_PEDIDOS_2017_FIM[TIPO_GRUPO]=J$10),Tabela_GM_PEDIDOS_2017_FIM[VALOR_PAGAR]+Tabela_GM_PEDIDOS_2017_FIM[VC_FINANCEIRA]))*J15/1000</f>
        <v>0</v>
      </c>
      <c r="K17" s="47">
        <f t="array" ref="K17">SUM(IF((Tabela_GM_PEDIDOS_2017_FIM[MOEDA]=$E17)*(Tabela_GM_PEDIDOS_2017_FIM[FILIAL]=$D$14)*(Tabela_GM_PEDIDOS_2017_FIM[TIPO_GRUPO]=K$10),Tabela_GM_PEDIDOS_2017_FIM[VALOR_PAGAR]+Tabela_GM_PEDIDOS_2017_FIM[VC_FINANCEIRA]))*K15/1000</f>
        <v>0</v>
      </c>
      <c r="L17" s="47">
        <f t="array" ref="L17">SUM(IF((Tabela_GM_PEDIDOS_2017_FIM[MOEDA]=$E17)*(Tabela_GM_PEDIDOS_2017_FIM[FILIAL]=$D$14)*(Tabela_GM_PEDIDOS_2017_FIM[TIPO_GRUPO]=L$10),Tabela_GM_PEDIDOS_2017_FIM[VALOR_PAGAR]+Tabela_GM_PEDIDOS_2017_FIM[VC_FINANCEIRA]))*L15/1000</f>
        <v>617.80127336757573</v>
      </c>
      <c r="M17" s="47">
        <f t="array" ref="M17">SUM(IF((Tabela_GM_PEDIDOS_2017_FIM[MOEDA]=$E17)*(Tabela_GM_PEDIDOS_2017_FIM[FILIAL]=$D$14)*(Tabela_GM_PEDIDOS_2017_FIM[TIPO_GRUPO]=M$10),Tabela_GM_PEDIDOS_2017_FIM[VALOR_PAGAR]+Tabela_GM_PEDIDOS_2017_FIM[VC_FINANCEIRA]))*M15/1000</f>
        <v>0</v>
      </c>
      <c r="N17" s="47">
        <f t="array" ref="N17">SUM(IF((Tabela_GM_PEDIDOS_2017_FIM[MOEDA]=$E17)*(Tabela_GM_PEDIDOS_2017_FIM[FILIAL]=$D$14)*(Tabela_GM_PEDIDOS_2017_FIM[TIPO_GRUPO]=N$10),Tabela_GM_PEDIDOS_2017_FIM[VALOR_PAGAR]+Tabela_GM_PEDIDOS_2017_FIM[VC_FINANCEIRA]))*N15/1000</f>
        <v>53.445899887934253</v>
      </c>
      <c r="O17" s="47">
        <f t="array" ref="O17">SUM(IF((Tabela_GM_PEDIDOS_2017_FIM[MOEDA]=$E17)*(Tabela_GM_PEDIDOS_2017_FIM[FILIAL]=$D$14)*(Tabela_GM_PEDIDOS_2017_FIM[TIPO_GRUPO]=O$10),Tabela_GM_PEDIDOS_2017_FIM[VALOR_PAGAR]+Tabela_GM_PEDIDOS_2017_FIM[VC_FINANCEIRA]))*O15/1000</f>
        <v>6.7058411654837506</v>
      </c>
      <c r="P17" s="47">
        <f t="array" ref="P17">SUM(F17:O17)</f>
        <v>1388.6069591763169</v>
      </c>
      <c r="Q17" s="48"/>
    </row>
    <row r="18" spans="1:17" ht="15.75" hidden="1" customHeight="1" outlineLevel="1" thickBot="1" x14ac:dyDescent="0.3">
      <c r="A18" s="27"/>
      <c r="B18" s="320"/>
      <c r="C18" s="35"/>
      <c r="D18" s="46" t="s">
        <v>7687</v>
      </c>
      <c r="E18" s="47" t="s">
        <v>16</v>
      </c>
      <c r="F18" s="47">
        <f t="array" ref="F18">SUM(IF((Tabela_GM_PEDIDOS_2017_FIM[MOEDA]=$E18)*(Tabela_GM_PEDIDOS_2017_FIM[FILIAL]=$D$14)*(Tabela_GM_PEDIDOS_2017_FIM[TIPO_GRUPO]=F$10)*(Tabela_GM_PEDIDOS_2017_FIM[PAGO]="S"),Tabela_GM_PEDIDOS_2017_FIM[VALOR_PAGAR]+Tabela_GM_PEDIDOS_2017_FIM[VC_FINANCEIRA]))*F15/1000</f>
        <v>0</v>
      </c>
      <c r="G18" s="47">
        <f t="array" ref="G18">SUM(IF((Tabela_GM_PEDIDOS_2017_FIM[MOEDA]=$E18)*(Tabela_GM_PEDIDOS_2017_FIM[FILIAL]=$D$14)*(Tabela_GM_PEDIDOS_2017_FIM[TIPO_GRUPO]=G$10)*(Tabela_GM_PEDIDOS_2017_FIM[PAGO]="S"),Tabela_GM_PEDIDOS_2017_FIM[VALOR_PAGAR]+Tabela_GM_PEDIDOS_2017_FIM[VC_FINANCEIRA]))*G15/1000</f>
        <v>742.50297184348153</v>
      </c>
      <c r="H18" s="47">
        <f t="array" ref="H18">SUM(IF((Tabela_GM_PEDIDOS_2017_FIM[MOEDA]=$E18)*(Tabela_GM_PEDIDOS_2017_FIM[FILIAL]=$D$14)*(Tabela_GM_PEDIDOS_2017_FIM[TIPO_GRUPO]=H$10)*(Tabela_GM_PEDIDOS_2017_FIM[PAGO]="S"),Tabela_GM_PEDIDOS_2017_FIM[VALOR_PAGAR]+Tabela_GM_PEDIDOS_2017_FIM[VC_FINANCEIRA]))*H15/1000</f>
        <v>0</v>
      </c>
      <c r="I18" s="47">
        <f t="array" ref="I18">SUM(IF((Tabela_GM_PEDIDOS_2017_FIM[MOEDA]=$E18)*(Tabela_GM_PEDIDOS_2017_FIM[FILIAL]=$D$14)*(Tabela_GM_PEDIDOS_2017_FIM[TIPO_GRUPO]=I$10)*(Tabela_GM_PEDIDOS_2017_FIM[PAGO]="S"),Tabela_GM_PEDIDOS_2017_FIM[VALOR_PAGAR]+Tabela_GM_PEDIDOS_2017_FIM[VC_FINANCEIRA]))*I15/1000</f>
        <v>0</v>
      </c>
      <c r="J18" s="47">
        <f t="array" ref="J18">SUM(IF((Tabela_GM_PEDIDOS_2017_FIM[MOEDA]=$E18)*(Tabela_GM_PEDIDOS_2017_FIM[FILIAL]=$D$14)*(Tabela_GM_PEDIDOS_2017_FIM[TIPO_GRUPO]=J$10)*(Tabela_GM_PEDIDOS_2017_FIM[PAGO]="S"),Tabela_GM_PEDIDOS_2017_FIM[VALOR_PAGAR]+Tabela_GM_PEDIDOS_2017_FIM[VC_FINANCEIRA]))*J15/1000</f>
        <v>0</v>
      </c>
      <c r="K18" s="47">
        <f t="array" ref="K18">SUM(IF((Tabela_GM_PEDIDOS_2017_FIM[MOEDA]=$E18)*(Tabela_GM_PEDIDOS_2017_FIM[FILIAL]=$D$14)*(Tabela_GM_PEDIDOS_2017_FIM[TIPO_GRUPO]=K$10)*(Tabela_GM_PEDIDOS_2017_FIM[PAGO]="S"),Tabela_GM_PEDIDOS_2017_FIM[VALOR_PAGAR]+Tabela_GM_PEDIDOS_2017_FIM[VC_FINANCEIRA]))*K15/1000</f>
        <v>0</v>
      </c>
      <c r="L18" s="47">
        <f t="array" ref="L18">SUM(IF((Tabela_GM_PEDIDOS_2017_FIM[MOEDA]=$E18)*(Tabela_GM_PEDIDOS_2017_FIM[FILIAL]=$D$14)*(Tabela_GM_PEDIDOS_2017_FIM[TIPO_GRUPO]=L$10)*(Tabela_GM_PEDIDOS_2017_FIM[PAGO]="S"),Tabela_GM_PEDIDOS_2017_FIM[VALOR_PAGAR]+Tabela_GM_PEDIDOS_2017_FIM[VC_FINANCEIRA]))*L15/1000</f>
        <v>0</v>
      </c>
      <c r="M18" s="47">
        <f t="array" ref="M18">SUM(IF((Tabela_GM_PEDIDOS_2017_FIM[MOEDA]=$E18)*(Tabela_GM_PEDIDOS_2017_FIM[FILIAL]=$D$14)*(Tabela_GM_PEDIDOS_2017_FIM[TIPO_GRUPO]=M$10)*(Tabela_GM_PEDIDOS_2017_FIM[PAGO]="S"),Tabela_GM_PEDIDOS_2017_FIM[VALOR_PAGAR]+Tabela_GM_PEDIDOS_2017_FIM[VC_FINANCEIRA]))*M15/1000</f>
        <v>0</v>
      </c>
      <c r="N18" s="47">
        <f t="array" ref="N18">SUM(IF((Tabela_GM_PEDIDOS_2017_FIM[MOEDA]=$E18)*(Tabela_GM_PEDIDOS_2017_FIM[FILIAL]=$D$14)*(Tabela_GM_PEDIDOS_2017_FIM[TIPO_GRUPO]=N$10)*(Tabela_GM_PEDIDOS_2017_FIM[PAGO]="S"),Tabela_GM_PEDIDOS_2017_FIM[VALOR_PAGAR]+Tabela_GM_PEDIDOS_2017_FIM[VC_FINANCEIRA]))*N15/1000</f>
        <v>0</v>
      </c>
      <c r="O18" s="47">
        <f t="array" ref="O18">SUM(IF((Tabela_GM_PEDIDOS_2017_FIM[MOEDA]=$E18)*(Tabela_GM_PEDIDOS_2017_FIM[FILIAL]=$D$14)*(Tabela_GM_PEDIDOS_2017_FIM[TIPO_GRUPO]=O$10)*(Tabela_GM_PEDIDOS_2017_FIM[PAGO]="S"),Tabela_GM_PEDIDOS_2017_FIM[VALOR_PAGAR]+Tabela_GM_PEDIDOS_2017_FIM[VC_FINANCEIRA]))*O15/1000</f>
        <v>0</v>
      </c>
      <c r="P18" s="47">
        <f t="array" ref="P18">SUM(F18:O18)</f>
        <v>742.50297184348153</v>
      </c>
      <c r="Q18" s="49"/>
    </row>
    <row r="19" spans="1:17" ht="15.75" hidden="1" customHeight="1" outlineLevel="1" thickBot="1" x14ac:dyDescent="0.3">
      <c r="A19" s="27"/>
      <c r="B19" s="320"/>
      <c r="C19" s="35"/>
      <c r="D19" s="46" t="s">
        <v>7688</v>
      </c>
      <c r="E19" s="47" t="s">
        <v>16</v>
      </c>
      <c r="F19" s="50">
        <f t="array" ref="F19">SUM(IF((Tabela_GM_PEDIDOS_2017_FIM[MOEDA]=$E19)*(Tabela_GM_PEDIDOS_2017_FIM[FILIAL]=$D$14)*(Tabela_GM_PEDIDOS_2017_FIM[TIPO_GRUPO]=F$10)*(Tabela_GM_PEDIDOS_2017_FIM[PAGO]&lt;&gt;"S"),Tabela_GM_PEDIDOS_2017_FIM[VL_PEDIDO_COMPRA]))*F15/1000</f>
        <v>1730.8290904445275</v>
      </c>
      <c r="G19" s="50">
        <f t="array" ref="G19">SUM(IF((Tabela_GM_PEDIDOS_2017_FIM[MOEDA]=$E19)*(Tabela_GM_PEDIDOS_2017_FIM[FILIAL]=$D$14)*(Tabela_GM_PEDIDOS_2017_FIM[TIPO_GRUPO]=G$10)*(Tabela_GM_PEDIDOS_2017_FIM[PAGO]&lt;&gt;"S"),Tabela_GM_PEDIDOS_2017_FIM[VL_PEDIDO_COMPRA]))*G15/1000</f>
        <v>1114.9486143070601</v>
      </c>
      <c r="H19" s="50">
        <f t="array" ref="H19">SUM(IF((Tabela_GM_PEDIDOS_2017_FIM[MOEDA]=$E19)*(Tabela_GM_PEDIDOS_2017_FIM[FILIAL]=$D$14)*(Tabela_GM_PEDIDOS_2017_FIM[TIPO_GRUPO]=H$10)*(Tabela_GM_PEDIDOS_2017_FIM[PAGO]&lt;&gt;"S"),Tabela_GM_PEDIDOS_2017_FIM[VL_PEDIDO_COMPRA]))*H15/1000</f>
        <v>0</v>
      </c>
      <c r="I19" s="50">
        <f t="array" ref="I19">SUM(IF((Tabela_GM_PEDIDOS_2017_FIM[MOEDA]=$E19)*(Tabela_GM_PEDIDOS_2017_FIM[FILIAL]=$D$14)*(Tabela_GM_PEDIDOS_2017_FIM[TIPO_GRUPO]=I$10)*(Tabela_GM_PEDIDOS_2017_FIM[PAGO]&lt;&gt;"S"),Tabela_GM_PEDIDOS_2017_FIM[VL_PEDIDO_COMPRA]))*I15/1000</f>
        <v>0</v>
      </c>
      <c r="J19" s="50">
        <f t="array" ref="J19">SUM(IF((Tabela_GM_PEDIDOS_2017_FIM[MOEDA]=$E19)*(Tabela_GM_PEDIDOS_2017_FIM[FILIAL]=$D$14)*(Tabela_GM_PEDIDOS_2017_FIM[TIPO_GRUPO]=J$10)*(Tabela_GM_PEDIDOS_2017_FIM[PAGO]&lt;&gt;"S"),Tabela_GM_PEDIDOS_2017_FIM[VL_PEDIDO_COMPRA]))*J15/1000</f>
        <v>0</v>
      </c>
      <c r="K19" s="50">
        <f t="array" ref="K19">SUM(IF((Tabela_GM_PEDIDOS_2017_FIM[MOEDA]=$E19)*(Tabela_GM_PEDIDOS_2017_FIM[FILIAL]=$D$14)*(Tabela_GM_PEDIDOS_2017_FIM[TIPO_GRUPO]=K$10)*(Tabela_GM_PEDIDOS_2017_FIM[PAGO]&lt;&gt;"S"),Tabela_GM_PEDIDOS_2017_FIM[VL_PEDIDO_COMPRA]))*K15/1000</f>
        <v>0</v>
      </c>
      <c r="L19" s="50">
        <f t="array" ref="L19">SUM(IF((Tabela_GM_PEDIDOS_2017_FIM[MOEDA]=$E19)*(Tabela_GM_PEDIDOS_2017_FIM[FILIAL]=$D$14)*(Tabela_GM_PEDIDOS_2017_FIM[TIPO_GRUPO]=L$10)*(Tabela_GM_PEDIDOS_2017_FIM[PAGO]&lt;&gt;"S"),Tabela_GM_PEDIDOS_2017_FIM[VL_PEDIDO_COMPRA]))*L15/1000</f>
        <v>0</v>
      </c>
      <c r="M19" s="50">
        <f t="array" ref="M19">SUM(IF((Tabela_GM_PEDIDOS_2017_FIM[MOEDA]=$E19)*(Tabela_GM_PEDIDOS_2017_FIM[FILIAL]=$D$14)*(Tabela_GM_PEDIDOS_2017_FIM[TIPO_GRUPO]=M$10)*(Tabela_GM_PEDIDOS_2017_FIM[PAGO]&lt;&gt;"S"),Tabela_GM_PEDIDOS_2017_FIM[VL_PEDIDO_COMPRA]))*M15/1000</f>
        <v>0</v>
      </c>
      <c r="N19" s="50">
        <f t="array" ref="N19">SUM(IF((Tabela_GM_PEDIDOS_2017_FIM[MOEDA]=$E19)*(Tabela_GM_PEDIDOS_2017_FIM[FILIAL]=$D$14)*(Tabela_GM_PEDIDOS_2017_FIM[TIPO_GRUPO]=N$10)*(Tabela_GM_PEDIDOS_2017_FIM[PAGO]&lt;&gt;"S"),Tabela_GM_PEDIDOS_2017_FIM[VL_PEDIDO_COMPRA]))*N15/1000</f>
        <v>0</v>
      </c>
      <c r="O19" s="50">
        <f t="array" ref="O19">SUM(IF((Tabela_GM_PEDIDOS_2017_FIM[MOEDA]=$E19)*(Tabela_GM_PEDIDOS_2017_FIM[FILIAL]=$D$14)*(Tabela_GM_PEDIDOS_2017_FIM[TIPO_GRUPO]=O$10)*(Tabela_GM_PEDIDOS_2017_FIM[PAGO]&lt;&gt;"S"),Tabela_GM_PEDIDOS_2017_FIM[VL_PEDIDO_COMPRA]))*O15/1000</f>
        <v>0</v>
      </c>
      <c r="P19" s="50">
        <f>SUM(F19:O19)</f>
        <v>2845.7777047515874</v>
      </c>
      <c r="Q19" s="48"/>
    </row>
    <row r="20" spans="1:17" s="55" customFormat="1" ht="15.75" customHeight="1" collapsed="1" thickBot="1" x14ac:dyDescent="0.3">
      <c r="A20" s="51"/>
      <c r="B20" s="320"/>
      <c r="C20" s="52"/>
      <c r="D20" s="53"/>
      <c r="E20" s="4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44"/>
      <c r="Q20" s="45"/>
    </row>
    <row r="21" spans="1:17" ht="15.75" customHeight="1" thickBot="1" x14ac:dyDescent="0.3">
      <c r="A21" s="27"/>
      <c r="B21" s="320"/>
      <c r="C21" s="35"/>
      <c r="D21" s="39" t="s">
        <v>7786</v>
      </c>
      <c r="E21" s="40"/>
      <c r="F21" s="41">
        <f t="array" ref="F21">SUM(IF((ProjecaoAreas!$H$6:$H$46=ResumoCusto!$D$14)*(ProjecaoAreas!$I$6:$I$46=ResumoCusto!$D22),ProjecaoAreas!$L$6:$L$46))</f>
        <v>0.11206574523720583</v>
      </c>
      <c r="G21" s="41">
        <f t="array" ref="G21">SUM(IF((ProjecaoAreas!$H$6:$H$46=ResumoCusto!$D$14)*(ProjecaoAreas!$I$6:$I$46=ResumoCusto!$D22),ProjecaoAreas!$L$6:$L$46))</f>
        <v>0.11206574523720583</v>
      </c>
      <c r="H21" s="41">
        <f t="array" ref="H21">SUM(IF((ProjecaoAreas!$H$6:$H$46=ResumoCusto!$D$14)*(ProjecaoAreas!$I$6:$I$46=ResumoCusto!$D22),ProjecaoAreas!$L$6:$L$46))</f>
        <v>0.11206574523720583</v>
      </c>
      <c r="I21" s="41">
        <v>0.21</v>
      </c>
      <c r="J21" s="41">
        <f t="array" ref="J21">SUM(IF((ProjecaoAreas!$H$6:$H$46=ResumoCusto!$D$14)*(ProjecaoAreas!$I$6:$I$46=ResumoCusto!$D22),ProjecaoAreas!$L$6:$L$46))</f>
        <v>0.11206574523720583</v>
      </c>
      <c r="K21" s="41">
        <f t="array" ref="K21">SUM(IF((ProjecaoAreas!$H$6:$H$46=ResumoCusto!$D$14)*(ProjecaoAreas!$I$6:$I$46=ResumoCusto!$D22),ProjecaoAreas!$L$6:$L$46))</f>
        <v>0.11206574523720583</v>
      </c>
      <c r="L21" s="41">
        <f t="array" ref="L21">SUM(IF((ProjecaoAreas!$H$6:$H$46=ResumoCusto!$D$14)*(ProjecaoAreas!$I$6:$I$46=ResumoCusto!$D22),ProjecaoAreas!$L$6:$L$46))</f>
        <v>0.11206574523720583</v>
      </c>
      <c r="M21" s="41">
        <f t="array" ref="M21">SUM(IF((ProjecaoAreas!$H$6:$H$46=ResumoCusto!$D$14)*(ProjecaoAreas!$I$6:$I$46=ResumoCusto!$D22),ProjecaoAreas!$L$6:$L$46))</f>
        <v>0.11206574523720583</v>
      </c>
      <c r="N21" s="41">
        <f t="array" ref="N21">SUM(IF((ProjecaoAreas!$H$6:$H$46=ResumoCusto!$D$14)*(ProjecaoAreas!$I$6:$I$46=ResumoCusto!$D22),ProjecaoAreas!$L$6:$L$46))</f>
        <v>0.11206574523720583</v>
      </c>
      <c r="O21" s="41">
        <f t="array" ref="O21">SUM(IF((ProjecaoAreas!$H$6:$H$46=ResumoCusto!$D$14)*(ProjecaoAreas!$I$6:$I$46=ResumoCusto!$D22),ProjecaoAreas!$L$6:$L$46))</f>
        <v>0.11206574523720583</v>
      </c>
      <c r="P21" s="40"/>
      <c r="Q21" s="42"/>
    </row>
    <row r="22" spans="1:17" ht="15.75" customHeight="1" thickBot="1" x14ac:dyDescent="0.3">
      <c r="A22" s="27"/>
      <c r="B22" s="320"/>
      <c r="C22" s="35"/>
      <c r="D22" s="43" t="s">
        <v>7663</v>
      </c>
      <c r="E22" s="44">
        <f t="array" ref="E22">SUM(IF((ProjecaoAreas!$H$6:$H$46=ResumoCusto!$D$14)*(ProjecaoAreas!$I$6:$I$46=ResumoCusto!$D22),ProjecaoAreas!$J$6:$J$46))</f>
        <v>12000</v>
      </c>
      <c r="F22" s="44">
        <f t="array" ref="F22">F$14*F21</f>
        <v>4818.3506736365334</v>
      </c>
      <c r="G22" s="44">
        <f t="array" ref="G22">G$14*G21</f>
        <v>3303.9970192827795</v>
      </c>
      <c r="H22" s="44">
        <f t="shared" ref="H22" si="1">H$14*H21</f>
        <v>1008.5917071348525</v>
      </c>
      <c r="I22" s="44">
        <f>(I$14-Frete!L22)*I21</f>
        <v>1941.4118454069135</v>
      </c>
      <c r="J22" s="44">
        <f t="shared" ref="J22" si="2">J$14*J21</f>
        <v>1680.9861785580874</v>
      </c>
      <c r="K22" s="44">
        <f t="shared" ref="K22" si="3">K$14*K21</f>
        <v>896.52596189764665</v>
      </c>
      <c r="L22" s="44">
        <f t="shared" ref="L22" si="4">L$14*L21</f>
        <v>598.935094135226</v>
      </c>
      <c r="M22" s="44">
        <f t="shared" ref="M22" si="5">M$14*M21</f>
        <v>392.23010833022039</v>
      </c>
      <c r="N22" s="44">
        <f t="shared" ref="N22" si="6">N$14*N21</f>
        <v>32.424206200971234</v>
      </c>
      <c r="O22" s="44">
        <f t="shared" ref="O22" si="7">O$14*O21</f>
        <v>642.84300336197236</v>
      </c>
      <c r="P22" s="44">
        <f>SUM(F22:O22)</f>
        <v>15316.295797945202</v>
      </c>
      <c r="Q22" s="45">
        <f>P22/E22*1000</f>
        <v>1276.3579831621</v>
      </c>
    </row>
    <row r="23" spans="1:17" ht="15.75" hidden="1" customHeight="1" outlineLevel="1" thickBot="1" x14ac:dyDescent="0.3">
      <c r="A23" s="27"/>
      <c r="B23" s="320"/>
      <c r="C23" s="35"/>
      <c r="D23" s="46" t="s">
        <v>7686</v>
      </c>
      <c r="E23" s="47" t="s">
        <v>27</v>
      </c>
      <c r="F23" s="47">
        <f t="array" ref="F23">SUM(IF((Tabela_GM_PEDIDOS_2017_FIM[MOEDA]=$E23)*(Tabela_GM_PEDIDOS_2017_FIM[FILIAL]=$D$14)*(Tabela_GM_PEDIDOS_2017_FIM[TIPO_GRUPO]=F$10),Tabela_GM_PEDIDOS_2017_FIM[VALOR_PAGAR]+Tabela_GM_PEDIDOS_2017_FIM[VC_FINANCEIRA]))*F21/1000</f>
        <v>1.0732233843855064</v>
      </c>
      <c r="G23" s="47">
        <f t="array" ref="G23">SUM(IF((Tabela_GM_PEDIDOS_2017_FIM[MOEDA]=$E23)*(Tabela_GM_PEDIDOS_2017_FIM[FILIAL]=$D$14)*(Tabela_GM_PEDIDOS_2017_FIM[TIPO_GRUPO]=G$10),Tabela_GM_PEDIDOS_2017_FIM[VALOR_PAGAR]+Tabela_GM_PEDIDOS_2017_FIM[VC_FINANCEIRA]))*G21/1000</f>
        <v>430.06162682106839</v>
      </c>
      <c r="H23" s="47">
        <f t="array" ref="H23">SUM(IF((Tabela_GM_PEDIDOS_2017_FIM[MOEDA]=$E23)*(Tabela_GM_PEDIDOS_2017_FIM[FILIAL]=$D$14)*(Tabela_GM_PEDIDOS_2017_FIM[TIPO_GRUPO]=H$10),Tabela_GM_PEDIDOS_2017_FIM[VALOR_PAGAR]+Tabela_GM_PEDIDOS_2017_FIM[VC_FINANCEIRA]))*H21/1000</f>
        <v>0</v>
      </c>
      <c r="I23" s="47">
        <f t="array" ref="I23">SUM(IF((Tabela_GM_PEDIDOS_2017_FIM[MOEDA]=$E23)*(Tabela_GM_PEDIDOS_2017_FIM[FILIAL]=$D$14)*(Tabela_GM_PEDIDOS_2017_FIM[TIPO_GRUPO]=I$10),Tabela_GM_PEDIDOS_2017_FIM[VALOR_PAGAR]+Tabela_GM_PEDIDOS_2017_FIM[VC_FINANCEIRA]))*I21/1000</f>
        <v>0</v>
      </c>
      <c r="J23" s="47">
        <f t="array" ref="J23">SUM(IF((Tabela_GM_PEDIDOS_2017_FIM[MOEDA]=$E23)*(Tabela_GM_PEDIDOS_2017_FIM[FILIAL]=$D$14)*(Tabela_GM_PEDIDOS_2017_FIM[TIPO_GRUPO]=J$10),Tabela_GM_PEDIDOS_2017_FIM[VALOR_PAGAR]+Tabela_GM_PEDIDOS_2017_FIM[VC_FINANCEIRA]))*J21/1000</f>
        <v>0</v>
      </c>
      <c r="K23" s="47">
        <f t="array" ref="K23">SUM(IF((Tabela_GM_PEDIDOS_2017_FIM[MOEDA]=$E23)*(Tabela_GM_PEDIDOS_2017_FIM[FILIAL]=$D$14)*(Tabela_GM_PEDIDOS_2017_FIM[TIPO_GRUPO]=K$10),Tabela_GM_PEDIDOS_2017_FIM[VALOR_PAGAR]+Tabela_GM_PEDIDOS_2017_FIM[VC_FINANCEIRA]))*K21/1000</f>
        <v>0</v>
      </c>
      <c r="L23" s="47">
        <f t="array" ref="L23">SUM(IF((Tabela_GM_PEDIDOS_2017_FIM[MOEDA]=$E23)*(Tabela_GM_PEDIDOS_2017_FIM[FILIAL]=$D$14)*(Tabela_GM_PEDIDOS_2017_FIM[TIPO_GRUPO]=L$10),Tabela_GM_PEDIDOS_2017_FIM[VALOR_PAGAR]+Tabela_GM_PEDIDOS_2017_FIM[VC_FINANCEIRA]))*L21/1000</f>
        <v>374.80360366081442</v>
      </c>
      <c r="M23" s="47">
        <f t="array" ref="M23">SUM(IF((Tabela_GM_PEDIDOS_2017_FIM[MOEDA]=$E23)*(Tabela_GM_PEDIDOS_2017_FIM[FILIAL]=$D$14)*(Tabela_GM_PEDIDOS_2017_FIM[TIPO_GRUPO]=M$10),Tabela_GM_PEDIDOS_2017_FIM[VALOR_PAGAR]+Tabela_GM_PEDIDOS_2017_FIM[VC_FINANCEIRA]))*M21/1000</f>
        <v>0</v>
      </c>
      <c r="N23" s="47">
        <f t="array" ref="N23">SUM(IF((Tabela_GM_PEDIDOS_2017_FIM[MOEDA]=$E23)*(Tabela_GM_PEDIDOS_2017_FIM[FILIAL]=$D$14)*(Tabela_GM_PEDIDOS_2017_FIM[TIPO_GRUPO]=N$10),Tabela_GM_PEDIDOS_2017_FIM[VALOR_PAGAR]+Tabela_GM_PEDIDOS_2017_FIM[VC_FINANCEIRA]))*N21/1000</f>
        <v>32.424206200971241</v>
      </c>
      <c r="O23" s="47">
        <f t="array" ref="O23">SUM(IF((Tabela_GM_PEDIDOS_2017_FIM[MOEDA]=$E23)*(Tabela_GM_PEDIDOS_2017_FIM[FILIAL]=$D$14)*(Tabela_GM_PEDIDOS_2017_FIM[TIPO_GRUPO]=O$10),Tabela_GM_PEDIDOS_2017_FIM[VALOR_PAGAR]+Tabela_GM_PEDIDOS_2017_FIM[VC_FINANCEIRA]))*O21/1000</f>
        <v>4.0682555098991413</v>
      </c>
      <c r="P23" s="47">
        <f t="array" ref="P23">SUM(F23:O23)</f>
        <v>842.43091557713876</v>
      </c>
      <c r="Q23" s="48"/>
    </row>
    <row r="24" spans="1:17" ht="15.75" hidden="1" customHeight="1" outlineLevel="1" thickBot="1" x14ac:dyDescent="0.3">
      <c r="A24" s="27"/>
      <c r="B24" s="320"/>
      <c r="C24" s="35"/>
      <c r="D24" s="46" t="s">
        <v>7687</v>
      </c>
      <c r="E24" s="47" t="s">
        <v>16</v>
      </c>
      <c r="F24" s="47">
        <f t="array" ref="F24">SUM(IF((Tabela_GM_PEDIDOS_2017_FIM[MOEDA]=$E24)*(Tabela_GM_PEDIDOS_2017_FIM[FILIAL]=$D$14)*(Tabela_GM_PEDIDOS_2017_FIM[TIPO_GRUPO]=F$10)*(Tabela_GM_PEDIDOS_2017_FIM[PAGO]="S"),Tabela_GM_PEDIDOS_2017_FIM[VALOR_PAGAR]+Tabela_GM_PEDIDOS_2017_FIM[VC_FINANCEIRA]))*F21/1000</f>
        <v>0</v>
      </c>
      <c r="G24" s="47">
        <f t="array" ref="G24">SUM(IF((Tabela_GM_PEDIDOS_2017_FIM[MOEDA]=$E24)*(Tabela_GM_PEDIDOS_2017_FIM[FILIAL]=$D$14)*(Tabela_GM_PEDIDOS_2017_FIM[TIPO_GRUPO]=G$10)*(Tabela_GM_PEDIDOS_2017_FIM[PAGO]="S"),Tabela_GM_PEDIDOS_2017_FIM[VALOR_PAGAR]+Tabela_GM_PEDIDOS_2017_FIM[VC_FINANCEIRA]))*G21/1000</f>
        <v>450.45680799402322</v>
      </c>
      <c r="H24" s="47">
        <f t="array" ref="H24">SUM(IF((Tabela_GM_PEDIDOS_2017_FIM[MOEDA]=$E24)*(Tabela_GM_PEDIDOS_2017_FIM[FILIAL]=$D$14)*(Tabela_GM_PEDIDOS_2017_FIM[TIPO_GRUPO]=H$10)*(Tabela_GM_PEDIDOS_2017_FIM[PAGO]="S"),Tabela_GM_PEDIDOS_2017_FIM[VALOR_PAGAR]+Tabela_GM_PEDIDOS_2017_FIM[VC_FINANCEIRA]))*H21/1000</f>
        <v>0</v>
      </c>
      <c r="I24" s="47">
        <f t="array" ref="I24">SUM(IF((Tabela_GM_PEDIDOS_2017_FIM[MOEDA]=$E24)*(Tabela_GM_PEDIDOS_2017_FIM[FILIAL]=$D$14)*(Tabela_GM_PEDIDOS_2017_FIM[TIPO_GRUPO]=I$10)*(Tabela_GM_PEDIDOS_2017_FIM[PAGO]="S"),Tabela_GM_PEDIDOS_2017_FIM[VALOR_PAGAR]+Tabela_GM_PEDIDOS_2017_FIM[VC_FINANCEIRA]))*I21/1000</f>
        <v>0</v>
      </c>
      <c r="J24" s="47">
        <f t="array" ref="J24">SUM(IF((Tabela_GM_PEDIDOS_2017_FIM[MOEDA]=$E24)*(Tabela_GM_PEDIDOS_2017_FIM[FILIAL]=$D$14)*(Tabela_GM_PEDIDOS_2017_FIM[TIPO_GRUPO]=J$10)*(Tabela_GM_PEDIDOS_2017_FIM[PAGO]="S"),Tabela_GM_PEDIDOS_2017_FIM[VALOR_PAGAR]+Tabela_GM_PEDIDOS_2017_FIM[VC_FINANCEIRA]))*J21/1000</f>
        <v>0</v>
      </c>
      <c r="K24" s="47">
        <f t="array" ref="K24">SUM(IF((Tabela_GM_PEDIDOS_2017_FIM[MOEDA]=$E24)*(Tabela_GM_PEDIDOS_2017_FIM[FILIAL]=$D$14)*(Tabela_GM_PEDIDOS_2017_FIM[TIPO_GRUPO]=K$10)*(Tabela_GM_PEDIDOS_2017_FIM[PAGO]="S"),Tabela_GM_PEDIDOS_2017_FIM[VALOR_PAGAR]+Tabela_GM_PEDIDOS_2017_FIM[VC_FINANCEIRA]))*K21/1000</f>
        <v>0</v>
      </c>
      <c r="L24" s="47">
        <f t="array" ref="L24">SUM(IF((Tabela_GM_PEDIDOS_2017_FIM[MOEDA]=$E24)*(Tabela_GM_PEDIDOS_2017_FIM[FILIAL]=$D$14)*(Tabela_GM_PEDIDOS_2017_FIM[TIPO_GRUPO]=L$10)*(Tabela_GM_PEDIDOS_2017_FIM[PAGO]="S"),Tabela_GM_PEDIDOS_2017_FIM[VALOR_PAGAR]+Tabela_GM_PEDIDOS_2017_FIM[VC_FINANCEIRA]))*L21/1000</f>
        <v>0</v>
      </c>
      <c r="M24" s="47">
        <f t="array" ref="M24">SUM(IF((Tabela_GM_PEDIDOS_2017_FIM[MOEDA]=$E24)*(Tabela_GM_PEDIDOS_2017_FIM[FILIAL]=$D$14)*(Tabela_GM_PEDIDOS_2017_FIM[TIPO_GRUPO]=M$10)*(Tabela_GM_PEDIDOS_2017_FIM[PAGO]="S"),Tabela_GM_PEDIDOS_2017_FIM[VALOR_PAGAR]+Tabela_GM_PEDIDOS_2017_FIM[VC_FINANCEIRA]))*M21/1000</f>
        <v>0</v>
      </c>
      <c r="N24" s="47">
        <f t="array" ref="N24">SUM(IF((Tabela_GM_PEDIDOS_2017_FIM[MOEDA]=$E24)*(Tabela_GM_PEDIDOS_2017_FIM[FILIAL]=$D$14)*(Tabela_GM_PEDIDOS_2017_FIM[TIPO_GRUPO]=N$10)*(Tabela_GM_PEDIDOS_2017_FIM[PAGO]="S"),Tabela_GM_PEDIDOS_2017_FIM[VALOR_PAGAR]+Tabela_GM_PEDIDOS_2017_FIM[VC_FINANCEIRA]))*N21/1000</f>
        <v>0</v>
      </c>
      <c r="O24" s="47">
        <f t="array" ref="O24">SUM(IF((Tabela_GM_PEDIDOS_2017_FIM[MOEDA]=$E24)*(Tabela_GM_PEDIDOS_2017_FIM[FILIAL]=$D$14)*(Tabela_GM_PEDIDOS_2017_FIM[TIPO_GRUPO]=O$10)*(Tabela_GM_PEDIDOS_2017_FIM[PAGO]="S"),Tabela_GM_PEDIDOS_2017_FIM[VALOR_PAGAR]+Tabela_GM_PEDIDOS_2017_FIM[VC_FINANCEIRA]))*O21/1000</f>
        <v>0</v>
      </c>
      <c r="P24" s="47">
        <f t="array" ref="P24">SUM(F24:O24)</f>
        <v>450.45680799402322</v>
      </c>
      <c r="Q24" s="49"/>
    </row>
    <row r="25" spans="1:17" ht="15.75" hidden="1" customHeight="1" outlineLevel="1" thickBot="1" x14ac:dyDescent="0.3">
      <c r="A25" s="27"/>
      <c r="B25" s="320"/>
      <c r="C25" s="35"/>
      <c r="D25" s="46" t="s">
        <v>7688</v>
      </c>
      <c r="E25" s="47" t="s">
        <v>16</v>
      </c>
      <c r="F25" s="50">
        <f t="array" ref="F25">SUM(IF((Tabela_GM_PEDIDOS_2017_FIM[MOEDA]=$E25)*(Tabela_GM_PEDIDOS_2017_FIM[FILIAL]=$D$14)*(Tabela_GM_PEDIDOS_2017_FIM[TIPO_GRUPO]=F$10)*(Tabela_GM_PEDIDOS_2017_FIM[PAGO]&lt;&gt;"S"),Tabela_GM_PEDIDOS_2017_FIM[VL_PEDIDO_COMPRA]))*F21/1000</f>
        <v>1050.0479820694809</v>
      </c>
      <c r="G25" s="50">
        <f t="array" ref="G25">SUM(IF((Tabela_GM_PEDIDOS_2017_FIM[MOEDA]=$E25)*(Tabela_GM_PEDIDOS_2017_FIM[FILIAL]=$D$14)*(Tabela_GM_PEDIDOS_2017_FIM[TIPO_GRUPO]=G$10)*(Tabela_GM_PEDIDOS_2017_FIM[PAGO]&lt;&gt;"S"),Tabela_GM_PEDIDOS_2017_FIM[VL_PEDIDO_COMPRA]))*G21/1000</f>
        <v>676.40967500933891</v>
      </c>
      <c r="H25" s="50">
        <f t="array" ref="H25">SUM(IF((Tabela_GM_PEDIDOS_2017_FIM[MOEDA]=$E25)*(Tabela_GM_PEDIDOS_2017_FIM[FILIAL]=$D$14)*(Tabela_GM_PEDIDOS_2017_FIM[TIPO_GRUPO]=H$10)*(Tabela_GM_PEDIDOS_2017_FIM[PAGO]&lt;&gt;"S"),Tabela_GM_PEDIDOS_2017_FIM[VL_PEDIDO_COMPRA]))*H21/1000</f>
        <v>0</v>
      </c>
      <c r="I25" s="50">
        <f t="array" ref="I25">SUM(IF((Tabela_GM_PEDIDOS_2017_FIM[MOEDA]=$E25)*(Tabela_GM_PEDIDOS_2017_FIM[FILIAL]=$D$14)*(Tabela_GM_PEDIDOS_2017_FIM[TIPO_GRUPO]=I$10)*(Tabela_GM_PEDIDOS_2017_FIM[PAGO]&lt;&gt;"S"),Tabela_GM_PEDIDOS_2017_FIM[VL_PEDIDO_COMPRA]))*I21/1000</f>
        <v>0</v>
      </c>
      <c r="J25" s="50">
        <f t="array" ref="J25">SUM(IF((Tabela_GM_PEDIDOS_2017_FIM[MOEDA]=$E25)*(Tabela_GM_PEDIDOS_2017_FIM[FILIAL]=$D$14)*(Tabela_GM_PEDIDOS_2017_FIM[TIPO_GRUPO]=J$10)*(Tabela_GM_PEDIDOS_2017_FIM[PAGO]&lt;&gt;"S"),Tabela_GM_PEDIDOS_2017_FIM[VL_PEDIDO_COMPRA]))*J21/1000</f>
        <v>0</v>
      </c>
      <c r="K25" s="50">
        <f t="array" ref="K25">SUM(IF((Tabela_GM_PEDIDOS_2017_FIM[MOEDA]=$E25)*(Tabela_GM_PEDIDOS_2017_FIM[FILIAL]=$D$14)*(Tabela_GM_PEDIDOS_2017_FIM[TIPO_GRUPO]=K$10)*(Tabela_GM_PEDIDOS_2017_FIM[PAGO]&lt;&gt;"S"),Tabela_GM_PEDIDOS_2017_FIM[VL_PEDIDO_COMPRA]))*K21/1000</f>
        <v>0</v>
      </c>
      <c r="L25" s="50">
        <f t="array" ref="L25">SUM(IF((Tabela_GM_PEDIDOS_2017_FIM[MOEDA]=$E25)*(Tabela_GM_PEDIDOS_2017_FIM[FILIAL]=$D$14)*(Tabela_GM_PEDIDOS_2017_FIM[TIPO_GRUPO]=L$10)*(Tabela_GM_PEDIDOS_2017_FIM[PAGO]&lt;&gt;"S"),Tabela_GM_PEDIDOS_2017_FIM[VL_PEDIDO_COMPRA]))*L21/1000</f>
        <v>0</v>
      </c>
      <c r="M25" s="50">
        <f t="array" ref="M25">SUM(IF((Tabela_GM_PEDIDOS_2017_FIM[MOEDA]=$E25)*(Tabela_GM_PEDIDOS_2017_FIM[FILIAL]=$D$14)*(Tabela_GM_PEDIDOS_2017_FIM[TIPO_GRUPO]=M$10)*(Tabela_GM_PEDIDOS_2017_FIM[PAGO]&lt;&gt;"S"),Tabela_GM_PEDIDOS_2017_FIM[VL_PEDIDO_COMPRA]))*M21/1000</f>
        <v>0</v>
      </c>
      <c r="N25" s="50">
        <f t="array" ref="N25">SUM(IF((Tabela_GM_PEDIDOS_2017_FIM[MOEDA]=$E25)*(Tabela_GM_PEDIDOS_2017_FIM[FILIAL]=$D$14)*(Tabela_GM_PEDIDOS_2017_FIM[TIPO_GRUPO]=N$10)*(Tabela_GM_PEDIDOS_2017_FIM[PAGO]&lt;&gt;"S"),Tabela_GM_PEDIDOS_2017_FIM[VL_PEDIDO_COMPRA]))*N21/1000</f>
        <v>0</v>
      </c>
      <c r="O25" s="50">
        <f t="array" ref="O25">SUM(IF((Tabela_GM_PEDIDOS_2017_FIM[MOEDA]=$E25)*(Tabela_GM_PEDIDOS_2017_FIM[FILIAL]=$D$14)*(Tabela_GM_PEDIDOS_2017_FIM[TIPO_GRUPO]=O$10)*(Tabela_GM_PEDIDOS_2017_FIM[PAGO]&lt;&gt;"S"),Tabela_GM_PEDIDOS_2017_FIM[VL_PEDIDO_COMPRA]))*O21/1000</f>
        <v>0</v>
      </c>
      <c r="P25" s="50">
        <f>SUM(F25:O25)</f>
        <v>1726.4576570788199</v>
      </c>
      <c r="Q25" s="48"/>
    </row>
    <row r="26" spans="1:17" ht="15.75" customHeight="1" collapsed="1" thickBot="1" x14ac:dyDescent="0.3">
      <c r="A26" s="27"/>
      <c r="B26" s="320"/>
      <c r="C26" s="35"/>
      <c r="D26" s="53"/>
      <c r="E26" s="4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44"/>
      <c r="Q26" s="45"/>
    </row>
    <row r="27" spans="1:17" ht="15.75" customHeight="1" thickBot="1" x14ac:dyDescent="0.3">
      <c r="A27" s="27"/>
      <c r="B27" s="320"/>
      <c r="C27" s="35"/>
      <c r="D27" s="39" t="s">
        <v>7786</v>
      </c>
      <c r="E27" s="40"/>
      <c r="F27" s="41">
        <f t="array" ref="F27">SUM(IF((ProjecaoAreas!$H$6:$H$46=ResumoCusto!$D$14)*(ProjecaoAreas!$I$6:$I$46=ResumoCusto!$D28),ProjecaoAreas!$L$6:$L$46))</f>
        <v>1.556468683850081E-2</v>
      </c>
      <c r="G27" s="41">
        <f t="array" ref="G27">SUM(IF((ProjecaoAreas!$H$6:$H$46=ResumoCusto!$D$14)*(ProjecaoAreas!$I$6:$I$46=ResumoCusto!$D28),ProjecaoAreas!$L$6:$L$46))</f>
        <v>1.556468683850081E-2</v>
      </c>
      <c r="H27" s="41">
        <f t="array" ref="H27">SUM(IF((ProjecaoAreas!$H$6:$H$46=ResumoCusto!$D$14)*(ProjecaoAreas!$I$6:$I$46=ResumoCusto!$D28),ProjecaoAreas!$L$6:$L$46))</f>
        <v>1.556468683850081E-2</v>
      </c>
      <c r="I27" s="41">
        <v>2.9000000000000001E-2</v>
      </c>
      <c r="J27" s="41">
        <f t="array" ref="J27">SUM(IF((ProjecaoAreas!$H$6:$H$46=ResumoCusto!$D$14)*(ProjecaoAreas!$I$6:$I$46=ResumoCusto!$D28),ProjecaoAreas!$L$6:$L$46))</f>
        <v>1.556468683850081E-2</v>
      </c>
      <c r="K27" s="41">
        <f t="array" ref="K27">SUM(IF((ProjecaoAreas!$H$6:$H$46=ResumoCusto!$D$14)*(ProjecaoAreas!$I$6:$I$46=ResumoCusto!$D28),ProjecaoAreas!$L$6:$L$46))</f>
        <v>1.556468683850081E-2</v>
      </c>
      <c r="L27" s="41">
        <f t="array" ref="L27">SUM(IF((ProjecaoAreas!$H$6:$H$46=ResumoCusto!$D$14)*(ProjecaoAreas!$I$6:$I$46=ResumoCusto!$D28),ProjecaoAreas!$L$6:$L$46))</f>
        <v>1.556468683850081E-2</v>
      </c>
      <c r="M27" s="41">
        <f t="array" ref="M27">SUM(IF((ProjecaoAreas!$H$6:$H$46=ResumoCusto!$D$14)*(ProjecaoAreas!$I$6:$I$46=ResumoCusto!$D28),ProjecaoAreas!$L$6:$L$46))</f>
        <v>1.556468683850081E-2</v>
      </c>
      <c r="N27" s="41">
        <f t="array" ref="N27">SUM(IF((ProjecaoAreas!$H$6:$H$46=ResumoCusto!$D$14)*(ProjecaoAreas!$I$6:$I$46=ResumoCusto!$D28),ProjecaoAreas!$L$6:$L$46))</f>
        <v>1.556468683850081E-2</v>
      </c>
      <c r="O27" s="41">
        <f t="array" ref="O27">SUM(IF((ProjecaoAreas!$H$6:$H$46=ResumoCusto!$D$14)*(ProjecaoAreas!$I$6:$I$46=ResumoCusto!$D28),ProjecaoAreas!$L$6:$L$46))</f>
        <v>1.556468683850081E-2</v>
      </c>
      <c r="P27" s="40"/>
      <c r="Q27" s="42"/>
    </row>
    <row r="28" spans="1:17" ht="15.75" customHeight="1" thickBot="1" x14ac:dyDescent="0.3">
      <c r="A28" s="27"/>
      <c r="B28" s="320"/>
      <c r="C28" s="35"/>
      <c r="D28" s="43" t="s">
        <v>7662</v>
      </c>
      <c r="E28" s="44">
        <f t="array" ref="E28">SUM(IF((ProjecaoAreas!$H$6:$H$46=ResumoCusto!$D$14)*(ProjecaoAreas!$I$6:$I$46=ResumoCusto!$D28),ProjecaoAreas!$J$6:$J$46))</f>
        <v>1000</v>
      </c>
      <c r="F28" s="44">
        <f t="array" ref="F28">F$14*F27</f>
        <v>669.21537133840741</v>
      </c>
      <c r="G28" s="44">
        <f t="array" ref="G28">G$14*G27</f>
        <v>458.88847490038603</v>
      </c>
      <c r="H28" s="44">
        <f t="shared" ref="H28" si="8">H$14*H27</f>
        <v>140.08218154650729</v>
      </c>
      <c r="I28" s="44">
        <f>(I$14-Frete!L28)*I27</f>
        <v>268.09973103238332</v>
      </c>
      <c r="J28" s="44">
        <f t="shared" ref="J28" si="9">J$14*J27</f>
        <v>233.47030257751214</v>
      </c>
      <c r="K28" s="44">
        <f t="shared" ref="K28" si="10">K$14*K27</f>
        <v>124.51749470800648</v>
      </c>
      <c r="L28" s="44">
        <f t="shared" ref="L28" si="11">L$14*L27</f>
        <v>83.185429741003617</v>
      </c>
      <c r="M28" s="44">
        <f t="shared" ref="M28" si="12">M$14*M27</f>
        <v>54.476403934752838</v>
      </c>
      <c r="N28" s="44">
        <f t="shared" ref="N28" si="13">N$14*N27</f>
        <v>4.5033619723571165</v>
      </c>
      <c r="O28" s="44">
        <f t="shared" ref="O28" si="14">O$14*O27</f>
        <v>89.283750466940603</v>
      </c>
      <c r="P28" s="44">
        <f>SUM(F28:O28)</f>
        <v>2125.722502218257</v>
      </c>
      <c r="Q28" s="45">
        <f>P28/E28*1000</f>
        <v>2125.722502218257</v>
      </c>
    </row>
    <row r="29" spans="1:17" ht="15.75" hidden="1" customHeight="1" outlineLevel="1" thickBot="1" x14ac:dyDescent="0.3">
      <c r="A29" s="27"/>
      <c r="B29" s="320"/>
      <c r="C29" s="35"/>
      <c r="D29" s="46" t="s">
        <v>7686</v>
      </c>
      <c r="E29" s="47" t="s">
        <v>27</v>
      </c>
      <c r="F29" s="47">
        <f t="array" ref="F29">SUM(IF((Tabela_GM_PEDIDOS_2017_FIM[MOEDA]=$E29)*(Tabela_GM_PEDIDOS_2017_FIM[FILIAL]=$D$14)*(Tabela_GM_PEDIDOS_2017_FIM[TIPO_GRUPO]=F$10),Tabela_GM_PEDIDOS_2017_FIM[VALOR_PAGAR]+Tabela_GM_PEDIDOS_2017_FIM[VC_FINANCEIRA]))*F27/1000</f>
        <v>0.14905880338687585</v>
      </c>
      <c r="G29" s="47">
        <f t="array" ref="G29">SUM(IF((Tabela_GM_PEDIDOS_2017_FIM[MOEDA]=$E29)*(Tabela_GM_PEDIDOS_2017_FIM[FILIAL]=$D$14)*(Tabela_GM_PEDIDOS_2017_FIM[TIPO_GRUPO]=G$10),Tabela_GM_PEDIDOS_2017_FIM[VALOR_PAGAR]+Tabela_GM_PEDIDOS_2017_FIM[VC_FINANCEIRA]))*G27/1000</f>
        <v>59.730781502926163</v>
      </c>
      <c r="H29" s="47">
        <f t="array" ref="H29">SUM(IF((Tabela_GM_PEDIDOS_2017_FIM[MOEDA]=$E29)*(Tabela_GM_PEDIDOS_2017_FIM[FILIAL]=$D$14)*(Tabela_GM_PEDIDOS_2017_FIM[TIPO_GRUPO]=H$10),Tabela_GM_PEDIDOS_2017_FIM[VALOR_PAGAR]+Tabela_GM_PEDIDOS_2017_FIM[VC_FINANCEIRA]))*H27/1000</f>
        <v>0</v>
      </c>
      <c r="I29" s="47">
        <f t="array" ref="I29">SUM(IF((Tabela_GM_PEDIDOS_2017_FIM[MOEDA]=$E29)*(Tabela_GM_PEDIDOS_2017_FIM[FILIAL]=$D$14)*(Tabela_GM_PEDIDOS_2017_FIM[TIPO_GRUPO]=I$10),Tabela_GM_PEDIDOS_2017_FIM[VALOR_PAGAR]+Tabela_GM_PEDIDOS_2017_FIM[VC_FINANCEIRA]))*I27/1000</f>
        <v>0</v>
      </c>
      <c r="J29" s="47">
        <f t="array" ref="J29">SUM(IF((Tabela_GM_PEDIDOS_2017_FIM[MOEDA]=$E29)*(Tabela_GM_PEDIDOS_2017_FIM[FILIAL]=$D$14)*(Tabela_GM_PEDIDOS_2017_FIM[TIPO_GRUPO]=J$10),Tabela_GM_PEDIDOS_2017_FIM[VALOR_PAGAR]+Tabela_GM_PEDIDOS_2017_FIM[VC_FINANCEIRA]))*J27/1000</f>
        <v>0</v>
      </c>
      <c r="K29" s="47">
        <f t="array" ref="K29">SUM(IF((Tabela_GM_PEDIDOS_2017_FIM[MOEDA]=$E29)*(Tabela_GM_PEDIDOS_2017_FIM[FILIAL]=$D$14)*(Tabela_GM_PEDIDOS_2017_FIM[TIPO_GRUPO]=K$10),Tabela_GM_PEDIDOS_2017_FIM[VALOR_PAGAR]+Tabela_GM_PEDIDOS_2017_FIM[VC_FINANCEIRA]))*K27/1000</f>
        <v>0</v>
      </c>
      <c r="L29" s="47">
        <f t="array" ref="L29">SUM(IF((Tabela_GM_PEDIDOS_2017_FIM[MOEDA]=$E29)*(Tabela_GM_PEDIDOS_2017_FIM[FILIAL]=$D$14)*(Tabela_GM_PEDIDOS_2017_FIM[TIPO_GRUPO]=L$10),Tabela_GM_PEDIDOS_2017_FIM[VALOR_PAGAR]+Tabela_GM_PEDIDOS_2017_FIM[VC_FINANCEIRA]))*L27/1000</f>
        <v>52.056056064002</v>
      </c>
      <c r="M29" s="47">
        <f t="array" ref="M29">SUM(IF((Tabela_GM_PEDIDOS_2017_FIM[MOEDA]=$E29)*(Tabela_GM_PEDIDOS_2017_FIM[FILIAL]=$D$14)*(Tabela_GM_PEDIDOS_2017_FIM[TIPO_GRUPO]=M$10),Tabela_GM_PEDIDOS_2017_FIM[VALOR_PAGAR]+Tabela_GM_PEDIDOS_2017_FIM[VC_FINANCEIRA]))*M27/1000</f>
        <v>0</v>
      </c>
      <c r="N29" s="47">
        <f t="array" ref="N29">SUM(IF((Tabela_GM_PEDIDOS_2017_FIM[MOEDA]=$E29)*(Tabela_GM_PEDIDOS_2017_FIM[FILIAL]=$D$14)*(Tabela_GM_PEDIDOS_2017_FIM[TIPO_GRUPO]=N$10),Tabela_GM_PEDIDOS_2017_FIM[VALOR_PAGAR]+Tabela_GM_PEDIDOS_2017_FIM[VC_FINANCEIRA]))*N27/1000</f>
        <v>4.5033619723571165</v>
      </c>
      <c r="O29" s="47">
        <f t="array" ref="O29">SUM(IF((Tabela_GM_PEDIDOS_2017_FIM[MOEDA]=$E29)*(Tabela_GM_PEDIDOS_2017_FIM[FILIAL]=$D$14)*(Tabela_GM_PEDIDOS_2017_FIM[TIPO_GRUPO]=O$10),Tabela_GM_PEDIDOS_2017_FIM[VALOR_PAGAR]+Tabela_GM_PEDIDOS_2017_FIM[VC_FINANCEIRA]))*O27/1000</f>
        <v>0.56503548748599175</v>
      </c>
      <c r="P29" s="47">
        <f t="array" ref="P29">SUM(F29:O29)</f>
        <v>117.00429383015815</v>
      </c>
      <c r="Q29" s="48"/>
    </row>
    <row r="30" spans="1:17" ht="15.75" hidden="1" customHeight="1" outlineLevel="1" thickBot="1" x14ac:dyDescent="0.3">
      <c r="A30" s="27"/>
      <c r="B30" s="320"/>
      <c r="C30" s="35"/>
      <c r="D30" s="46" t="s">
        <v>7687</v>
      </c>
      <c r="E30" s="47" t="s">
        <v>16</v>
      </c>
      <c r="F30" s="47">
        <f t="array" ref="F30">SUM(IF((Tabela_GM_PEDIDOS_2017_FIM[MOEDA]=$E30)*(Tabela_GM_PEDIDOS_2017_FIM[FILIAL]=$D$14)*(Tabela_GM_PEDIDOS_2017_FIM[TIPO_GRUPO]=F$10)*(Tabela_GM_PEDIDOS_2017_FIM[PAGO]="S"),Tabela_GM_PEDIDOS_2017_FIM[VALOR_PAGAR]+Tabela_GM_PEDIDOS_2017_FIM[VC_FINANCEIRA]))*F27/1000</f>
        <v>0</v>
      </c>
      <c r="G30" s="47">
        <f t="array" ref="G30">SUM(IF((Tabela_GM_PEDIDOS_2017_FIM[MOEDA]=$E30)*(Tabela_GM_PEDIDOS_2017_FIM[FILIAL]=$D$14)*(Tabela_GM_PEDIDOS_2017_FIM[TIPO_GRUPO]=G$10)*(Tabela_GM_PEDIDOS_2017_FIM[PAGO]="S"),Tabela_GM_PEDIDOS_2017_FIM[VALOR_PAGAR]+Tabela_GM_PEDIDOS_2017_FIM[VC_FINANCEIRA]))*G27/1000</f>
        <v>62.56344555472544</v>
      </c>
      <c r="H30" s="47">
        <f t="array" ref="H30">SUM(IF((Tabela_GM_PEDIDOS_2017_FIM[MOEDA]=$E30)*(Tabela_GM_PEDIDOS_2017_FIM[FILIAL]=$D$14)*(Tabela_GM_PEDIDOS_2017_FIM[TIPO_GRUPO]=H$10)*(Tabela_GM_PEDIDOS_2017_FIM[PAGO]="S"),Tabela_GM_PEDIDOS_2017_FIM[VALOR_PAGAR]+Tabela_GM_PEDIDOS_2017_FIM[VC_FINANCEIRA]))*H27/1000</f>
        <v>0</v>
      </c>
      <c r="I30" s="47">
        <f t="array" ref="I30">SUM(IF((Tabela_GM_PEDIDOS_2017_FIM[MOEDA]=$E30)*(Tabela_GM_PEDIDOS_2017_FIM[FILIAL]=$D$14)*(Tabela_GM_PEDIDOS_2017_FIM[TIPO_GRUPO]=I$10)*(Tabela_GM_PEDIDOS_2017_FIM[PAGO]="S"),Tabela_GM_PEDIDOS_2017_FIM[VALOR_PAGAR]+Tabela_GM_PEDIDOS_2017_FIM[VC_FINANCEIRA]))*I27/1000</f>
        <v>0</v>
      </c>
      <c r="J30" s="47">
        <f t="array" ref="J30">SUM(IF((Tabela_GM_PEDIDOS_2017_FIM[MOEDA]=$E30)*(Tabela_GM_PEDIDOS_2017_FIM[FILIAL]=$D$14)*(Tabela_GM_PEDIDOS_2017_FIM[TIPO_GRUPO]=J$10)*(Tabela_GM_PEDIDOS_2017_FIM[PAGO]="S"),Tabela_GM_PEDIDOS_2017_FIM[VALOR_PAGAR]+Tabela_GM_PEDIDOS_2017_FIM[VC_FINANCEIRA]))*J27/1000</f>
        <v>0</v>
      </c>
      <c r="K30" s="47">
        <f t="array" ref="K30">SUM(IF((Tabela_GM_PEDIDOS_2017_FIM[MOEDA]=$E30)*(Tabela_GM_PEDIDOS_2017_FIM[FILIAL]=$D$14)*(Tabela_GM_PEDIDOS_2017_FIM[TIPO_GRUPO]=K$10)*(Tabela_GM_PEDIDOS_2017_FIM[PAGO]="S"),Tabela_GM_PEDIDOS_2017_FIM[VALOR_PAGAR]+Tabela_GM_PEDIDOS_2017_FIM[VC_FINANCEIRA]))*K27/1000</f>
        <v>0</v>
      </c>
      <c r="L30" s="47">
        <f t="array" ref="L30">SUM(IF((Tabela_GM_PEDIDOS_2017_FIM[MOEDA]=$E30)*(Tabela_GM_PEDIDOS_2017_FIM[FILIAL]=$D$14)*(Tabela_GM_PEDIDOS_2017_FIM[TIPO_GRUPO]=L$10)*(Tabela_GM_PEDIDOS_2017_FIM[PAGO]="S"),Tabela_GM_PEDIDOS_2017_FIM[VALOR_PAGAR]+Tabela_GM_PEDIDOS_2017_FIM[VC_FINANCEIRA]))*L27/1000</f>
        <v>0</v>
      </c>
      <c r="M30" s="47">
        <f t="array" ref="M30">SUM(IF((Tabela_GM_PEDIDOS_2017_FIM[MOEDA]=$E30)*(Tabela_GM_PEDIDOS_2017_FIM[FILIAL]=$D$14)*(Tabela_GM_PEDIDOS_2017_FIM[TIPO_GRUPO]=M$10)*(Tabela_GM_PEDIDOS_2017_FIM[PAGO]="S"),Tabela_GM_PEDIDOS_2017_FIM[VALOR_PAGAR]+Tabela_GM_PEDIDOS_2017_FIM[VC_FINANCEIRA]))*M27/1000</f>
        <v>0</v>
      </c>
      <c r="N30" s="47">
        <f t="array" ref="N30">SUM(IF((Tabela_GM_PEDIDOS_2017_FIM[MOEDA]=$E30)*(Tabela_GM_PEDIDOS_2017_FIM[FILIAL]=$D$14)*(Tabela_GM_PEDIDOS_2017_FIM[TIPO_GRUPO]=N$10)*(Tabela_GM_PEDIDOS_2017_FIM[PAGO]="S"),Tabela_GM_PEDIDOS_2017_FIM[VALOR_PAGAR]+Tabela_GM_PEDIDOS_2017_FIM[VC_FINANCEIRA]))*N27/1000</f>
        <v>0</v>
      </c>
      <c r="O30" s="47">
        <f t="array" ref="O30">SUM(IF((Tabela_GM_PEDIDOS_2017_FIM[MOEDA]=$E30)*(Tabela_GM_PEDIDOS_2017_FIM[FILIAL]=$D$14)*(Tabela_GM_PEDIDOS_2017_FIM[TIPO_GRUPO]=O$10)*(Tabela_GM_PEDIDOS_2017_FIM[PAGO]="S"),Tabela_GM_PEDIDOS_2017_FIM[VALOR_PAGAR]+Tabela_GM_PEDIDOS_2017_FIM[VC_FINANCEIRA]))*O27/1000</f>
        <v>0</v>
      </c>
      <c r="P30" s="47">
        <f t="array" ref="P30">SUM(F30:O30)</f>
        <v>62.56344555472544</v>
      </c>
      <c r="Q30" s="49"/>
    </row>
    <row r="31" spans="1:17" ht="15.75" hidden="1" customHeight="1" outlineLevel="1" thickBot="1" x14ac:dyDescent="0.3">
      <c r="A31" s="27"/>
      <c r="B31" s="320"/>
      <c r="C31" s="35"/>
      <c r="D31" s="46" t="s">
        <v>7688</v>
      </c>
      <c r="E31" s="47" t="s">
        <v>16</v>
      </c>
      <c r="F31" s="50">
        <f t="array" ref="F31">SUM(IF((Tabela_GM_PEDIDOS_2017_FIM[MOEDA]=$E31)*(Tabela_GM_PEDIDOS_2017_FIM[FILIAL]=$D$14)*(Tabela_GM_PEDIDOS_2017_FIM[TIPO_GRUPO]=F$10)*(Tabela_GM_PEDIDOS_2017_FIM[PAGO]&lt;&gt;"S"),Tabela_GM_PEDIDOS_2017_FIM[VL_PEDIDO_COMPRA]))*F27/1000</f>
        <v>145.83999750965009</v>
      </c>
      <c r="G31" s="50">
        <f t="array" ref="G31">SUM(IF((Tabela_GM_PEDIDOS_2017_FIM[MOEDA]=$E31)*(Tabela_GM_PEDIDOS_2017_FIM[FILIAL]=$D$14)*(Tabela_GM_PEDIDOS_2017_FIM[TIPO_GRUPO]=G$10)*(Tabela_GM_PEDIDOS_2017_FIM[PAGO]&lt;&gt;"S"),Tabela_GM_PEDIDOS_2017_FIM[VL_PEDIDO_COMPRA]))*G27/1000</f>
        <v>93.945788195741514</v>
      </c>
      <c r="H31" s="50">
        <f t="array" ref="H31">SUM(IF((Tabela_GM_PEDIDOS_2017_FIM[MOEDA]=$E31)*(Tabela_GM_PEDIDOS_2017_FIM[FILIAL]=$D$14)*(Tabela_GM_PEDIDOS_2017_FIM[TIPO_GRUPO]=H$10)*(Tabela_GM_PEDIDOS_2017_FIM[PAGO]&lt;&gt;"S"),Tabela_GM_PEDIDOS_2017_FIM[VL_PEDIDO_COMPRA]))*H27/1000</f>
        <v>0</v>
      </c>
      <c r="I31" s="50">
        <f t="array" ref="I31">SUM(IF((Tabela_GM_PEDIDOS_2017_FIM[MOEDA]=$E31)*(Tabela_GM_PEDIDOS_2017_FIM[FILIAL]=$D$14)*(Tabela_GM_PEDIDOS_2017_FIM[TIPO_GRUPO]=I$10)*(Tabela_GM_PEDIDOS_2017_FIM[PAGO]&lt;&gt;"S"),Tabela_GM_PEDIDOS_2017_FIM[VL_PEDIDO_COMPRA]))*I27/1000</f>
        <v>0</v>
      </c>
      <c r="J31" s="50">
        <f t="array" ref="J31">SUM(IF((Tabela_GM_PEDIDOS_2017_FIM[MOEDA]=$E31)*(Tabela_GM_PEDIDOS_2017_FIM[FILIAL]=$D$14)*(Tabela_GM_PEDIDOS_2017_FIM[TIPO_GRUPO]=J$10)*(Tabela_GM_PEDIDOS_2017_FIM[PAGO]&lt;&gt;"S"),Tabela_GM_PEDIDOS_2017_FIM[VL_PEDIDO_COMPRA]))*J27/1000</f>
        <v>0</v>
      </c>
      <c r="K31" s="50">
        <f t="array" ref="K31">SUM(IF((Tabela_GM_PEDIDOS_2017_FIM[MOEDA]=$E31)*(Tabela_GM_PEDIDOS_2017_FIM[FILIAL]=$D$14)*(Tabela_GM_PEDIDOS_2017_FIM[TIPO_GRUPO]=K$10)*(Tabela_GM_PEDIDOS_2017_FIM[PAGO]&lt;&gt;"S"),Tabela_GM_PEDIDOS_2017_FIM[VL_PEDIDO_COMPRA]))*K27/1000</f>
        <v>0</v>
      </c>
      <c r="L31" s="50">
        <f t="array" ref="L31">SUM(IF((Tabela_GM_PEDIDOS_2017_FIM[MOEDA]=$E31)*(Tabela_GM_PEDIDOS_2017_FIM[FILIAL]=$D$14)*(Tabela_GM_PEDIDOS_2017_FIM[TIPO_GRUPO]=L$10)*(Tabela_GM_PEDIDOS_2017_FIM[PAGO]&lt;&gt;"S"),Tabela_GM_PEDIDOS_2017_FIM[VL_PEDIDO_COMPRA]))*L27/1000</f>
        <v>0</v>
      </c>
      <c r="M31" s="50">
        <f t="array" ref="M31">SUM(IF((Tabela_GM_PEDIDOS_2017_FIM[MOEDA]=$E31)*(Tabela_GM_PEDIDOS_2017_FIM[FILIAL]=$D$14)*(Tabela_GM_PEDIDOS_2017_FIM[TIPO_GRUPO]=M$10)*(Tabela_GM_PEDIDOS_2017_FIM[PAGO]&lt;&gt;"S"),Tabela_GM_PEDIDOS_2017_FIM[VL_PEDIDO_COMPRA]))*M27/1000</f>
        <v>0</v>
      </c>
      <c r="N31" s="50">
        <f t="array" ref="N31">SUM(IF((Tabela_GM_PEDIDOS_2017_FIM[MOEDA]=$E31)*(Tabela_GM_PEDIDOS_2017_FIM[FILIAL]=$D$14)*(Tabela_GM_PEDIDOS_2017_FIM[TIPO_GRUPO]=N$10)*(Tabela_GM_PEDIDOS_2017_FIM[PAGO]&lt;&gt;"S"),Tabela_GM_PEDIDOS_2017_FIM[VL_PEDIDO_COMPRA]))*N27/1000</f>
        <v>0</v>
      </c>
      <c r="O31" s="50">
        <f t="array" ref="O31">SUM(IF((Tabela_GM_PEDIDOS_2017_FIM[MOEDA]=$E31)*(Tabela_GM_PEDIDOS_2017_FIM[FILIAL]=$D$14)*(Tabela_GM_PEDIDOS_2017_FIM[TIPO_GRUPO]=O$10)*(Tabela_GM_PEDIDOS_2017_FIM[PAGO]&lt;&gt;"S"),Tabela_GM_PEDIDOS_2017_FIM[VL_PEDIDO_COMPRA]))*O27/1000</f>
        <v>0</v>
      </c>
      <c r="P31" s="50">
        <f>SUM(F31:O31)</f>
        <v>239.78578570539162</v>
      </c>
      <c r="Q31" s="48"/>
    </row>
    <row r="32" spans="1:17" ht="15.75" customHeight="1" collapsed="1" thickBot="1" x14ac:dyDescent="0.3">
      <c r="A32" s="27"/>
      <c r="B32" s="320"/>
      <c r="C32" s="35"/>
      <c r="D32" s="53"/>
      <c r="E32" s="4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44"/>
      <c r="Q32" s="45"/>
    </row>
    <row r="33" spans="1:17" ht="15.75" customHeight="1" thickBot="1" x14ac:dyDescent="0.3">
      <c r="A33" s="27"/>
      <c r="B33" s="320"/>
      <c r="C33" s="35"/>
      <c r="D33" s="39" t="s">
        <v>7786</v>
      </c>
      <c r="E33" s="40"/>
      <c r="F33" s="41">
        <f t="array" ref="F33">SUM(IF((ProjecaoAreas!$H$6:$H$46=ResumoCusto!$D$14)*(ProjecaoAreas!$I$6:$I$46=ResumoCusto!$D34),ProjecaoAreas!$L$6:$L$46))</f>
        <v>0.46694060515502428</v>
      </c>
      <c r="G33" s="41">
        <f t="array" ref="G33">SUM(IF((ProjecaoAreas!$H$6:$H$46=ResumoCusto!$D$14)*(ProjecaoAreas!$I$6:$I$46=ResumoCusto!$D34),ProjecaoAreas!$L$6:$L$46))</f>
        <v>0.46694060515502428</v>
      </c>
      <c r="H33" s="41">
        <f t="array" ref="H33">SUM(IF((ProjecaoAreas!$H$6:$H$46=ResumoCusto!$D$14)*(ProjecaoAreas!$I$6:$I$46=ResumoCusto!$D34),ProjecaoAreas!$L$6:$L$46))</f>
        <v>0.46694060515502428</v>
      </c>
      <c r="I33" s="41">
        <v>0</v>
      </c>
      <c r="J33" s="41">
        <f t="array" ref="J33">SUM(IF((ProjecaoAreas!$H$6:$H$46=ResumoCusto!$D$14)*(ProjecaoAreas!$I$6:$I$46=ResumoCusto!$D34),ProjecaoAreas!$L$6:$L$46))</f>
        <v>0.46694060515502428</v>
      </c>
      <c r="K33" s="41">
        <f t="array" ref="K33">SUM(IF((ProjecaoAreas!$H$6:$H$46=ResumoCusto!$D$14)*(ProjecaoAreas!$I$6:$I$46=ResumoCusto!$D34),ProjecaoAreas!$L$6:$L$46))</f>
        <v>0.46694060515502428</v>
      </c>
      <c r="L33" s="41">
        <f t="array" ref="L33">SUM(IF((ProjecaoAreas!$H$6:$H$46=ResumoCusto!$D$14)*(ProjecaoAreas!$I$6:$I$46=ResumoCusto!$D34),ProjecaoAreas!$L$6:$L$46))</f>
        <v>0.46694060515502428</v>
      </c>
      <c r="M33" s="41">
        <f t="array" ref="M33">SUM(IF((ProjecaoAreas!$H$6:$H$46=ResumoCusto!$D$14)*(ProjecaoAreas!$I$6:$I$46=ResumoCusto!$D34),ProjecaoAreas!$L$6:$L$46))</f>
        <v>0.46694060515502428</v>
      </c>
      <c r="N33" s="41">
        <f t="array" ref="N33">SUM(IF((ProjecaoAreas!$H$6:$H$46=ResumoCusto!$D$14)*(ProjecaoAreas!$I$6:$I$46=ResumoCusto!$D34),ProjecaoAreas!$L$6:$L$46))</f>
        <v>0.46694060515502428</v>
      </c>
      <c r="O33" s="41">
        <f t="array" ref="O33">SUM(IF((ProjecaoAreas!$H$6:$H$46=ResumoCusto!$D$14)*(ProjecaoAreas!$I$6:$I$46=ResumoCusto!$D34),ProjecaoAreas!$L$6:$L$46))</f>
        <v>0.46694060515502428</v>
      </c>
      <c r="P33" s="40"/>
      <c r="Q33" s="42"/>
    </row>
    <row r="34" spans="1:17" ht="15.75" customHeight="1" thickBot="1" x14ac:dyDescent="0.3">
      <c r="A34" s="27"/>
      <c r="B34" s="320"/>
      <c r="C34" s="35"/>
      <c r="D34" s="43" t="s">
        <v>7665</v>
      </c>
      <c r="E34" s="44">
        <f t="array" ref="E34">SUM(IF((ProjecaoAreas!$H$6:$H$46=ResumoCusto!$D$14)*(ProjecaoAreas!$I$6:$I$46=ResumoCusto!$D34),ProjecaoAreas!$J$6:$J$46))</f>
        <v>8000</v>
      </c>
      <c r="F34" s="44">
        <f t="array" ref="F34">F$14*F33</f>
        <v>20076.46114015222</v>
      </c>
      <c r="G34" s="44">
        <f t="array" ref="G34">G$14*G33</f>
        <v>13766.654247011582</v>
      </c>
      <c r="H34" s="44">
        <f t="shared" ref="H34" si="15">H$14*H33</f>
        <v>4202.4654463952184</v>
      </c>
      <c r="I34" s="44">
        <f>Frete!K16/1000</f>
        <v>7360</v>
      </c>
      <c r="J34" s="44">
        <f t="shared" ref="J34" si="16">J$14*J33</f>
        <v>7004.1090773253645</v>
      </c>
      <c r="K34" s="44">
        <f t="shared" ref="K34" si="17">K$14*K33</f>
        <v>3735.5248412401943</v>
      </c>
      <c r="L34" s="44">
        <f t="shared" ref="L34" si="18">L$14*L33</f>
        <v>2495.562892230108</v>
      </c>
      <c r="M34" s="44">
        <f t="shared" ref="M34" si="19">M$14*M33</f>
        <v>1634.2921180425849</v>
      </c>
      <c r="N34" s="44">
        <f t="shared" ref="N34" si="20">N$14*N33</f>
        <v>135.10085917071348</v>
      </c>
      <c r="O34" s="44">
        <f t="shared" ref="O34" si="21">O$14*O33</f>
        <v>2678.5125140082177</v>
      </c>
      <c r="P34" s="44">
        <f>SUM(F34:O34)</f>
        <v>63088.683135576204</v>
      </c>
      <c r="Q34" s="45">
        <f>P34/E34*1000</f>
        <v>7886.0853919470255</v>
      </c>
    </row>
    <row r="35" spans="1:17" ht="15.75" hidden="1" customHeight="1" outlineLevel="1" thickBot="1" x14ac:dyDescent="0.3">
      <c r="A35" s="27"/>
      <c r="B35" s="320"/>
      <c r="C35" s="35"/>
      <c r="D35" s="46" t="s">
        <v>7686</v>
      </c>
      <c r="E35" s="47" t="s">
        <v>27</v>
      </c>
      <c r="F35" s="47">
        <f t="array" ref="F35">SUM(IF((Tabela_GM_PEDIDOS_2017_FIM[MOEDA]=$E35)*(Tabela_GM_PEDIDOS_2017_FIM[FILIAL]=$D$14)*(Tabela_GM_PEDIDOS_2017_FIM[TIPO_GRUPO]=F$10),Tabela_GM_PEDIDOS_2017_FIM[VALOR_PAGAR]+Tabela_GM_PEDIDOS_2017_FIM[VC_FINANCEIRA]))*F33/1000</f>
        <v>4.4717641016062757</v>
      </c>
      <c r="G35" s="47">
        <f t="array" ref="G35">SUM(IF((Tabela_GM_PEDIDOS_2017_FIM[MOEDA]=$E35)*(Tabela_GM_PEDIDOS_2017_FIM[FILIAL]=$D$14)*(Tabela_GM_PEDIDOS_2017_FIM[TIPO_GRUPO]=G$10),Tabela_GM_PEDIDOS_2017_FIM[VALOR_PAGAR]+Tabela_GM_PEDIDOS_2017_FIM[VC_FINANCEIRA]))*G33/1000</f>
        <v>1791.923445087785</v>
      </c>
      <c r="H35" s="47">
        <f t="array" ref="H35">SUM(IF((Tabela_GM_PEDIDOS_2017_FIM[MOEDA]=$E35)*(Tabela_GM_PEDIDOS_2017_FIM[FILIAL]=$D$14)*(Tabela_GM_PEDIDOS_2017_FIM[TIPO_GRUPO]=H$10),Tabela_GM_PEDIDOS_2017_FIM[VALOR_PAGAR]+Tabela_GM_PEDIDOS_2017_FIM[VC_FINANCEIRA]))*H33/1000</f>
        <v>0</v>
      </c>
      <c r="I35" s="47">
        <f t="array" ref="I35">SUM(IF((Tabela_GM_PEDIDOS_2017_FIM[MOEDA]=$E35)*(Tabela_GM_PEDIDOS_2017_FIM[FILIAL]=$D$14)*(Tabela_GM_PEDIDOS_2017_FIM[TIPO_GRUPO]=I$10),Tabela_GM_PEDIDOS_2017_FIM[VALOR_PAGAR]+Tabela_GM_PEDIDOS_2017_FIM[VC_FINANCEIRA]))*I33/1000</f>
        <v>0</v>
      </c>
      <c r="J35" s="47">
        <f t="array" ref="J35">SUM(IF((Tabela_GM_PEDIDOS_2017_FIM[MOEDA]=$E35)*(Tabela_GM_PEDIDOS_2017_FIM[FILIAL]=$D$14)*(Tabela_GM_PEDIDOS_2017_FIM[TIPO_GRUPO]=J$10),Tabela_GM_PEDIDOS_2017_FIM[VALOR_PAGAR]+Tabela_GM_PEDIDOS_2017_FIM[VC_FINANCEIRA]))*J33/1000</f>
        <v>0</v>
      </c>
      <c r="K35" s="47">
        <f t="array" ref="K35">SUM(IF((Tabela_GM_PEDIDOS_2017_FIM[MOEDA]=$E35)*(Tabela_GM_PEDIDOS_2017_FIM[FILIAL]=$D$14)*(Tabela_GM_PEDIDOS_2017_FIM[TIPO_GRUPO]=K$10),Tabela_GM_PEDIDOS_2017_FIM[VALOR_PAGAR]+Tabela_GM_PEDIDOS_2017_FIM[VC_FINANCEIRA]))*K33/1000</f>
        <v>0</v>
      </c>
      <c r="L35" s="47">
        <f t="array" ref="L35">SUM(IF((Tabela_GM_PEDIDOS_2017_FIM[MOEDA]=$E35)*(Tabela_GM_PEDIDOS_2017_FIM[FILIAL]=$D$14)*(Tabela_GM_PEDIDOS_2017_FIM[TIPO_GRUPO]=L$10),Tabela_GM_PEDIDOS_2017_FIM[VALOR_PAGAR]+Tabela_GM_PEDIDOS_2017_FIM[VC_FINANCEIRA]))*L33/1000</f>
        <v>1561.6816819200599</v>
      </c>
      <c r="M35" s="47">
        <f t="array" ref="M35">SUM(IF((Tabela_GM_PEDIDOS_2017_FIM[MOEDA]=$E35)*(Tabela_GM_PEDIDOS_2017_FIM[FILIAL]=$D$14)*(Tabela_GM_PEDIDOS_2017_FIM[TIPO_GRUPO]=M$10),Tabela_GM_PEDIDOS_2017_FIM[VALOR_PAGAR]+Tabela_GM_PEDIDOS_2017_FIM[VC_FINANCEIRA]))*M33/1000</f>
        <v>0</v>
      </c>
      <c r="N35" s="47">
        <f t="array" ref="N35">SUM(IF((Tabela_GM_PEDIDOS_2017_FIM[MOEDA]=$E35)*(Tabela_GM_PEDIDOS_2017_FIM[FILIAL]=$D$14)*(Tabela_GM_PEDIDOS_2017_FIM[TIPO_GRUPO]=N$10),Tabela_GM_PEDIDOS_2017_FIM[VALOR_PAGAR]+Tabela_GM_PEDIDOS_2017_FIM[VC_FINANCEIRA]))*N33/1000</f>
        <v>135.10085917071348</v>
      </c>
      <c r="O35" s="47">
        <f t="array" ref="O35">SUM(IF((Tabela_GM_PEDIDOS_2017_FIM[MOEDA]=$E35)*(Tabela_GM_PEDIDOS_2017_FIM[FILIAL]=$D$14)*(Tabela_GM_PEDIDOS_2017_FIM[TIPO_GRUPO]=O$10),Tabela_GM_PEDIDOS_2017_FIM[VALOR_PAGAR]+Tabela_GM_PEDIDOS_2017_FIM[VC_FINANCEIRA]))*O33/1000</f>
        <v>16.951064624579754</v>
      </c>
      <c r="P35" s="47">
        <f t="array" ref="P35">SUM(F35:O35)</f>
        <v>3510.1288149047446</v>
      </c>
      <c r="Q35" s="48"/>
    </row>
    <row r="36" spans="1:17" ht="15.75" hidden="1" customHeight="1" outlineLevel="1" thickBot="1" x14ac:dyDescent="0.3">
      <c r="A36" s="27"/>
      <c r="B36" s="320"/>
      <c r="C36" s="35"/>
      <c r="D36" s="46" t="s">
        <v>7687</v>
      </c>
      <c r="E36" s="47" t="s">
        <v>16</v>
      </c>
      <c r="F36" s="47">
        <f t="array" ref="F36">SUM(IF((Tabela_GM_PEDIDOS_2017_FIM[MOEDA]=$E36)*(Tabela_GM_PEDIDOS_2017_FIM[FILIAL]=$D$14)*(Tabela_GM_PEDIDOS_2017_FIM[TIPO_GRUPO]=F$10)*(Tabela_GM_PEDIDOS_2017_FIM[PAGO]="S"),Tabela_GM_PEDIDOS_2017_FIM[VALOR_PAGAR]+Tabela_GM_PEDIDOS_2017_FIM[VC_FINANCEIRA]))*F33/1000</f>
        <v>0</v>
      </c>
      <c r="G36" s="47">
        <f t="array" ref="G36">SUM(IF((Tabela_GM_PEDIDOS_2017_FIM[MOEDA]=$E36)*(Tabela_GM_PEDIDOS_2017_FIM[FILIAL]=$D$14)*(Tabela_GM_PEDIDOS_2017_FIM[TIPO_GRUPO]=G$10)*(Tabela_GM_PEDIDOS_2017_FIM[PAGO]="S"),Tabela_GM_PEDIDOS_2017_FIM[VALOR_PAGAR]+Tabela_GM_PEDIDOS_2017_FIM[VC_FINANCEIRA]))*G33/1000</f>
        <v>1876.9033666417631</v>
      </c>
      <c r="H36" s="47">
        <f t="array" ref="H36">SUM(IF((Tabela_GM_PEDIDOS_2017_FIM[MOEDA]=$E36)*(Tabela_GM_PEDIDOS_2017_FIM[FILIAL]=$D$14)*(Tabela_GM_PEDIDOS_2017_FIM[TIPO_GRUPO]=H$10)*(Tabela_GM_PEDIDOS_2017_FIM[PAGO]="S"),Tabela_GM_PEDIDOS_2017_FIM[VALOR_PAGAR]+Tabela_GM_PEDIDOS_2017_FIM[VC_FINANCEIRA]))*H33/1000</f>
        <v>0</v>
      </c>
      <c r="I36" s="47">
        <f t="array" ref="I36">SUM(IF((Tabela_GM_PEDIDOS_2017_FIM[MOEDA]=$E36)*(Tabela_GM_PEDIDOS_2017_FIM[FILIAL]=$D$14)*(Tabela_GM_PEDIDOS_2017_FIM[TIPO_GRUPO]=I$10)*(Tabela_GM_PEDIDOS_2017_FIM[PAGO]="S"),Tabela_GM_PEDIDOS_2017_FIM[VALOR_PAGAR]+Tabela_GM_PEDIDOS_2017_FIM[VC_FINANCEIRA]))*I33/1000</f>
        <v>0</v>
      </c>
      <c r="J36" s="47">
        <f t="array" ref="J36">SUM(IF((Tabela_GM_PEDIDOS_2017_FIM[MOEDA]=$E36)*(Tabela_GM_PEDIDOS_2017_FIM[FILIAL]=$D$14)*(Tabela_GM_PEDIDOS_2017_FIM[TIPO_GRUPO]=J$10)*(Tabela_GM_PEDIDOS_2017_FIM[PAGO]="S"),Tabela_GM_PEDIDOS_2017_FIM[VALOR_PAGAR]+Tabela_GM_PEDIDOS_2017_FIM[VC_FINANCEIRA]))*J33/1000</f>
        <v>0</v>
      </c>
      <c r="K36" s="47">
        <f t="array" ref="K36">SUM(IF((Tabela_GM_PEDIDOS_2017_FIM[MOEDA]=$E36)*(Tabela_GM_PEDIDOS_2017_FIM[FILIAL]=$D$14)*(Tabela_GM_PEDIDOS_2017_FIM[TIPO_GRUPO]=K$10)*(Tabela_GM_PEDIDOS_2017_FIM[PAGO]="S"),Tabela_GM_PEDIDOS_2017_FIM[VALOR_PAGAR]+Tabela_GM_PEDIDOS_2017_FIM[VC_FINANCEIRA]))*K33/1000</f>
        <v>0</v>
      </c>
      <c r="L36" s="47">
        <f t="array" ref="L36">SUM(IF((Tabela_GM_PEDIDOS_2017_FIM[MOEDA]=$E36)*(Tabela_GM_PEDIDOS_2017_FIM[FILIAL]=$D$14)*(Tabela_GM_PEDIDOS_2017_FIM[TIPO_GRUPO]=L$10)*(Tabela_GM_PEDIDOS_2017_FIM[PAGO]="S"),Tabela_GM_PEDIDOS_2017_FIM[VALOR_PAGAR]+Tabela_GM_PEDIDOS_2017_FIM[VC_FINANCEIRA]))*L33/1000</f>
        <v>0</v>
      </c>
      <c r="M36" s="47">
        <f t="array" ref="M36">SUM(IF((Tabela_GM_PEDIDOS_2017_FIM[MOEDA]=$E36)*(Tabela_GM_PEDIDOS_2017_FIM[FILIAL]=$D$14)*(Tabela_GM_PEDIDOS_2017_FIM[TIPO_GRUPO]=M$10)*(Tabela_GM_PEDIDOS_2017_FIM[PAGO]="S"),Tabela_GM_PEDIDOS_2017_FIM[VALOR_PAGAR]+Tabela_GM_PEDIDOS_2017_FIM[VC_FINANCEIRA]))*M33/1000</f>
        <v>0</v>
      </c>
      <c r="N36" s="47">
        <f t="array" ref="N36">SUM(IF((Tabela_GM_PEDIDOS_2017_FIM[MOEDA]=$E36)*(Tabela_GM_PEDIDOS_2017_FIM[FILIAL]=$D$14)*(Tabela_GM_PEDIDOS_2017_FIM[TIPO_GRUPO]=N$10)*(Tabela_GM_PEDIDOS_2017_FIM[PAGO]="S"),Tabela_GM_PEDIDOS_2017_FIM[VALOR_PAGAR]+Tabela_GM_PEDIDOS_2017_FIM[VC_FINANCEIRA]))*N33/1000</f>
        <v>0</v>
      </c>
      <c r="O36" s="47">
        <f t="array" ref="O36">SUM(IF((Tabela_GM_PEDIDOS_2017_FIM[MOEDA]=$E36)*(Tabela_GM_PEDIDOS_2017_FIM[FILIAL]=$D$14)*(Tabela_GM_PEDIDOS_2017_FIM[TIPO_GRUPO]=O$10)*(Tabela_GM_PEDIDOS_2017_FIM[PAGO]="S"),Tabela_GM_PEDIDOS_2017_FIM[VALOR_PAGAR]+Tabela_GM_PEDIDOS_2017_FIM[VC_FINANCEIRA]))*O33/1000</f>
        <v>0</v>
      </c>
      <c r="P36" s="47">
        <f t="array" ref="P36">SUM(F36:O36)</f>
        <v>1876.9033666417631</v>
      </c>
      <c r="Q36" s="49"/>
    </row>
    <row r="37" spans="1:17" ht="15.75" hidden="1" customHeight="1" outlineLevel="1" thickBot="1" x14ac:dyDescent="0.3">
      <c r="A37" s="27"/>
      <c r="B37" s="320"/>
      <c r="C37" s="35"/>
      <c r="D37" s="46" t="s">
        <v>7688</v>
      </c>
      <c r="E37" s="47" t="s">
        <v>16</v>
      </c>
      <c r="F37" s="50">
        <f t="array" ref="F37">SUM(IF((Tabela_GM_PEDIDOS_2017_FIM[MOEDA]=$E37)*(Tabela_GM_PEDIDOS_2017_FIM[FILIAL]=$D$14)*(Tabela_GM_PEDIDOS_2017_FIM[TIPO_GRUPO]=F$10)*(Tabela_GM_PEDIDOS_2017_FIM[PAGO]&lt;&gt;"S"),Tabela_GM_PEDIDOS_2017_FIM[VL_PEDIDO_COMPRA]))*F33/1000</f>
        <v>4375.199925289503</v>
      </c>
      <c r="G37" s="50">
        <f t="array" ref="G37">SUM(IF((Tabela_GM_PEDIDOS_2017_FIM[MOEDA]=$E37)*(Tabela_GM_PEDIDOS_2017_FIM[FILIAL]=$D$14)*(Tabela_GM_PEDIDOS_2017_FIM[TIPO_GRUPO]=G$10)*(Tabela_GM_PEDIDOS_2017_FIM[PAGO]&lt;&gt;"S"),Tabela_GM_PEDIDOS_2017_FIM[VL_PEDIDO_COMPRA]))*G33/1000</f>
        <v>2818.3736458722451</v>
      </c>
      <c r="H37" s="50">
        <f t="array" ref="H37">SUM(IF((Tabela_GM_PEDIDOS_2017_FIM[MOEDA]=$E37)*(Tabela_GM_PEDIDOS_2017_FIM[FILIAL]=$D$14)*(Tabela_GM_PEDIDOS_2017_FIM[TIPO_GRUPO]=H$10)*(Tabela_GM_PEDIDOS_2017_FIM[PAGO]&lt;&gt;"S"),Tabela_GM_PEDIDOS_2017_FIM[VL_PEDIDO_COMPRA]))*H33/1000</f>
        <v>0</v>
      </c>
      <c r="I37" s="50">
        <f t="array" ref="I37">SUM(IF((Tabela_GM_PEDIDOS_2017_FIM[MOEDA]=$E37)*(Tabela_GM_PEDIDOS_2017_FIM[FILIAL]=$D$14)*(Tabela_GM_PEDIDOS_2017_FIM[TIPO_GRUPO]=I$10)*(Tabela_GM_PEDIDOS_2017_FIM[PAGO]&lt;&gt;"S"),Tabela_GM_PEDIDOS_2017_FIM[VL_PEDIDO_COMPRA]))*I33/1000</f>
        <v>0</v>
      </c>
      <c r="J37" s="50">
        <f t="array" ref="J37">SUM(IF((Tabela_GM_PEDIDOS_2017_FIM[MOEDA]=$E37)*(Tabela_GM_PEDIDOS_2017_FIM[FILIAL]=$D$14)*(Tabela_GM_PEDIDOS_2017_FIM[TIPO_GRUPO]=J$10)*(Tabela_GM_PEDIDOS_2017_FIM[PAGO]&lt;&gt;"S"),Tabela_GM_PEDIDOS_2017_FIM[VL_PEDIDO_COMPRA]))*J33/1000</f>
        <v>0</v>
      </c>
      <c r="K37" s="50">
        <f t="array" ref="K37">SUM(IF((Tabela_GM_PEDIDOS_2017_FIM[MOEDA]=$E37)*(Tabela_GM_PEDIDOS_2017_FIM[FILIAL]=$D$14)*(Tabela_GM_PEDIDOS_2017_FIM[TIPO_GRUPO]=K$10)*(Tabela_GM_PEDIDOS_2017_FIM[PAGO]&lt;&gt;"S"),Tabela_GM_PEDIDOS_2017_FIM[VL_PEDIDO_COMPRA]))*K33/1000</f>
        <v>0</v>
      </c>
      <c r="L37" s="50">
        <f t="array" ref="L37">SUM(IF((Tabela_GM_PEDIDOS_2017_FIM[MOEDA]=$E37)*(Tabela_GM_PEDIDOS_2017_FIM[FILIAL]=$D$14)*(Tabela_GM_PEDIDOS_2017_FIM[TIPO_GRUPO]=L$10)*(Tabela_GM_PEDIDOS_2017_FIM[PAGO]&lt;&gt;"S"),Tabela_GM_PEDIDOS_2017_FIM[VL_PEDIDO_COMPRA]))*L33/1000</f>
        <v>0</v>
      </c>
      <c r="M37" s="50">
        <f t="array" ref="M37">SUM(IF((Tabela_GM_PEDIDOS_2017_FIM[MOEDA]=$E37)*(Tabela_GM_PEDIDOS_2017_FIM[FILIAL]=$D$14)*(Tabela_GM_PEDIDOS_2017_FIM[TIPO_GRUPO]=M$10)*(Tabela_GM_PEDIDOS_2017_FIM[PAGO]&lt;&gt;"S"),Tabela_GM_PEDIDOS_2017_FIM[VL_PEDIDO_COMPRA]))*M33/1000</f>
        <v>0</v>
      </c>
      <c r="N37" s="50">
        <f t="array" ref="N37">SUM(IF((Tabela_GM_PEDIDOS_2017_FIM[MOEDA]=$E37)*(Tabela_GM_PEDIDOS_2017_FIM[FILIAL]=$D$14)*(Tabela_GM_PEDIDOS_2017_FIM[TIPO_GRUPO]=N$10)*(Tabela_GM_PEDIDOS_2017_FIM[PAGO]&lt;&gt;"S"),Tabela_GM_PEDIDOS_2017_FIM[VL_PEDIDO_COMPRA]))*N33/1000</f>
        <v>0</v>
      </c>
      <c r="O37" s="50">
        <f t="array" ref="O37">SUM(IF((Tabela_GM_PEDIDOS_2017_FIM[MOEDA]=$E37)*(Tabela_GM_PEDIDOS_2017_FIM[FILIAL]=$D$14)*(Tabela_GM_PEDIDOS_2017_FIM[TIPO_GRUPO]=O$10)*(Tabela_GM_PEDIDOS_2017_FIM[PAGO]&lt;&gt;"S"),Tabela_GM_PEDIDOS_2017_FIM[VL_PEDIDO_COMPRA]))*O33/1000</f>
        <v>0</v>
      </c>
      <c r="P37" s="50">
        <f>SUM(F37:O37)</f>
        <v>7193.5735711617481</v>
      </c>
      <c r="Q37" s="48"/>
    </row>
    <row r="38" spans="1:17" ht="15.75" customHeight="1" collapsed="1" thickBot="1" x14ac:dyDescent="0.3">
      <c r="A38" s="27"/>
      <c r="B38" s="320"/>
      <c r="C38" s="35"/>
      <c r="D38" s="53"/>
      <c r="E38" s="4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44"/>
      <c r="Q38" s="45"/>
    </row>
    <row r="39" spans="1:17" ht="15.75" customHeight="1" thickBot="1" x14ac:dyDescent="0.3">
      <c r="A39" s="27"/>
      <c r="B39" s="320"/>
      <c r="C39" s="35"/>
      <c r="D39" s="39" t="s">
        <v>7786</v>
      </c>
      <c r="E39" s="40"/>
      <c r="F39" s="41">
        <f t="array" ref="F39">SUM(IF((ProjecaoAreas!$H$6:$H$46=ResumoCusto!$D$14)*(ProjecaoAreas!$I$6:$I$46=ResumoCusto!$D40),ProjecaoAreas!$L$6:$L$46))</f>
        <v>0.17121155522350889</v>
      </c>
      <c r="G39" s="41">
        <f t="array" ref="G39">SUM(IF((ProjecaoAreas!$H$6:$H$46=ResumoCusto!$D$14)*(ProjecaoAreas!$I$6:$I$46=ResumoCusto!$D40),ProjecaoAreas!$L$6:$L$46))</f>
        <v>0.17121155522350889</v>
      </c>
      <c r="H39" s="41">
        <f t="array" ref="H39">SUM(IF((ProjecaoAreas!$H$6:$H$46=ResumoCusto!$D$14)*(ProjecaoAreas!$I$6:$I$46=ResumoCusto!$D40),ProjecaoAreas!$L$6:$L$46))</f>
        <v>0.17121155522350889</v>
      </c>
      <c r="I39" s="41">
        <v>0.32100000000000001</v>
      </c>
      <c r="J39" s="41">
        <f t="array" ref="J39">SUM(IF((ProjecaoAreas!$H$6:$H$46=ResumoCusto!$D$14)*(ProjecaoAreas!$I$6:$I$46=ResumoCusto!$D40),ProjecaoAreas!$L$6:$L$46))</f>
        <v>0.17121155522350889</v>
      </c>
      <c r="K39" s="41">
        <f t="array" ref="K39">SUM(IF((ProjecaoAreas!$H$6:$H$46=ResumoCusto!$D$14)*(ProjecaoAreas!$I$6:$I$46=ResumoCusto!$D40),ProjecaoAreas!$L$6:$L$46))</f>
        <v>0.17121155522350889</v>
      </c>
      <c r="L39" s="41">
        <f t="array" ref="L39">SUM(IF((ProjecaoAreas!$H$6:$H$46=ResumoCusto!$D$14)*(ProjecaoAreas!$I$6:$I$46=ResumoCusto!$D40),ProjecaoAreas!$L$6:$L$46))</f>
        <v>0.17121155522350889</v>
      </c>
      <c r="M39" s="41">
        <f t="array" ref="M39">SUM(IF((ProjecaoAreas!$H$6:$H$46=ResumoCusto!$D$14)*(ProjecaoAreas!$I$6:$I$46=ResumoCusto!$D40),ProjecaoAreas!$L$6:$L$46))</f>
        <v>0.17121155522350889</v>
      </c>
      <c r="N39" s="41">
        <f t="array" ref="N39">SUM(IF((ProjecaoAreas!$H$6:$H$46=ResumoCusto!$D$14)*(ProjecaoAreas!$I$6:$I$46=ResumoCusto!$D40),ProjecaoAreas!$L$6:$L$46))</f>
        <v>0.17121155522350889</v>
      </c>
      <c r="O39" s="41">
        <f t="array" ref="O39">SUM(IF((ProjecaoAreas!$H$6:$H$46=ResumoCusto!$D$14)*(ProjecaoAreas!$I$6:$I$46=ResumoCusto!$D40),ProjecaoAreas!$L$6:$L$46))</f>
        <v>0.17121155522350889</v>
      </c>
      <c r="P39" s="40"/>
      <c r="Q39" s="42"/>
    </row>
    <row r="40" spans="1:17" ht="15.75" customHeight="1" thickBot="1" x14ac:dyDescent="0.3">
      <c r="A40" s="27"/>
      <c r="B40" s="320"/>
      <c r="C40" s="35"/>
      <c r="D40" s="43" t="s">
        <v>7659</v>
      </c>
      <c r="E40" s="44">
        <f t="array" ref="E40">SUM(IF((ProjecaoAreas!$H$6:$H$46=ResumoCusto!$D$14)*(ProjecaoAreas!$I$6:$I$46=ResumoCusto!$D40),ProjecaoAreas!$J$6:$J$46))</f>
        <v>11000</v>
      </c>
      <c r="F40" s="44">
        <f t="array" ref="F40">F$14*F39</f>
        <v>7361.3690847224807</v>
      </c>
      <c r="G40" s="44">
        <f t="array" ref="G40">G$14*G39</f>
        <v>5047.7732239042462</v>
      </c>
      <c r="H40" s="44">
        <f t="shared" ref="H40" si="22">H$14*H39</f>
        <v>1540.90399701158</v>
      </c>
      <c r="I40" s="44">
        <f>(I$14-Frete!L40)*I39</f>
        <v>2967.5866779791395</v>
      </c>
      <c r="J40" s="44">
        <f t="shared" ref="J40" si="23">J$14*J39</f>
        <v>2568.1733283526332</v>
      </c>
      <c r="K40" s="44">
        <f t="shared" ref="K40" si="24">K$14*K39</f>
        <v>1369.6924417880712</v>
      </c>
      <c r="L40" s="44">
        <f t="shared" ref="L40" si="25">L$14*L39</f>
        <v>915.03972715103964</v>
      </c>
      <c r="M40" s="44">
        <f t="shared" ref="M40" si="26">M$14*M39</f>
        <v>599.24044328228115</v>
      </c>
      <c r="N40" s="44">
        <f t="shared" ref="N40" si="27">N$14*N39</f>
        <v>49.536981695928276</v>
      </c>
      <c r="O40" s="44">
        <f t="shared" ref="O40" si="28">O$14*O39</f>
        <v>982.12125513634658</v>
      </c>
      <c r="P40" s="44">
        <f>SUM(F40:O40)</f>
        <v>23401.43716102375</v>
      </c>
      <c r="Q40" s="45">
        <f>P40/E40*1000</f>
        <v>2127.4033782748861</v>
      </c>
    </row>
    <row r="41" spans="1:17" ht="15.75" hidden="1" customHeight="1" outlineLevel="1" thickBot="1" x14ac:dyDescent="0.3">
      <c r="A41" s="27"/>
      <c r="B41" s="320"/>
      <c r="C41" s="35"/>
      <c r="D41" s="46" t="s">
        <v>7686</v>
      </c>
      <c r="E41" s="47" t="s">
        <v>27</v>
      </c>
      <c r="F41" s="47">
        <f t="array" ref="F41">SUM(IF((Tabela_GM_PEDIDOS_2017_FIM[MOEDA]=$E41)*(Tabela_GM_PEDIDOS_2017_FIM[FILIAL]=$D$14)*(Tabela_GM_PEDIDOS_2017_FIM[TIPO_GRUPO]=F$10),Tabela_GM_PEDIDOS_2017_FIM[VALOR_PAGAR]+Tabela_GM_PEDIDOS_2017_FIM[VC_FINANCEIRA]))*F39/1000</f>
        <v>1.6396468372556341</v>
      </c>
      <c r="G41" s="47">
        <f t="array" ref="G41">SUM(IF((Tabela_GM_PEDIDOS_2017_FIM[MOEDA]=$E41)*(Tabela_GM_PEDIDOS_2017_FIM[FILIAL]=$D$14)*(Tabela_GM_PEDIDOS_2017_FIM[TIPO_GRUPO]=G$10),Tabela_GM_PEDIDOS_2017_FIM[VALOR_PAGAR]+Tabela_GM_PEDIDOS_2017_FIM[VC_FINANCEIRA]))*G39/1000</f>
        <v>657.03859653218774</v>
      </c>
      <c r="H41" s="47">
        <f t="array" ref="H41">SUM(IF((Tabela_GM_PEDIDOS_2017_FIM[MOEDA]=$E41)*(Tabela_GM_PEDIDOS_2017_FIM[FILIAL]=$D$14)*(Tabela_GM_PEDIDOS_2017_FIM[TIPO_GRUPO]=H$10),Tabela_GM_PEDIDOS_2017_FIM[VALOR_PAGAR]+Tabela_GM_PEDIDOS_2017_FIM[VC_FINANCEIRA]))*H39/1000</f>
        <v>0</v>
      </c>
      <c r="I41" s="47">
        <f t="array" ref="I41">SUM(IF((Tabela_GM_PEDIDOS_2017_FIM[MOEDA]=$E41)*(Tabela_GM_PEDIDOS_2017_FIM[FILIAL]=$D$14)*(Tabela_GM_PEDIDOS_2017_FIM[TIPO_GRUPO]=I$10),Tabela_GM_PEDIDOS_2017_FIM[VALOR_PAGAR]+Tabela_GM_PEDIDOS_2017_FIM[VC_FINANCEIRA]))*I39/1000</f>
        <v>0</v>
      </c>
      <c r="J41" s="47">
        <f t="array" ref="J41">SUM(IF((Tabela_GM_PEDIDOS_2017_FIM[MOEDA]=$E41)*(Tabela_GM_PEDIDOS_2017_FIM[FILIAL]=$D$14)*(Tabela_GM_PEDIDOS_2017_FIM[TIPO_GRUPO]=J$10),Tabela_GM_PEDIDOS_2017_FIM[VALOR_PAGAR]+Tabela_GM_PEDIDOS_2017_FIM[VC_FINANCEIRA]))*J39/1000</f>
        <v>0</v>
      </c>
      <c r="K41" s="47">
        <f t="array" ref="K41">SUM(IF((Tabela_GM_PEDIDOS_2017_FIM[MOEDA]=$E41)*(Tabela_GM_PEDIDOS_2017_FIM[FILIAL]=$D$14)*(Tabela_GM_PEDIDOS_2017_FIM[TIPO_GRUPO]=K$10),Tabela_GM_PEDIDOS_2017_FIM[VALOR_PAGAR]+Tabela_GM_PEDIDOS_2017_FIM[VC_FINANCEIRA]))*K39/1000</f>
        <v>0</v>
      </c>
      <c r="L41" s="47">
        <f t="array" ref="L41">SUM(IF((Tabela_GM_PEDIDOS_2017_FIM[MOEDA]=$E41)*(Tabela_GM_PEDIDOS_2017_FIM[FILIAL]=$D$14)*(Tabela_GM_PEDIDOS_2017_FIM[TIPO_GRUPO]=L$10),Tabela_GM_PEDIDOS_2017_FIM[VALOR_PAGAR]+Tabela_GM_PEDIDOS_2017_FIM[VC_FINANCEIRA]))*L39/1000</f>
        <v>572.61661670402191</v>
      </c>
      <c r="M41" s="47">
        <f t="array" ref="M41">SUM(IF((Tabela_GM_PEDIDOS_2017_FIM[MOEDA]=$E41)*(Tabela_GM_PEDIDOS_2017_FIM[FILIAL]=$D$14)*(Tabela_GM_PEDIDOS_2017_FIM[TIPO_GRUPO]=M$10),Tabela_GM_PEDIDOS_2017_FIM[VALOR_PAGAR]+Tabela_GM_PEDIDOS_2017_FIM[VC_FINANCEIRA]))*M39/1000</f>
        <v>0</v>
      </c>
      <c r="N41" s="47">
        <f t="array" ref="N41">SUM(IF((Tabela_GM_PEDIDOS_2017_FIM[MOEDA]=$E41)*(Tabela_GM_PEDIDOS_2017_FIM[FILIAL]=$D$14)*(Tabela_GM_PEDIDOS_2017_FIM[TIPO_GRUPO]=N$10),Tabela_GM_PEDIDOS_2017_FIM[VALOR_PAGAR]+Tabela_GM_PEDIDOS_2017_FIM[VC_FINANCEIRA]))*N39/1000</f>
        <v>49.536981695928276</v>
      </c>
      <c r="O41" s="47">
        <f t="array" ref="O41">SUM(IF((Tabela_GM_PEDIDOS_2017_FIM[MOEDA]=$E41)*(Tabela_GM_PEDIDOS_2017_FIM[FILIAL]=$D$14)*(Tabela_GM_PEDIDOS_2017_FIM[TIPO_GRUPO]=O$10),Tabela_GM_PEDIDOS_2017_FIM[VALOR_PAGAR]+Tabela_GM_PEDIDOS_2017_FIM[VC_FINANCEIRA]))*O39/1000</f>
        <v>6.215390362345909</v>
      </c>
      <c r="P41" s="47">
        <f t="array" ref="P41">SUM(F41:O41)</f>
        <v>1287.0472321317395</v>
      </c>
      <c r="Q41" s="48"/>
    </row>
    <row r="42" spans="1:17" ht="15.75" hidden="1" customHeight="1" outlineLevel="1" thickBot="1" x14ac:dyDescent="0.3">
      <c r="A42" s="27"/>
      <c r="B42" s="320"/>
      <c r="C42" s="35"/>
      <c r="D42" s="46" t="s">
        <v>7687</v>
      </c>
      <c r="E42" s="47" t="s">
        <v>16</v>
      </c>
      <c r="F42" s="47">
        <f t="array" ref="F42">SUM(IF((Tabela_GM_PEDIDOS_2017_FIM[MOEDA]=$E42)*(Tabela_GM_PEDIDOS_2017_FIM[FILIAL]=$D$14)*(Tabela_GM_PEDIDOS_2017_FIM[TIPO_GRUPO]=F$10)*(Tabela_GM_PEDIDOS_2017_FIM[PAGO]="S"),Tabela_GM_PEDIDOS_2017_FIM[VALOR_PAGAR]+Tabela_GM_PEDIDOS_2017_FIM[VC_FINANCEIRA]))*F39/1000</f>
        <v>0</v>
      </c>
      <c r="G42" s="47">
        <f t="array" ref="G42">SUM(IF((Tabela_GM_PEDIDOS_2017_FIM[MOEDA]=$E42)*(Tabela_GM_PEDIDOS_2017_FIM[FILIAL]=$D$14)*(Tabela_GM_PEDIDOS_2017_FIM[TIPO_GRUPO]=G$10)*(Tabela_GM_PEDIDOS_2017_FIM[PAGO]="S"),Tabela_GM_PEDIDOS_2017_FIM[VALOR_PAGAR]+Tabela_GM_PEDIDOS_2017_FIM[VC_FINANCEIRA]))*G39/1000</f>
        <v>688.19790110197982</v>
      </c>
      <c r="H42" s="47">
        <f t="array" ref="H42">SUM(IF((Tabela_GM_PEDIDOS_2017_FIM[MOEDA]=$E42)*(Tabela_GM_PEDIDOS_2017_FIM[FILIAL]=$D$14)*(Tabela_GM_PEDIDOS_2017_FIM[TIPO_GRUPO]=H$10)*(Tabela_GM_PEDIDOS_2017_FIM[PAGO]="S"),Tabela_GM_PEDIDOS_2017_FIM[VALOR_PAGAR]+Tabela_GM_PEDIDOS_2017_FIM[VC_FINANCEIRA]))*H39/1000</f>
        <v>0</v>
      </c>
      <c r="I42" s="47">
        <f t="array" ref="I42">SUM(IF((Tabela_GM_PEDIDOS_2017_FIM[MOEDA]=$E42)*(Tabela_GM_PEDIDOS_2017_FIM[FILIAL]=$D$14)*(Tabela_GM_PEDIDOS_2017_FIM[TIPO_GRUPO]=I$10)*(Tabela_GM_PEDIDOS_2017_FIM[PAGO]="S"),Tabela_GM_PEDIDOS_2017_FIM[VALOR_PAGAR]+Tabela_GM_PEDIDOS_2017_FIM[VC_FINANCEIRA]))*I39/1000</f>
        <v>0</v>
      </c>
      <c r="J42" s="47">
        <f t="array" ref="J42">SUM(IF((Tabela_GM_PEDIDOS_2017_FIM[MOEDA]=$E42)*(Tabela_GM_PEDIDOS_2017_FIM[FILIAL]=$D$14)*(Tabela_GM_PEDIDOS_2017_FIM[TIPO_GRUPO]=J$10)*(Tabela_GM_PEDIDOS_2017_FIM[PAGO]="S"),Tabela_GM_PEDIDOS_2017_FIM[VALOR_PAGAR]+Tabela_GM_PEDIDOS_2017_FIM[VC_FINANCEIRA]))*J39/1000</f>
        <v>0</v>
      </c>
      <c r="K42" s="47">
        <f t="array" ref="K42">SUM(IF((Tabela_GM_PEDIDOS_2017_FIM[MOEDA]=$E42)*(Tabela_GM_PEDIDOS_2017_FIM[FILIAL]=$D$14)*(Tabela_GM_PEDIDOS_2017_FIM[TIPO_GRUPO]=K$10)*(Tabela_GM_PEDIDOS_2017_FIM[PAGO]="S"),Tabela_GM_PEDIDOS_2017_FIM[VALOR_PAGAR]+Tabela_GM_PEDIDOS_2017_FIM[VC_FINANCEIRA]))*K39/1000</f>
        <v>0</v>
      </c>
      <c r="L42" s="47">
        <f t="array" ref="L42">SUM(IF((Tabela_GM_PEDIDOS_2017_FIM[MOEDA]=$E42)*(Tabela_GM_PEDIDOS_2017_FIM[FILIAL]=$D$14)*(Tabela_GM_PEDIDOS_2017_FIM[TIPO_GRUPO]=L$10)*(Tabela_GM_PEDIDOS_2017_FIM[PAGO]="S"),Tabela_GM_PEDIDOS_2017_FIM[VALOR_PAGAR]+Tabela_GM_PEDIDOS_2017_FIM[VC_FINANCEIRA]))*L39/1000</f>
        <v>0</v>
      </c>
      <c r="M42" s="47">
        <f t="array" ref="M42">SUM(IF((Tabela_GM_PEDIDOS_2017_FIM[MOEDA]=$E42)*(Tabela_GM_PEDIDOS_2017_FIM[FILIAL]=$D$14)*(Tabela_GM_PEDIDOS_2017_FIM[TIPO_GRUPO]=M$10)*(Tabela_GM_PEDIDOS_2017_FIM[PAGO]="S"),Tabela_GM_PEDIDOS_2017_FIM[VALOR_PAGAR]+Tabela_GM_PEDIDOS_2017_FIM[VC_FINANCEIRA]))*M39/1000</f>
        <v>0</v>
      </c>
      <c r="N42" s="47">
        <f t="array" ref="N42">SUM(IF((Tabela_GM_PEDIDOS_2017_FIM[MOEDA]=$E42)*(Tabela_GM_PEDIDOS_2017_FIM[FILIAL]=$D$14)*(Tabela_GM_PEDIDOS_2017_FIM[TIPO_GRUPO]=N$10)*(Tabela_GM_PEDIDOS_2017_FIM[PAGO]="S"),Tabela_GM_PEDIDOS_2017_FIM[VALOR_PAGAR]+Tabela_GM_PEDIDOS_2017_FIM[VC_FINANCEIRA]))*N39/1000</f>
        <v>0</v>
      </c>
      <c r="O42" s="47">
        <f t="array" ref="O42">SUM(IF((Tabela_GM_PEDIDOS_2017_FIM[MOEDA]=$E42)*(Tabela_GM_PEDIDOS_2017_FIM[FILIAL]=$D$14)*(Tabela_GM_PEDIDOS_2017_FIM[TIPO_GRUPO]=O$10)*(Tabela_GM_PEDIDOS_2017_FIM[PAGO]="S"),Tabela_GM_PEDIDOS_2017_FIM[VALOR_PAGAR]+Tabela_GM_PEDIDOS_2017_FIM[VC_FINANCEIRA]))*O39/1000</f>
        <v>0</v>
      </c>
      <c r="P42" s="47">
        <f t="array" ref="P42">SUM(F42:O42)</f>
        <v>688.19790110197982</v>
      </c>
      <c r="Q42" s="49"/>
    </row>
    <row r="43" spans="1:17" ht="15.75" hidden="1" customHeight="1" outlineLevel="1" thickBot="1" x14ac:dyDescent="0.3">
      <c r="A43" s="27"/>
      <c r="B43" s="320"/>
      <c r="C43" s="35"/>
      <c r="D43" s="46" t="s">
        <v>7688</v>
      </c>
      <c r="E43" s="47" t="s">
        <v>16</v>
      </c>
      <c r="F43" s="50">
        <f t="array" ref="F43">SUM(IF((Tabela_GM_PEDIDOS_2017_FIM[MOEDA]=$E43)*(Tabela_GM_PEDIDOS_2017_FIM[FILIAL]=$D$14)*(Tabela_GM_PEDIDOS_2017_FIM[TIPO_GRUPO]=F$10)*(Tabela_GM_PEDIDOS_2017_FIM[PAGO]&lt;&gt;"S"),Tabela_GM_PEDIDOS_2017_FIM[VL_PEDIDO_COMPRA]))*F39/1000</f>
        <v>1604.2399726061512</v>
      </c>
      <c r="G43" s="50">
        <f t="array" ref="G43">SUM(IF((Tabela_GM_PEDIDOS_2017_FIM[MOEDA]=$E43)*(Tabela_GM_PEDIDOS_2017_FIM[FILIAL]=$D$14)*(Tabela_GM_PEDIDOS_2017_FIM[TIPO_GRUPO]=G$10)*(Tabela_GM_PEDIDOS_2017_FIM[PAGO]&lt;&gt;"S"),Tabela_GM_PEDIDOS_2017_FIM[VL_PEDIDO_COMPRA]))*G39/1000</f>
        <v>1033.4036701531566</v>
      </c>
      <c r="H43" s="50">
        <f t="array" ref="H43">SUM(IF((Tabela_GM_PEDIDOS_2017_FIM[MOEDA]=$E43)*(Tabela_GM_PEDIDOS_2017_FIM[FILIAL]=$D$14)*(Tabela_GM_PEDIDOS_2017_FIM[TIPO_GRUPO]=H$10)*(Tabela_GM_PEDIDOS_2017_FIM[PAGO]&lt;&gt;"S"),Tabela_GM_PEDIDOS_2017_FIM[VL_PEDIDO_COMPRA]))*H39/1000</f>
        <v>0</v>
      </c>
      <c r="I43" s="50">
        <f t="array" ref="I43">SUM(IF((Tabela_GM_PEDIDOS_2017_FIM[MOEDA]=$E43)*(Tabela_GM_PEDIDOS_2017_FIM[FILIAL]=$D$14)*(Tabela_GM_PEDIDOS_2017_FIM[TIPO_GRUPO]=I$10)*(Tabela_GM_PEDIDOS_2017_FIM[PAGO]&lt;&gt;"S"),Tabela_GM_PEDIDOS_2017_FIM[VL_PEDIDO_COMPRA]))*I39/1000</f>
        <v>0</v>
      </c>
      <c r="J43" s="50">
        <f t="array" ref="J43">SUM(IF((Tabela_GM_PEDIDOS_2017_FIM[MOEDA]=$E43)*(Tabela_GM_PEDIDOS_2017_FIM[FILIAL]=$D$14)*(Tabela_GM_PEDIDOS_2017_FIM[TIPO_GRUPO]=J$10)*(Tabela_GM_PEDIDOS_2017_FIM[PAGO]&lt;&gt;"S"),Tabela_GM_PEDIDOS_2017_FIM[VL_PEDIDO_COMPRA]))*J39/1000</f>
        <v>0</v>
      </c>
      <c r="K43" s="50">
        <f t="array" ref="K43">SUM(IF((Tabela_GM_PEDIDOS_2017_FIM[MOEDA]=$E43)*(Tabela_GM_PEDIDOS_2017_FIM[FILIAL]=$D$14)*(Tabela_GM_PEDIDOS_2017_FIM[TIPO_GRUPO]=K$10)*(Tabela_GM_PEDIDOS_2017_FIM[PAGO]&lt;&gt;"S"),Tabela_GM_PEDIDOS_2017_FIM[VL_PEDIDO_COMPRA]))*K39/1000</f>
        <v>0</v>
      </c>
      <c r="L43" s="50">
        <f t="array" ref="L43">SUM(IF((Tabela_GM_PEDIDOS_2017_FIM[MOEDA]=$E43)*(Tabela_GM_PEDIDOS_2017_FIM[FILIAL]=$D$14)*(Tabela_GM_PEDIDOS_2017_FIM[TIPO_GRUPO]=L$10)*(Tabela_GM_PEDIDOS_2017_FIM[PAGO]&lt;&gt;"S"),Tabela_GM_PEDIDOS_2017_FIM[VL_PEDIDO_COMPRA]))*L39/1000</f>
        <v>0</v>
      </c>
      <c r="M43" s="50">
        <f t="array" ref="M43">SUM(IF((Tabela_GM_PEDIDOS_2017_FIM[MOEDA]=$E43)*(Tabela_GM_PEDIDOS_2017_FIM[FILIAL]=$D$14)*(Tabela_GM_PEDIDOS_2017_FIM[TIPO_GRUPO]=M$10)*(Tabela_GM_PEDIDOS_2017_FIM[PAGO]&lt;&gt;"S"),Tabela_GM_PEDIDOS_2017_FIM[VL_PEDIDO_COMPRA]))*M39/1000</f>
        <v>0</v>
      </c>
      <c r="N43" s="50">
        <f t="array" ref="N43">SUM(IF((Tabela_GM_PEDIDOS_2017_FIM[MOEDA]=$E43)*(Tabela_GM_PEDIDOS_2017_FIM[FILIAL]=$D$14)*(Tabela_GM_PEDIDOS_2017_FIM[TIPO_GRUPO]=N$10)*(Tabela_GM_PEDIDOS_2017_FIM[PAGO]&lt;&gt;"S"),Tabela_GM_PEDIDOS_2017_FIM[VL_PEDIDO_COMPRA]))*N39/1000</f>
        <v>0</v>
      </c>
      <c r="O43" s="50">
        <f t="array" ref="O43">SUM(IF((Tabela_GM_PEDIDOS_2017_FIM[MOEDA]=$E43)*(Tabela_GM_PEDIDOS_2017_FIM[FILIAL]=$D$14)*(Tabela_GM_PEDIDOS_2017_FIM[TIPO_GRUPO]=O$10)*(Tabela_GM_PEDIDOS_2017_FIM[PAGO]&lt;&gt;"S"),Tabela_GM_PEDIDOS_2017_FIM[VL_PEDIDO_COMPRA]))*O39/1000</f>
        <v>0</v>
      </c>
      <c r="P43" s="50">
        <f>SUM(F43:O43)</f>
        <v>2637.643642759308</v>
      </c>
      <c r="Q43" s="48"/>
    </row>
    <row r="44" spans="1:17" ht="15.75" customHeight="1" collapsed="1" thickBot="1" x14ac:dyDescent="0.3">
      <c r="A44" s="27"/>
      <c r="B44" s="320"/>
      <c r="C44" s="35"/>
      <c r="D44" s="53"/>
      <c r="E44" s="4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44"/>
      <c r="Q44" s="45"/>
    </row>
    <row r="45" spans="1:17" ht="15.75" customHeight="1" thickBot="1" x14ac:dyDescent="0.3">
      <c r="A45" s="27"/>
      <c r="B45" s="320"/>
      <c r="C45" s="35"/>
      <c r="D45" s="39" t="s">
        <v>7786</v>
      </c>
      <c r="E45" s="40"/>
      <c r="F45" s="41">
        <f t="array" ref="F45">SUM(IF((ProjecaoAreas!$H$6:$H$46=ResumoCusto!$D$14)*(ProjecaoAreas!$I$6:$I$46=ResumoCusto!$D46),ProjecaoAreas!$L$6:$L$46))</f>
        <v>4.6694060515502428E-2</v>
      </c>
      <c r="G45" s="41">
        <f t="array" ref="G45">SUM(IF((ProjecaoAreas!$H$6:$H$46=ResumoCusto!$D$14)*(ProjecaoAreas!$I$6:$I$46=ResumoCusto!$D46),ProjecaoAreas!$L$6:$L$46))</f>
        <v>4.6694060515502428E-2</v>
      </c>
      <c r="H45" s="41">
        <f t="array" ref="H45">SUM(IF((ProjecaoAreas!$H$6:$H$46=ResumoCusto!$D$14)*(ProjecaoAreas!$I$6:$I$46=ResumoCusto!$D46),ProjecaoAreas!$L$6:$L$46))</f>
        <v>4.6694060515502428E-2</v>
      </c>
      <c r="I45" s="41">
        <v>8.7999999999999995E-2</v>
      </c>
      <c r="J45" s="41">
        <f t="array" ref="J45">SUM(IF((ProjecaoAreas!$H$6:$H$46=ResumoCusto!$D$14)*(ProjecaoAreas!$I$6:$I$46=ResumoCusto!$D46),ProjecaoAreas!$L$6:$L$46))</f>
        <v>4.6694060515502428E-2</v>
      </c>
      <c r="K45" s="41">
        <f t="array" ref="K45">SUM(IF((ProjecaoAreas!$H$6:$H$46=ResumoCusto!$D$14)*(ProjecaoAreas!$I$6:$I$46=ResumoCusto!$D46),ProjecaoAreas!$L$6:$L$46))</f>
        <v>4.6694060515502428E-2</v>
      </c>
      <c r="L45" s="41">
        <f t="array" ref="L45">SUM(IF((ProjecaoAreas!$H$6:$H$46=ResumoCusto!$D$14)*(ProjecaoAreas!$I$6:$I$46=ResumoCusto!$D46),ProjecaoAreas!$L$6:$L$46))</f>
        <v>4.6694060515502428E-2</v>
      </c>
      <c r="M45" s="41">
        <f t="array" ref="M45">SUM(IF((ProjecaoAreas!$H$6:$H$46=ResumoCusto!$D$14)*(ProjecaoAreas!$I$6:$I$46=ResumoCusto!$D46),ProjecaoAreas!$L$6:$L$46))</f>
        <v>4.6694060515502428E-2</v>
      </c>
      <c r="N45" s="41">
        <f t="array" ref="N45">SUM(IF((ProjecaoAreas!$H$6:$H$46=ResumoCusto!$D$14)*(ProjecaoAreas!$I$6:$I$46=ResumoCusto!$D46),ProjecaoAreas!$L$6:$L$46))</f>
        <v>4.6694060515502428E-2</v>
      </c>
      <c r="O45" s="41">
        <f t="array" ref="O45">SUM(IF((ProjecaoAreas!$H$6:$H$46=ResumoCusto!$D$14)*(ProjecaoAreas!$I$6:$I$46=ResumoCusto!$D46),ProjecaoAreas!$L$6:$L$46))</f>
        <v>4.6694060515502428E-2</v>
      </c>
      <c r="P45" s="40"/>
      <c r="Q45" s="42"/>
    </row>
    <row r="46" spans="1:17" ht="15.75" customHeight="1" thickBot="1" x14ac:dyDescent="0.3">
      <c r="A46" s="27"/>
      <c r="B46" s="320"/>
      <c r="C46" s="35"/>
      <c r="D46" s="43" t="s">
        <v>7661</v>
      </c>
      <c r="E46" s="44">
        <f t="array" ref="E46">SUM(IF((ProjecaoAreas!$H$6:$H$46=ResumoCusto!$D$14)*(ProjecaoAreas!$I$6:$I$46=ResumoCusto!$D46),ProjecaoAreas!$J$6:$J$46))</f>
        <v>3000</v>
      </c>
      <c r="F46" s="44">
        <f t="array" ref="F46">F$14*F45</f>
        <v>2007.6461140152221</v>
      </c>
      <c r="G46" s="44">
        <f t="array" ref="G46">G$14*G45</f>
        <v>1376.6654247011581</v>
      </c>
      <c r="H46" s="44">
        <f t="shared" ref="H46" si="29">H$14*H45</f>
        <v>420.24654463952186</v>
      </c>
      <c r="I46" s="44">
        <f>(I$14-Frete!L46)*I45</f>
        <v>813.54401140861137</v>
      </c>
      <c r="J46" s="44">
        <f t="shared" ref="J46" si="30">J$14*J45</f>
        <v>700.41090773253643</v>
      </c>
      <c r="K46" s="44">
        <f t="shared" ref="K46" si="31">K$14*K45</f>
        <v>373.55248412401943</v>
      </c>
      <c r="L46" s="44">
        <f t="shared" ref="L46" si="32">L$14*L45</f>
        <v>249.55628922301082</v>
      </c>
      <c r="M46" s="44">
        <f t="shared" ref="M46" si="33">M$14*M45</f>
        <v>163.4292118042585</v>
      </c>
      <c r="N46" s="44">
        <f t="shared" ref="N46" si="34">N$14*N45</f>
        <v>13.510085917071349</v>
      </c>
      <c r="O46" s="44">
        <f t="shared" ref="O46" si="35">O$14*O45</f>
        <v>267.85125140082181</v>
      </c>
      <c r="P46" s="44">
        <f>SUM(F46:O46)</f>
        <v>6386.4123249662325</v>
      </c>
      <c r="Q46" s="45">
        <f>P46/E46*1000</f>
        <v>2128.8041083220778</v>
      </c>
    </row>
    <row r="47" spans="1:17" ht="15.75" hidden="1" customHeight="1" outlineLevel="1" thickBot="1" x14ac:dyDescent="0.3">
      <c r="A47" s="27"/>
      <c r="B47" s="320"/>
      <c r="C47" s="35"/>
      <c r="D47" s="46" t="s">
        <v>7686</v>
      </c>
      <c r="E47" s="47" t="s">
        <v>27</v>
      </c>
      <c r="F47" s="47">
        <f t="array" ref="F47">SUM(IF((Tabela_GM_PEDIDOS_2017_FIM[MOEDA]=$E47)*(Tabela_GM_PEDIDOS_2017_FIM[FILIAL]=$D$14)*(Tabela_GM_PEDIDOS_2017_FIM[TIPO_GRUPO]=F$10),Tabela_GM_PEDIDOS_2017_FIM[VALOR_PAGAR]+Tabela_GM_PEDIDOS_2017_FIM[VC_FINANCEIRA]))*F45/1000</f>
        <v>0.44717641016062754</v>
      </c>
      <c r="G47" s="47">
        <f t="array" ref="G47">SUM(IF((Tabela_GM_PEDIDOS_2017_FIM[MOEDA]=$E47)*(Tabela_GM_PEDIDOS_2017_FIM[FILIAL]=$D$14)*(Tabela_GM_PEDIDOS_2017_FIM[TIPO_GRUPO]=G$10),Tabela_GM_PEDIDOS_2017_FIM[VALOR_PAGAR]+Tabela_GM_PEDIDOS_2017_FIM[VC_FINANCEIRA]))*G45/1000</f>
        <v>179.19234450877849</v>
      </c>
      <c r="H47" s="47">
        <f t="array" ref="H47">SUM(IF((Tabela_GM_PEDIDOS_2017_FIM[MOEDA]=$E47)*(Tabela_GM_PEDIDOS_2017_FIM[FILIAL]=$D$14)*(Tabela_GM_PEDIDOS_2017_FIM[TIPO_GRUPO]=H$10),Tabela_GM_PEDIDOS_2017_FIM[VALOR_PAGAR]+Tabela_GM_PEDIDOS_2017_FIM[VC_FINANCEIRA]))*H45/1000</f>
        <v>0</v>
      </c>
      <c r="I47" s="47">
        <f t="array" ref="I47">SUM(IF((Tabela_GM_PEDIDOS_2017_FIM[MOEDA]=$E47)*(Tabela_GM_PEDIDOS_2017_FIM[FILIAL]=$D$14)*(Tabela_GM_PEDIDOS_2017_FIM[TIPO_GRUPO]=I$10),Tabela_GM_PEDIDOS_2017_FIM[VALOR_PAGAR]+Tabela_GM_PEDIDOS_2017_FIM[VC_FINANCEIRA]))*I45/1000</f>
        <v>0</v>
      </c>
      <c r="J47" s="47">
        <f t="array" ref="J47">SUM(IF((Tabela_GM_PEDIDOS_2017_FIM[MOEDA]=$E47)*(Tabela_GM_PEDIDOS_2017_FIM[FILIAL]=$D$14)*(Tabela_GM_PEDIDOS_2017_FIM[TIPO_GRUPO]=J$10),Tabela_GM_PEDIDOS_2017_FIM[VALOR_PAGAR]+Tabela_GM_PEDIDOS_2017_FIM[VC_FINANCEIRA]))*J45/1000</f>
        <v>0</v>
      </c>
      <c r="K47" s="47">
        <f t="array" ref="K47">SUM(IF((Tabela_GM_PEDIDOS_2017_FIM[MOEDA]=$E47)*(Tabela_GM_PEDIDOS_2017_FIM[FILIAL]=$D$14)*(Tabela_GM_PEDIDOS_2017_FIM[TIPO_GRUPO]=K$10),Tabela_GM_PEDIDOS_2017_FIM[VALOR_PAGAR]+Tabela_GM_PEDIDOS_2017_FIM[VC_FINANCEIRA]))*K45/1000</f>
        <v>0</v>
      </c>
      <c r="L47" s="47">
        <f t="array" ref="L47">SUM(IF((Tabela_GM_PEDIDOS_2017_FIM[MOEDA]=$E47)*(Tabela_GM_PEDIDOS_2017_FIM[FILIAL]=$D$14)*(Tabela_GM_PEDIDOS_2017_FIM[TIPO_GRUPO]=L$10),Tabela_GM_PEDIDOS_2017_FIM[VALOR_PAGAR]+Tabela_GM_PEDIDOS_2017_FIM[VC_FINANCEIRA]))*L45/1000</f>
        <v>156.16816819200596</v>
      </c>
      <c r="M47" s="47">
        <f t="array" ref="M47">SUM(IF((Tabela_GM_PEDIDOS_2017_FIM[MOEDA]=$E47)*(Tabela_GM_PEDIDOS_2017_FIM[FILIAL]=$D$14)*(Tabela_GM_PEDIDOS_2017_FIM[TIPO_GRUPO]=M$10),Tabela_GM_PEDIDOS_2017_FIM[VALOR_PAGAR]+Tabela_GM_PEDIDOS_2017_FIM[VC_FINANCEIRA]))*M45/1000</f>
        <v>0</v>
      </c>
      <c r="N47" s="47">
        <f t="array" ref="N47">SUM(IF((Tabela_GM_PEDIDOS_2017_FIM[MOEDA]=$E47)*(Tabela_GM_PEDIDOS_2017_FIM[FILIAL]=$D$14)*(Tabela_GM_PEDIDOS_2017_FIM[TIPO_GRUPO]=N$10),Tabela_GM_PEDIDOS_2017_FIM[VALOR_PAGAR]+Tabela_GM_PEDIDOS_2017_FIM[VC_FINANCEIRA]))*N45/1000</f>
        <v>13.510085917071349</v>
      </c>
      <c r="O47" s="47">
        <f t="array" ref="O47">SUM(IF((Tabela_GM_PEDIDOS_2017_FIM[MOEDA]=$E47)*(Tabela_GM_PEDIDOS_2017_FIM[FILIAL]=$D$14)*(Tabela_GM_PEDIDOS_2017_FIM[TIPO_GRUPO]=O$10),Tabela_GM_PEDIDOS_2017_FIM[VALOR_PAGAR]+Tabela_GM_PEDIDOS_2017_FIM[VC_FINANCEIRA]))*O45/1000</f>
        <v>1.6951064624579752</v>
      </c>
      <c r="P47" s="47">
        <f t="array" ref="P47">SUM(F47:O47)</f>
        <v>351.01288149047446</v>
      </c>
      <c r="Q47" s="48"/>
    </row>
    <row r="48" spans="1:17" ht="15.75" hidden="1" customHeight="1" outlineLevel="1" thickBot="1" x14ac:dyDescent="0.3">
      <c r="A48" s="27"/>
      <c r="B48" s="320"/>
      <c r="C48" s="35"/>
      <c r="D48" s="46" t="s">
        <v>7687</v>
      </c>
      <c r="E48" s="47" t="s">
        <v>16</v>
      </c>
      <c r="F48" s="47">
        <f t="array" ref="F48">SUM(IF((Tabela_GM_PEDIDOS_2017_FIM[MOEDA]=$E48)*(Tabela_GM_PEDIDOS_2017_FIM[FILIAL]=$D$14)*(Tabela_GM_PEDIDOS_2017_FIM[TIPO_GRUPO]=F$10)*(Tabela_GM_PEDIDOS_2017_FIM[PAGO]="S"),Tabela_GM_PEDIDOS_2017_FIM[VALOR_PAGAR]+Tabela_GM_PEDIDOS_2017_FIM[VC_FINANCEIRA]))*F45/1000</f>
        <v>0</v>
      </c>
      <c r="G48" s="47">
        <f t="array" ref="G48">SUM(IF((Tabela_GM_PEDIDOS_2017_FIM[MOEDA]=$E48)*(Tabela_GM_PEDIDOS_2017_FIM[FILIAL]=$D$14)*(Tabela_GM_PEDIDOS_2017_FIM[TIPO_GRUPO]=G$10)*(Tabela_GM_PEDIDOS_2017_FIM[PAGO]="S"),Tabela_GM_PEDIDOS_2017_FIM[VALOR_PAGAR]+Tabela_GM_PEDIDOS_2017_FIM[VC_FINANCEIRA]))*G45/1000</f>
        <v>187.6903366641763</v>
      </c>
      <c r="H48" s="47">
        <f t="array" ref="H48">SUM(IF((Tabela_GM_PEDIDOS_2017_FIM[MOEDA]=$E48)*(Tabela_GM_PEDIDOS_2017_FIM[FILIAL]=$D$14)*(Tabela_GM_PEDIDOS_2017_FIM[TIPO_GRUPO]=H$10)*(Tabela_GM_PEDIDOS_2017_FIM[PAGO]="S"),Tabela_GM_PEDIDOS_2017_FIM[VALOR_PAGAR]+Tabela_GM_PEDIDOS_2017_FIM[VC_FINANCEIRA]))*H45/1000</f>
        <v>0</v>
      </c>
      <c r="I48" s="47">
        <f t="array" ref="I48">SUM(IF((Tabela_GM_PEDIDOS_2017_FIM[MOEDA]=$E48)*(Tabela_GM_PEDIDOS_2017_FIM[FILIAL]=$D$14)*(Tabela_GM_PEDIDOS_2017_FIM[TIPO_GRUPO]=I$10)*(Tabela_GM_PEDIDOS_2017_FIM[PAGO]="S"),Tabela_GM_PEDIDOS_2017_FIM[VALOR_PAGAR]+Tabela_GM_PEDIDOS_2017_FIM[VC_FINANCEIRA]))*I45/1000</f>
        <v>0</v>
      </c>
      <c r="J48" s="47">
        <f t="array" ref="J48">SUM(IF((Tabela_GM_PEDIDOS_2017_FIM[MOEDA]=$E48)*(Tabela_GM_PEDIDOS_2017_FIM[FILIAL]=$D$14)*(Tabela_GM_PEDIDOS_2017_FIM[TIPO_GRUPO]=J$10)*(Tabela_GM_PEDIDOS_2017_FIM[PAGO]="S"),Tabela_GM_PEDIDOS_2017_FIM[VALOR_PAGAR]+Tabela_GM_PEDIDOS_2017_FIM[VC_FINANCEIRA]))*J45/1000</f>
        <v>0</v>
      </c>
      <c r="K48" s="47">
        <f t="array" ref="K48">SUM(IF((Tabela_GM_PEDIDOS_2017_FIM[MOEDA]=$E48)*(Tabela_GM_PEDIDOS_2017_FIM[FILIAL]=$D$14)*(Tabela_GM_PEDIDOS_2017_FIM[TIPO_GRUPO]=K$10)*(Tabela_GM_PEDIDOS_2017_FIM[PAGO]="S"),Tabela_GM_PEDIDOS_2017_FIM[VALOR_PAGAR]+Tabela_GM_PEDIDOS_2017_FIM[VC_FINANCEIRA]))*K45/1000</f>
        <v>0</v>
      </c>
      <c r="L48" s="47">
        <f t="array" ref="L48">SUM(IF((Tabela_GM_PEDIDOS_2017_FIM[MOEDA]=$E48)*(Tabela_GM_PEDIDOS_2017_FIM[FILIAL]=$D$14)*(Tabela_GM_PEDIDOS_2017_FIM[TIPO_GRUPO]=L$10)*(Tabela_GM_PEDIDOS_2017_FIM[PAGO]="S"),Tabela_GM_PEDIDOS_2017_FIM[VALOR_PAGAR]+Tabela_GM_PEDIDOS_2017_FIM[VC_FINANCEIRA]))*L45/1000</f>
        <v>0</v>
      </c>
      <c r="M48" s="47">
        <f t="array" ref="M48">SUM(IF((Tabela_GM_PEDIDOS_2017_FIM[MOEDA]=$E48)*(Tabela_GM_PEDIDOS_2017_FIM[FILIAL]=$D$14)*(Tabela_GM_PEDIDOS_2017_FIM[TIPO_GRUPO]=M$10)*(Tabela_GM_PEDIDOS_2017_FIM[PAGO]="S"),Tabela_GM_PEDIDOS_2017_FIM[VALOR_PAGAR]+Tabela_GM_PEDIDOS_2017_FIM[VC_FINANCEIRA]))*M45/1000</f>
        <v>0</v>
      </c>
      <c r="N48" s="47">
        <f t="array" ref="N48">SUM(IF((Tabela_GM_PEDIDOS_2017_FIM[MOEDA]=$E48)*(Tabela_GM_PEDIDOS_2017_FIM[FILIAL]=$D$14)*(Tabela_GM_PEDIDOS_2017_FIM[TIPO_GRUPO]=N$10)*(Tabela_GM_PEDIDOS_2017_FIM[PAGO]="S"),Tabela_GM_PEDIDOS_2017_FIM[VALOR_PAGAR]+Tabela_GM_PEDIDOS_2017_FIM[VC_FINANCEIRA]))*N45/1000</f>
        <v>0</v>
      </c>
      <c r="O48" s="47">
        <f t="array" ref="O48">SUM(IF((Tabela_GM_PEDIDOS_2017_FIM[MOEDA]=$E48)*(Tabela_GM_PEDIDOS_2017_FIM[FILIAL]=$D$14)*(Tabela_GM_PEDIDOS_2017_FIM[TIPO_GRUPO]=O$10)*(Tabela_GM_PEDIDOS_2017_FIM[PAGO]="S"),Tabela_GM_PEDIDOS_2017_FIM[VALOR_PAGAR]+Tabela_GM_PEDIDOS_2017_FIM[VC_FINANCEIRA]))*O45/1000</f>
        <v>0</v>
      </c>
      <c r="P48" s="47">
        <f t="array" ref="P48">SUM(F48:O48)</f>
        <v>187.6903366641763</v>
      </c>
      <c r="Q48" s="49"/>
    </row>
    <row r="49" spans="1:17" ht="15.75" hidden="1" customHeight="1" outlineLevel="1" thickBot="1" x14ac:dyDescent="0.3">
      <c r="A49" s="27"/>
      <c r="B49" s="320"/>
      <c r="C49" s="35"/>
      <c r="D49" s="46" t="s">
        <v>7688</v>
      </c>
      <c r="E49" s="47" t="s">
        <v>16</v>
      </c>
      <c r="F49" s="50">
        <f t="array" ref="F49">SUM(IF((Tabela_GM_PEDIDOS_2017_FIM[MOEDA]=$E49)*(Tabela_GM_PEDIDOS_2017_FIM[FILIAL]=$D$14)*(Tabela_GM_PEDIDOS_2017_FIM[TIPO_GRUPO]=F$10)*(Tabela_GM_PEDIDOS_2017_FIM[PAGO]&lt;&gt;"S"),Tabela_GM_PEDIDOS_2017_FIM[VL_PEDIDO_COMPRA]))*F45/1000</f>
        <v>437.51999252895035</v>
      </c>
      <c r="G49" s="50">
        <f t="array" ref="G49">SUM(IF((Tabela_GM_PEDIDOS_2017_FIM[MOEDA]=$E49)*(Tabela_GM_PEDIDOS_2017_FIM[FILIAL]=$D$14)*(Tabela_GM_PEDIDOS_2017_FIM[TIPO_GRUPO]=G$10)*(Tabela_GM_PEDIDOS_2017_FIM[PAGO]&lt;&gt;"S"),Tabela_GM_PEDIDOS_2017_FIM[VL_PEDIDO_COMPRA]))*G45/1000</f>
        <v>281.8373645872245</v>
      </c>
      <c r="H49" s="50">
        <f t="array" ref="H49">SUM(IF((Tabela_GM_PEDIDOS_2017_FIM[MOEDA]=$E49)*(Tabela_GM_PEDIDOS_2017_FIM[FILIAL]=$D$14)*(Tabela_GM_PEDIDOS_2017_FIM[TIPO_GRUPO]=H$10)*(Tabela_GM_PEDIDOS_2017_FIM[PAGO]&lt;&gt;"S"),Tabela_GM_PEDIDOS_2017_FIM[VL_PEDIDO_COMPRA]))*H45/1000</f>
        <v>0</v>
      </c>
      <c r="I49" s="50">
        <f t="array" ref="I49">SUM(IF((Tabela_GM_PEDIDOS_2017_FIM[MOEDA]=$E49)*(Tabela_GM_PEDIDOS_2017_FIM[FILIAL]=$D$14)*(Tabela_GM_PEDIDOS_2017_FIM[TIPO_GRUPO]=I$10)*(Tabela_GM_PEDIDOS_2017_FIM[PAGO]&lt;&gt;"S"),Tabela_GM_PEDIDOS_2017_FIM[VL_PEDIDO_COMPRA]))*I45/1000</f>
        <v>0</v>
      </c>
      <c r="J49" s="50">
        <f t="array" ref="J49">SUM(IF((Tabela_GM_PEDIDOS_2017_FIM[MOEDA]=$E49)*(Tabela_GM_PEDIDOS_2017_FIM[FILIAL]=$D$14)*(Tabela_GM_PEDIDOS_2017_FIM[TIPO_GRUPO]=J$10)*(Tabela_GM_PEDIDOS_2017_FIM[PAGO]&lt;&gt;"S"),Tabela_GM_PEDIDOS_2017_FIM[VL_PEDIDO_COMPRA]))*J45/1000</f>
        <v>0</v>
      </c>
      <c r="K49" s="50">
        <f t="array" ref="K49">SUM(IF((Tabela_GM_PEDIDOS_2017_FIM[MOEDA]=$E49)*(Tabela_GM_PEDIDOS_2017_FIM[FILIAL]=$D$14)*(Tabela_GM_PEDIDOS_2017_FIM[TIPO_GRUPO]=K$10)*(Tabela_GM_PEDIDOS_2017_FIM[PAGO]&lt;&gt;"S"),Tabela_GM_PEDIDOS_2017_FIM[VL_PEDIDO_COMPRA]))*K45/1000</f>
        <v>0</v>
      </c>
      <c r="L49" s="50">
        <f t="array" ref="L49">SUM(IF((Tabela_GM_PEDIDOS_2017_FIM[MOEDA]=$E49)*(Tabela_GM_PEDIDOS_2017_FIM[FILIAL]=$D$14)*(Tabela_GM_PEDIDOS_2017_FIM[TIPO_GRUPO]=L$10)*(Tabela_GM_PEDIDOS_2017_FIM[PAGO]&lt;&gt;"S"),Tabela_GM_PEDIDOS_2017_FIM[VL_PEDIDO_COMPRA]))*L45/1000</f>
        <v>0</v>
      </c>
      <c r="M49" s="50">
        <f t="array" ref="M49">SUM(IF((Tabela_GM_PEDIDOS_2017_FIM[MOEDA]=$E49)*(Tabela_GM_PEDIDOS_2017_FIM[FILIAL]=$D$14)*(Tabela_GM_PEDIDOS_2017_FIM[TIPO_GRUPO]=M$10)*(Tabela_GM_PEDIDOS_2017_FIM[PAGO]&lt;&gt;"S"),Tabela_GM_PEDIDOS_2017_FIM[VL_PEDIDO_COMPRA]))*M45/1000</f>
        <v>0</v>
      </c>
      <c r="N49" s="50">
        <f t="array" ref="N49">SUM(IF((Tabela_GM_PEDIDOS_2017_FIM[MOEDA]=$E49)*(Tabela_GM_PEDIDOS_2017_FIM[FILIAL]=$D$14)*(Tabela_GM_PEDIDOS_2017_FIM[TIPO_GRUPO]=N$10)*(Tabela_GM_PEDIDOS_2017_FIM[PAGO]&lt;&gt;"S"),Tabela_GM_PEDIDOS_2017_FIM[VL_PEDIDO_COMPRA]))*N45/1000</f>
        <v>0</v>
      </c>
      <c r="O49" s="50">
        <f t="array" ref="O49">SUM(IF((Tabela_GM_PEDIDOS_2017_FIM[MOEDA]=$E49)*(Tabela_GM_PEDIDOS_2017_FIM[FILIAL]=$D$14)*(Tabela_GM_PEDIDOS_2017_FIM[TIPO_GRUPO]=O$10)*(Tabela_GM_PEDIDOS_2017_FIM[PAGO]&lt;&gt;"S"),Tabela_GM_PEDIDOS_2017_FIM[VL_PEDIDO_COMPRA]))*O45/1000</f>
        <v>0</v>
      </c>
      <c r="P49" s="50">
        <f>SUM(F49:O49)</f>
        <v>719.35735711617485</v>
      </c>
      <c r="Q49" s="48"/>
    </row>
    <row r="50" spans="1:17" ht="15.75" customHeight="1" collapsed="1" thickBot="1" x14ac:dyDescent="0.3">
      <c r="A50" s="27"/>
      <c r="B50" s="320"/>
      <c r="C50" s="35"/>
      <c r="D50" s="53"/>
      <c r="E50" s="4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44"/>
      <c r="Q50" s="45"/>
    </row>
    <row r="51" spans="1:17" ht="15.75" customHeight="1" thickBot="1" x14ac:dyDescent="0.3">
      <c r="A51" s="27"/>
      <c r="B51" s="320"/>
      <c r="C51" s="35"/>
      <c r="D51" s="39" t="s">
        <v>7786</v>
      </c>
      <c r="E51" s="40"/>
      <c r="F51" s="41">
        <f t="array" ref="F51">SUM(IF((ProjecaoAreas!$H$6:$H$46=ResumoCusto!$D$14)*(ProjecaoAreas!$I$6:$I$46=ResumoCusto!$D52),ProjecaoAreas!$L$6:$L$46))</f>
        <v>2.8016436309301457E-3</v>
      </c>
      <c r="G51" s="41">
        <f t="array" ref="G51">SUM(IF((ProjecaoAreas!$H$6:$H$46=ResumoCusto!$D$14)*(ProjecaoAreas!$I$6:$I$46=ResumoCusto!$D52),ProjecaoAreas!$L$6:$L$46))</f>
        <v>2.8016436309301457E-3</v>
      </c>
      <c r="H51" s="41">
        <f t="array" ref="H51">SUM(IF((ProjecaoAreas!$H$6:$H$46=ResumoCusto!$D$14)*(ProjecaoAreas!$I$6:$I$46=ResumoCusto!$D52),ProjecaoAreas!$L$6:$L$46))</f>
        <v>2.8016436309301457E-3</v>
      </c>
      <c r="I51" s="41">
        <v>5.0000000000000001E-3</v>
      </c>
      <c r="J51" s="41">
        <f t="array" ref="J51">SUM(IF((ProjecaoAreas!$H$6:$H$46=ResumoCusto!$D$14)*(ProjecaoAreas!$I$6:$I$46=ResumoCusto!$D52),ProjecaoAreas!$L$6:$L$46))</f>
        <v>2.8016436309301457E-3</v>
      </c>
      <c r="K51" s="41">
        <f t="array" ref="K51">SUM(IF((ProjecaoAreas!$H$6:$H$46=ResumoCusto!$D$14)*(ProjecaoAreas!$I$6:$I$46=ResumoCusto!$D52),ProjecaoAreas!$L$6:$L$46))</f>
        <v>2.8016436309301457E-3</v>
      </c>
      <c r="L51" s="41">
        <f t="array" ref="L51">SUM(IF((ProjecaoAreas!$H$6:$H$46=ResumoCusto!$D$14)*(ProjecaoAreas!$I$6:$I$46=ResumoCusto!$D52),ProjecaoAreas!$L$6:$L$46))</f>
        <v>2.8016436309301457E-3</v>
      </c>
      <c r="M51" s="41">
        <f t="array" ref="M51">SUM(IF((ProjecaoAreas!$H$6:$H$46=ResumoCusto!$D$14)*(ProjecaoAreas!$I$6:$I$46=ResumoCusto!$D52),ProjecaoAreas!$L$6:$L$46))</f>
        <v>2.8016436309301457E-3</v>
      </c>
      <c r="N51" s="41">
        <f t="array" ref="N51">SUM(IF((ProjecaoAreas!$H$6:$H$46=ResumoCusto!$D$14)*(ProjecaoAreas!$I$6:$I$46=ResumoCusto!$D52),ProjecaoAreas!$L$6:$L$46))</f>
        <v>2.8016436309301457E-3</v>
      </c>
      <c r="O51" s="41">
        <f t="array" ref="O51">SUM(IF((ProjecaoAreas!$H$6:$H$46=ResumoCusto!$D$14)*(ProjecaoAreas!$I$6:$I$46=ResumoCusto!$D52),ProjecaoAreas!$L$6:$L$46))</f>
        <v>2.8016436309301457E-3</v>
      </c>
      <c r="P51" s="40"/>
      <c r="Q51" s="42"/>
    </row>
    <row r="52" spans="1:17" ht="15.75" customHeight="1" thickBot="1" x14ac:dyDescent="0.3">
      <c r="A52" s="27"/>
      <c r="B52" s="320"/>
      <c r="C52" s="35"/>
      <c r="D52" s="43" t="s">
        <v>7664</v>
      </c>
      <c r="E52" s="44">
        <f t="array" ref="E52">SUM(IF((ProjecaoAreas!$H$6:$H$46=ResumoCusto!$D$14)*(ProjecaoAreas!$I$6:$I$46=ResumoCusto!$D52),ProjecaoAreas!$J$6:$J$46))</f>
        <v>300</v>
      </c>
      <c r="F52" s="44">
        <f t="array" ref="F52">F$14*F51</f>
        <v>120.45876684091333</v>
      </c>
      <c r="G52" s="44">
        <f t="array" ref="G52">G$14*G51</f>
        <v>82.599925482069494</v>
      </c>
      <c r="H52" s="44">
        <f t="shared" ref="H52" si="36">H$14*H51</f>
        <v>25.21479267837131</v>
      </c>
      <c r="I52" s="44">
        <f>(I$14-Frete!L52)*I51</f>
        <v>46.224091557307467</v>
      </c>
      <c r="J52" s="44">
        <f t="shared" ref="J52" si="37">J$14*J51</f>
        <v>42.024654463952189</v>
      </c>
      <c r="K52" s="44">
        <f t="shared" ref="K52" si="38">K$14*K51</f>
        <v>22.413149047441166</v>
      </c>
      <c r="L52" s="44">
        <f t="shared" ref="L52" si="39">L$14*L51</f>
        <v>14.97337735338065</v>
      </c>
      <c r="M52" s="44">
        <f t="shared" ref="M52" si="40">M$14*M51</f>
        <v>9.8057527082555094</v>
      </c>
      <c r="N52" s="44">
        <f t="shared" ref="N52" si="41">N$14*N51</f>
        <v>0.81060515502428088</v>
      </c>
      <c r="O52" s="44">
        <f t="shared" ref="O52" si="42">O$14*O51</f>
        <v>16.071075084049308</v>
      </c>
      <c r="P52" s="44">
        <f>SUM(F52:O52)</f>
        <v>380.5961903707647</v>
      </c>
      <c r="Q52" s="45">
        <f>P52/E52*1000</f>
        <v>1268.6539679025491</v>
      </c>
    </row>
    <row r="53" spans="1:17" ht="15.75" hidden="1" customHeight="1" outlineLevel="1" thickBot="1" x14ac:dyDescent="0.3">
      <c r="A53" s="27"/>
      <c r="B53" s="320"/>
      <c r="C53" s="35"/>
      <c r="D53" s="46" t="s">
        <v>7686</v>
      </c>
      <c r="E53" s="47" t="s">
        <v>27</v>
      </c>
      <c r="F53" s="47">
        <f t="array" ref="F53">SUM(IF((Tabela_GM_PEDIDOS_2017_FIM[MOEDA]=$E53)*(Tabela_GM_PEDIDOS_2017_FIM[FILIAL]=$D$14)*(Tabela_GM_PEDIDOS_2017_FIM[TIPO_GRUPO]=F$10),Tabela_GM_PEDIDOS_2017_FIM[VALOR_PAGAR]+Tabela_GM_PEDIDOS_2017_FIM[VC_FINANCEIRA]))*F51/1000</f>
        <v>2.6830584609637654E-2</v>
      </c>
      <c r="G53" s="47">
        <f t="array" ref="G53">SUM(IF((Tabela_GM_PEDIDOS_2017_FIM[MOEDA]=$E53)*(Tabela_GM_PEDIDOS_2017_FIM[FILIAL]=$D$14)*(Tabela_GM_PEDIDOS_2017_FIM[TIPO_GRUPO]=G$10),Tabela_GM_PEDIDOS_2017_FIM[VALOR_PAGAR]+Tabela_GM_PEDIDOS_2017_FIM[VC_FINANCEIRA]))*G51/1000</f>
        <v>10.751540670526708</v>
      </c>
      <c r="H53" s="47">
        <f t="array" ref="H53">SUM(IF((Tabela_GM_PEDIDOS_2017_FIM[MOEDA]=$E53)*(Tabela_GM_PEDIDOS_2017_FIM[FILIAL]=$D$14)*(Tabela_GM_PEDIDOS_2017_FIM[TIPO_GRUPO]=H$10),Tabela_GM_PEDIDOS_2017_FIM[VALOR_PAGAR]+Tabela_GM_PEDIDOS_2017_FIM[VC_FINANCEIRA]))*H51/1000</f>
        <v>0</v>
      </c>
      <c r="I53" s="47">
        <f t="array" ref="I53">SUM(IF((Tabela_GM_PEDIDOS_2017_FIM[MOEDA]=$E53)*(Tabela_GM_PEDIDOS_2017_FIM[FILIAL]=$D$14)*(Tabela_GM_PEDIDOS_2017_FIM[TIPO_GRUPO]=I$10),Tabela_GM_PEDIDOS_2017_FIM[VALOR_PAGAR]+Tabela_GM_PEDIDOS_2017_FIM[VC_FINANCEIRA]))*I51/1000</f>
        <v>0</v>
      </c>
      <c r="J53" s="47">
        <f t="array" ref="J53">SUM(IF((Tabela_GM_PEDIDOS_2017_FIM[MOEDA]=$E53)*(Tabela_GM_PEDIDOS_2017_FIM[FILIAL]=$D$14)*(Tabela_GM_PEDIDOS_2017_FIM[TIPO_GRUPO]=J$10),Tabela_GM_PEDIDOS_2017_FIM[VALOR_PAGAR]+Tabela_GM_PEDIDOS_2017_FIM[VC_FINANCEIRA]))*J51/1000</f>
        <v>0</v>
      </c>
      <c r="K53" s="47">
        <f t="array" ref="K53">SUM(IF((Tabela_GM_PEDIDOS_2017_FIM[MOEDA]=$E53)*(Tabela_GM_PEDIDOS_2017_FIM[FILIAL]=$D$14)*(Tabela_GM_PEDIDOS_2017_FIM[TIPO_GRUPO]=K$10),Tabela_GM_PEDIDOS_2017_FIM[VALOR_PAGAR]+Tabela_GM_PEDIDOS_2017_FIM[VC_FINANCEIRA]))*K51/1000</f>
        <v>0</v>
      </c>
      <c r="L53" s="47">
        <f t="array" ref="L53">SUM(IF((Tabela_GM_PEDIDOS_2017_FIM[MOEDA]=$E53)*(Tabela_GM_PEDIDOS_2017_FIM[FILIAL]=$D$14)*(Tabela_GM_PEDIDOS_2017_FIM[TIPO_GRUPO]=L$10),Tabela_GM_PEDIDOS_2017_FIM[VALOR_PAGAR]+Tabela_GM_PEDIDOS_2017_FIM[VC_FINANCEIRA]))*L51/1000</f>
        <v>9.3700900915203604</v>
      </c>
      <c r="M53" s="47">
        <f t="array" ref="M53">SUM(IF((Tabela_GM_PEDIDOS_2017_FIM[MOEDA]=$E53)*(Tabela_GM_PEDIDOS_2017_FIM[FILIAL]=$D$14)*(Tabela_GM_PEDIDOS_2017_FIM[TIPO_GRUPO]=M$10),Tabela_GM_PEDIDOS_2017_FIM[VALOR_PAGAR]+Tabela_GM_PEDIDOS_2017_FIM[VC_FINANCEIRA]))*M51/1000</f>
        <v>0</v>
      </c>
      <c r="N53" s="47">
        <f t="array" ref="N53">SUM(IF((Tabela_GM_PEDIDOS_2017_FIM[MOEDA]=$E53)*(Tabela_GM_PEDIDOS_2017_FIM[FILIAL]=$D$14)*(Tabela_GM_PEDIDOS_2017_FIM[TIPO_GRUPO]=N$10),Tabela_GM_PEDIDOS_2017_FIM[VALOR_PAGAR]+Tabela_GM_PEDIDOS_2017_FIM[VC_FINANCEIRA]))*N51/1000</f>
        <v>0.81060515502428099</v>
      </c>
      <c r="O53" s="47">
        <f t="array" ref="O53">SUM(IF((Tabela_GM_PEDIDOS_2017_FIM[MOEDA]=$E53)*(Tabela_GM_PEDIDOS_2017_FIM[FILIAL]=$D$14)*(Tabela_GM_PEDIDOS_2017_FIM[TIPO_GRUPO]=O$10),Tabela_GM_PEDIDOS_2017_FIM[VALOR_PAGAR]+Tabela_GM_PEDIDOS_2017_FIM[VC_FINANCEIRA]))*O51/1000</f>
        <v>0.10170638774747853</v>
      </c>
      <c r="P53" s="47">
        <f t="array" ref="P53">SUM(F53:O53)</f>
        <v>21.060772889428463</v>
      </c>
      <c r="Q53" s="48"/>
    </row>
    <row r="54" spans="1:17" ht="15.75" hidden="1" outlineLevel="1" thickBot="1" x14ac:dyDescent="0.3">
      <c r="A54" s="27"/>
      <c r="B54" s="320"/>
      <c r="C54" s="35"/>
      <c r="D54" s="46" t="s">
        <v>7687</v>
      </c>
      <c r="E54" s="47" t="s">
        <v>16</v>
      </c>
      <c r="F54" s="47">
        <f t="array" ref="F54">SUM(IF((Tabela_GM_PEDIDOS_2017_FIM[MOEDA]=$E54)*(Tabela_GM_PEDIDOS_2017_FIM[FILIAL]=$D$14)*(Tabela_GM_PEDIDOS_2017_FIM[TIPO_GRUPO]=F$10)*(Tabela_GM_PEDIDOS_2017_FIM[PAGO]="S"),Tabela_GM_PEDIDOS_2017_FIM[VALOR_PAGAR]+Tabela_GM_PEDIDOS_2017_FIM[VC_FINANCEIRA]))*F51/1000</f>
        <v>0</v>
      </c>
      <c r="G54" s="47">
        <f t="array" ref="G54">SUM(IF((Tabela_GM_PEDIDOS_2017_FIM[MOEDA]=$E54)*(Tabela_GM_PEDIDOS_2017_FIM[FILIAL]=$D$14)*(Tabela_GM_PEDIDOS_2017_FIM[TIPO_GRUPO]=G$10)*(Tabela_GM_PEDIDOS_2017_FIM[PAGO]="S"),Tabela_GM_PEDIDOS_2017_FIM[VALOR_PAGAR]+Tabela_GM_PEDIDOS_2017_FIM[VC_FINANCEIRA]))*G51/1000</f>
        <v>11.26142019985058</v>
      </c>
      <c r="H54" s="47">
        <f t="array" ref="H54">SUM(IF((Tabela_GM_PEDIDOS_2017_FIM[MOEDA]=$E54)*(Tabela_GM_PEDIDOS_2017_FIM[FILIAL]=$D$14)*(Tabela_GM_PEDIDOS_2017_FIM[TIPO_GRUPO]=H$10)*(Tabela_GM_PEDIDOS_2017_FIM[PAGO]="S"),Tabela_GM_PEDIDOS_2017_FIM[VALOR_PAGAR]+Tabela_GM_PEDIDOS_2017_FIM[VC_FINANCEIRA]))*H51/1000</f>
        <v>0</v>
      </c>
      <c r="I54" s="47">
        <f t="array" ref="I54">SUM(IF((Tabela_GM_PEDIDOS_2017_FIM[MOEDA]=$E54)*(Tabela_GM_PEDIDOS_2017_FIM[FILIAL]=$D$14)*(Tabela_GM_PEDIDOS_2017_FIM[TIPO_GRUPO]=I$10)*(Tabela_GM_PEDIDOS_2017_FIM[PAGO]="S"),Tabela_GM_PEDIDOS_2017_FIM[VALOR_PAGAR]+Tabela_GM_PEDIDOS_2017_FIM[VC_FINANCEIRA]))*I51/1000</f>
        <v>0</v>
      </c>
      <c r="J54" s="47">
        <f t="array" ref="J54">SUM(IF((Tabela_GM_PEDIDOS_2017_FIM[MOEDA]=$E54)*(Tabela_GM_PEDIDOS_2017_FIM[FILIAL]=$D$14)*(Tabela_GM_PEDIDOS_2017_FIM[TIPO_GRUPO]=J$10)*(Tabela_GM_PEDIDOS_2017_FIM[PAGO]="S"),Tabela_GM_PEDIDOS_2017_FIM[VALOR_PAGAR]+Tabela_GM_PEDIDOS_2017_FIM[VC_FINANCEIRA]))*J51/1000</f>
        <v>0</v>
      </c>
      <c r="K54" s="47">
        <f t="array" ref="K54">SUM(IF((Tabela_GM_PEDIDOS_2017_FIM[MOEDA]=$E54)*(Tabela_GM_PEDIDOS_2017_FIM[FILIAL]=$D$14)*(Tabela_GM_PEDIDOS_2017_FIM[TIPO_GRUPO]=K$10)*(Tabela_GM_PEDIDOS_2017_FIM[PAGO]="S"),Tabela_GM_PEDIDOS_2017_FIM[VALOR_PAGAR]+Tabela_GM_PEDIDOS_2017_FIM[VC_FINANCEIRA]))*K51/1000</f>
        <v>0</v>
      </c>
      <c r="L54" s="47">
        <f t="array" ref="L54">SUM(IF((Tabela_GM_PEDIDOS_2017_FIM[MOEDA]=$E54)*(Tabela_GM_PEDIDOS_2017_FIM[FILIAL]=$D$14)*(Tabela_GM_PEDIDOS_2017_FIM[TIPO_GRUPO]=L$10)*(Tabela_GM_PEDIDOS_2017_FIM[PAGO]="S"),Tabela_GM_PEDIDOS_2017_FIM[VALOR_PAGAR]+Tabela_GM_PEDIDOS_2017_FIM[VC_FINANCEIRA]))*L51/1000</f>
        <v>0</v>
      </c>
      <c r="M54" s="47">
        <f t="array" ref="M54">SUM(IF((Tabela_GM_PEDIDOS_2017_FIM[MOEDA]=$E54)*(Tabela_GM_PEDIDOS_2017_FIM[FILIAL]=$D$14)*(Tabela_GM_PEDIDOS_2017_FIM[TIPO_GRUPO]=M$10)*(Tabela_GM_PEDIDOS_2017_FIM[PAGO]="S"),Tabela_GM_PEDIDOS_2017_FIM[VALOR_PAGAR]+Tabela_GM_PEDIDOS_2017_FIM[VC_FINANCEIRA]))*M51/1000</f>
        <v>0</v>
      </c>
      <c r="N54" s="47">
        <f t="array" ref="N54">SUM(IF((Tabela_GM_PEDIDOS_2017_FIM[MOEDA]=$E54)*(Tabela_GM_PEDIDOS_2017_FIM[FILIAL]=$D$14)*(Tabela_GM_PEDIDOS_2017_FIM[TIPO_GRUPO]=N$10)*(Tabela_GM_PEDIDOS_2017_FIM[PAGO]="S"),Tabela_GM_PEDIDOS_2017_FIM[VALOR_PAGAR]+Tabela_GM_PEDIDOS_2017_FIM[VC_FINANCEIRA]))*N51/1000</f>
        <v>0</v>
      </c>
      <c r="O54" s="47">
        <f t="array" ref="O54">SUM(IF((Tabela_GM_PEDIDOS_2017_FIM[MOEDA]=$E54)*(Tabela_GM_PEDIDOS_2017_FIM[FILIAL]=$D$14)*(Tabela_GM_PEDIDOS_2017_FIM[TIPO_GRUPO]=O$10)*(Tabela_GM_PEDIDOS_2017_FIM[PAGO]="S"),Tabela_GM_PEDIDOS_2017_FIM[VALOR_PAGAR]+Tabela_GM_PEDIDOS_2017_FIM[VC_FINANCEIRA]))*O51/1000</f>
        <v>0</v>
      </c>
      <c r="P54" s="47">
        <f t="array" ref="P54">SUM(F54:O54)</f>
        <v>11.26142019985058</v>
      </c>
      <c r="Q54" s="49"/>
    </row>
    <row r="55" spans="1:17" ht="15.75" hidden="1" outlineLevel="1" thickBot="1" x14ac:dyDescent="0.3">
      <c r="A55" s="27"/>
      <c r="B55" s="320"/>
      <c r="C55" s="35"/>
      <c r="D55" s="46" t="s">
        <v>7688</v>
      </c>
      <c r="E55" s="47" t="s">
        <v>16</v>
      </c>
      <c r="F55" s="50">
        <f t="array" ref="F55">SUM(IF((Tabela_GM_PEDIDOS_2017_FIM[MOEDA]=$E55)*(Tabela_GM_PEDIDOS_2017_FIM[FILIAL]=$D$14)*(Tabela_GM_PEDIDOS_2017_FIM[TIPO_GRUPO]=F$10)*(Tabela_GM_PEDIDOS_2017_FIM[PAGO]&lt;&gt;"S"),Tabela_GM_PEDIDOS_2017_FIM[VL_PEDIDO_COMPRA]))*F51/1000</f>
        <v>26.25119955173702</v>
      </c>
      <c r="G55" s="50">
        <f t="array" ref="G55">SUM(IF((Tabela_GM_PEDIDOS_2017_FIM[MOEDA]=$E55)*(Tabela_GM_PEDIDOS_2017_FIM[FILIAL]=$D$14)*(Tabela_GM_PEDIDOS_2017_FIM[TIPO_GRUPO]=G$10)*(Tabela_GM_PEDIDOS_2017_FIM[PAGO]&lt;&gt;"S"),Tabela_GM_PEDIDOS_2017_FIM[VL_PEDIDO_COMPRA]))*G51/1000</f>
        <v>16.910241875233471</v>
      </c>
      <c r="H55" s="50">
        <f t="array" ref="H55">SUM(IF((Tabela_GM_PEDIDOS_2017_FIM[MOEDA]=$E55)*(Tabela_GM_PEDIDOS_2017_FIM[FILIAL]=$D$14)*(Tabela_GM_PEDIDOS_2017_FIM[TIPO_GRUPO]=H$10)*(Tabela_GM_PEDIDOS_2017_FIM[PAGO]&lt;&gt;"S"),Tabela_GM_PEDIDOS_2017_FIM[VL_PEDIDO_COMPRA]))*H51/1000</f>
        <v>0</v>
      </c>
      <c r="I55" s="50">
        <f t="array" ref="I55">SUM(IF((Tabela_GM_PEDIDOS_2017_FIM[MOEDA]=$E55)*(Tabela_GM_PEDIDOS_2017_FIM[FILIAL]=$D$14)*(Tabela_GM_PEDIDOS_2017_FIM[TIPO_GRUPO]=I$10)*(Tabela_GM_PEDIDOS_2017_FIM[PAGO]&lt;&gt;"S"),Tabela_GM_PEDIDOS_2017_FIM[VL_PEDIDO_COMPRA]))*I51/1000</f>
        <v>0</v>
      </c>
      <c r="J55" s="50">
        <f t="array" ref="J55">SUM(IF((Tabela_GM_PEDIDOS_2017_FIM[MOEDA]=$E55)*(Tabela_GM_PEDIDOS_2017_FIM[FILIAL]=$D$14)*(Tabela_GM_PEDIDOS_2017_FIM[TIPO_GRUPO]=J$10)*(Tabela_GM_PEDIDOS_2017_FIM[PAGO]&lt;&gt;"S"),Tabela_GM_PEDIDOS_2017_FIM[VL_PEDIDO_COMPRA]))*J51/1000</f>
        <v>0</v>
      </c>
      <c r="K55" s="50">
        <f t="array" ref="K55">SUM(IF((Tabela_GM_PEDIDOS_2017_FIM[MOEDA]=$E55)*(Tabela_GM_PEDIDOS_2017_FIM[FILIAL]=$D$14)*(Tabela_GM_PEDIDOS_2017_FIM[TIPO_GRUPO]=K$10)*(Tabela_GM_PEDIDOS_2017_FIM[PAGO]&lt;&gt;"S"),Tabela_GM_PEDIDOS_2017_FIM[VL_PEDIDO_COMPRA]))*K51/1000</f>
        <v>0</v>
      </c>
      <c r="L55" s="50">
        <f t="array" ref="L55">SUM(IF((Tabela_GM_PEDIDOS_2017_FIM[MOEDA]=$E55)*(Tabela_GM_PEDIDOS_2017_FIM[FILIAL]=$D$14)*(Tabela_GM_PEDIDOS_2017_FIM[TIPO_GRUPO]=L$10)*(Tabela_GM_PEDIDOS_2017_FIM[PAGO]&lt;&gt;"S"),Tabela_GM_PEDIDOS_2017_FIM[VL_PEDIDO_COMPRA]))*L51/1000</f>
        <v>0</v>
      </c>
      <c r="M55" s="50">
        <f t="array" ref="M55">SUM(IF((Tabela_GM_PEDIDOS_2017_FIM[MOEDA]=$E55)*(Tabela_GM_PEDIDOS_2017_FIM[FILIAL]=$D$14)*(Tabela_GM_PEDIDOS_2017_FIM[TIPO_GRUPO]=M$10)*(Tabela_GM_PEDIDOS_2017_FIM[PAGO]&lt;&gt;"S"),Tabela_GM_PEDIDOS_2017_FIM[VL_PEDIDO_COMPRA]))*M51/1000</f>
        <v>0</v>
      </c>
      <c r="N55" s="50">
        <f t="array" ref="N55">SUM(IF((Tabela_GM_PEDIDOS_2017_FIM[MOEDA]=$E55)*(Tabela_GM_PEDIDOS_2017_FIM[FILIAL]=$D$14)*(Tabela_GM_PEDIDOS_2017_FIM[TIPO_GRUPO]=N$10)*(Tabela_GM_PEDIDOS_2017_FIM[PAGO]&lt;&gt;"S"),Tabela_GM_PEDIDOS_2017_FIM[VL_PEDIDO_COMPRA]))*N51/1000</f>
        <v>0</v>
      </c>
      <c r="O55" s="50">
        <f t="array" ref="O55">SUM(IF((Tabela_GM_PEDIDOS_2017_FIM[MOEDA]=$E55)*(Tabela_GM_PEDIDOS_2017_FIM[FILIAL]=$D$14)*(Tabela_GM_PEDIDOS_2017_FIM[TIPO_GRUPO]=O$10)*(Tabela_GM_PEDIDOS_2017_FIM[PAGO]&lt;&gt;"S"),Tabela_GM_PEDIDOS_2017_FIM[VL_PEDIDO_COMPRA]))*O51/1000</f>
        <v>0</v>
      </c>
      <c r="P55" s="50">
        <f>SUM(F55:O55)</f>
        <v>43.161441426970491</v>
      </c>
      <c r="Q55" s="48"/>
    </row>
    <row r="56" spans="1:17" ht="15.75" collapsed="1" thickBot="1" x14ac:dyDescent="0.3">
      <c r="A56" s="27"/>
      <c r="B56" s="320"/>
      <c r="C56" s="35"/>
      <c r="D56" s="53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7"/>
    </row>
    <row r="57" spans="1:17" ht="15.75" thickBot="1" x14ac:dyDescent="0.3">
      <c r="A57" s="27"/>
      <c r="B57" s="320"/>
      <c r="C57" s="35"/>
      <c r="D57" s="22"/>
      <c r="E57" s="23" t="s">
        <v>7684</v>
      </c>
      <c r="F57" s="24">
        <v>3000</v>
      </c>
      <c r="G57" s="24">
        <v>0</v>
      </c>
      <c r="H57" s="24">
        <v>1200</v>
      </c>
      <c r="I57" s="24">
        <v>0</v>
      </c>
      <c r="J57" s="24">
        <v>2400</v>
      </c>
      <c r="K57" s="24">
        <v>1013</v>
      </c>
      <c r="L57" s="24">
        <v>900</v>
      </c>
      <c r="M57" s="24">
        <v>500</v>
      </c>
      <c r="N57" s="24">
        <v>0</v>
      </c>
      <c r="O57" s="24">
        <v>1100</v>
      </c>
      <c r="P57" s="25"/>
      <c r="Q57" s="26"/>
    </row>
    <row r="58" spans="1:17" ht="15.75" hidden="1" thickBot="1" x14ac:dyDescent="0.3">
      <c r="A58" s="27"/>
      <c r="B58" s="320"/>
      <c r="C58" s="35"/>
      <c r="D58" s="30"/>
      <c r="E58" s="31"/>
      <c r="F58" s="32"/>
      <c r="G58" s="32"/>
      <c r="H58" s="32"/>
      <c r="I58" s="32" t="s">
        <v>7785</v>
      </c>
      <c r="J58" s="32" t="s">
        <v>7785</v>
      </c>
      <c r="K58" s="32"/>
      <c r="L58" s="32"/>
      <c r="M58" s="32"/>
      <c r="N58" s="32"/>
      <c r="O58" s="33" t="s">
        <v>7784</v>
      </c>
      <c r="P58" s="32"/>
      <c r="Q58" s="34"/>
    </row>
    <row r="59" spans="1:17" ht="15.75" thickBot="1" x14ac:dyDescent="0.3">
      <c r="A59" s="27"/>
      <c r="B59" s="320"/>
      <c r="C59" s="35"/>
      <c r="D59" s="36" t="s">
        <v>36</v>
      </c>
      <c r="E59" s="37">
        <f t="array" ref="E59">SUM(IF((ProjecaoAreas!$B$28:$B$38=ResumoCusto!D59),ProjecaoAreas!$D$28:$D$38))</f>
        <v>10765</v>
      </c>
      <c r="F59" s="37">
        <f t="array" ref="F59">(SUM(IF((Tabela_GM_PEDIDOS_2017_FIM[TIPO_GRUPO]=ResumoCusto!F$10)*(Tabela_GM_PEDIDOS_2017_FIM[FILIAL]=ResumoCusto!$D59),Tabela_GM_PEDIDOS_2017_FIM[VALOR_PAGAR]+Tabela_GM_PEDIDOS_2017_FIM[VC_FINANCEIRA]))/1000)+F57</f>
        <v>7024.98901578</v>
      </c>
      <c r="G59" s="37">
        <f t="array" ref="G59">(SUM(IF((Tabela_GM_PEDIDOS_2017_FIM[TIPO_GRUPO]=ResumoCusto!G$10)*(Tabela_GM_PEDIDOS_2017_FIM[FILIAL]=ResumoCusto!$D59),Tabela_GM_PEDIDOS_2017_FIM[VALOR_PAGAR]+Tabela_GM_PEDIDOS_2017_FIM[VC_FINANCEIRA]))/1000)+G57</f>
        <v>5753.4830819199997</v>
      </c>
      <c r="H59" s="37">
        <f t="array" ref="H59">(SUM(IF((Tabela_GM_PEDIDOS_2017_FIM[TIPO_GRUPO]=ResumoCusto!H$10)*(Tabela_GM_PEDIDOS_2017_FIM[FILIAL]=ResumoCusto!$D59),Tabela_GM_PEDIDOS_2017_FIM[VALOR_PAGAR]+Tabela_GM_PEDIDOS_2017_FIM[VC_FINANCEIRA]))/1000)+H57</f>
        <v>1200</v>
      </c>
      <c r="I59" s="37">
        <f>Frete!C9/1000</f>
        <v>522.02503660808327</v>
      </c>
      <c r="J59" s="37">
        <f t="array" ref="J59">(SUM(IF((Tabela_GM_PEDIDOS_2017_FIM[TIPO_GRUPO]=ResumoCusto!J$10)*(Tabela_GM_PEDIDOS_2017_FIM[FILIAL]=ResumoCusto!$D59),Tabela_GM_PEDIDOS_2017_FIM[VALOR_PAGAR]+Tabela_GM_PEDIDOS_2017_FIM[VC_FINANCEIRA]))/1000)+J57</f>
        <v>2400</v>
      </c>
      <c r="K59" s="37">
        <f t="array" ref="K59">(SUM(IF((Tabela_GM_PEDIDOS_2017_FIM[TIPO_GRUPO]=ResumoCusto!K$10)*(Tabela_GM_PEDIDOS_2017_FIM[FILIAL]=ResumoCusto!$D59),Tabela_GM_PEDIDOS_2017_FIM[VALOR_PAGAR]+Tabela_GM_PEDIDOS_2017_FIM[VC_FINANCEIRA]))/1000)+K57</f>
        <v>1013</v>
      </c>
      <c r="L59" s="37">
        <f t="array" ref="L59">(SUM(IF((Tabela_GM_PEDIDOS_2017_FIM[TIPO_GRUPO]=ResumoCusto!L$10)*(Tabela_GM_PEDIDOS_2017_FIM[FILIAL]=ResumoCusto!$D59),Tabela_GM_PEDIDOS_2017_FIM[VALOR_PAGAR]+Tabela_GM_PEDIDOS_2017_FIM[VC_FINANCEIRA]))/1000)+L57</f>
        <v>1291.8499999999999</v>
      </c>
      <c r="M59" s="37">
        <f t="array" ref="M59">(SUM(IF((Tabela_GM_PEDIDOS_2017_FIM[TIPO_GRUPO]=ResumoCusto!M$10)*(Tabela_GM_PEDIDOS_2017_FIM[FILIAL]=ResumoCusto!$D59),Tabela_GM_PEDIDOS_2017_FIM[VALOR_PAGAR]+Tabela_GM_PEDIDOS_2017_FIM[VC_FINANCEIRA]))/1000)+M57</f>
        <v>500</v>
      </c>
      <c r="N59" s="37">
        <f t="array" ref="N59">(SUM(IF((Tabela_GM_PEDIDOS_2017_FIM[TIPO_GRUPO]=ResumoCusto!N$10)*(Tabela_GM_PEDIDOS_2017_FIM[FILIAL]=ResumoCusto!$D59),Tabela_GM_PEDIDOS_2017_FIM[VALOR_PAGAR]+Tabela_GM_PEDIDOS_2017_FIM[VC_FINANCEIRA]))/1000)+N57</f>
        <v>601.76396</v>
      </c>
      <c r="O59" s="37">
        <f t="array" ref="O59">(SUM(IF((Tabela_GM_PEDIDOS_2017_FIM[TIPO_GRUPO]=ResumoCusto!O$10)*(Tabela_GM_PEDIDOS_2017_FIM[FILIAL]=ResumoCusto!$D59),Tabela_GM_PEDIDOS_2017_FIM[VALOR_PAGAR]+Tabela_GM_PEDIDOS_2017_FIM[VC_FINANCEIRA]))/1000)+O57</f>
        <v>1100</v>
      </c>
      <c r="P59" s="37">
        <f>SUM(F59:O59)</f>
        <v>21407.111094308082</v>
      </c>
      <c r="Q59" s="38">
        <f>P59/E59*1000</f>
        <v>1988.5844026296406</v>
      </c>
    </row>
    <row r="60" spans="1:17" ht="15.75" thickBot="1" x14ac:dyDescent="0.3">
      <c r="A60" s="27"/>
      <c r="B60" s="320"/>
      <c r="C60" s="35"/>
      <c r="D60" s="39" t="s">
        <v>7786</v>
      </c>
      <c r="E60" s="40"/>
      <c r="F60" s="41">
        <f t="array" ref="F60">SUM(IF((ProjecaoAreas!$H$6:$H$46=ResumoCusto!$D$59)*(ProjecaoAreas!$I$6:$I$46=ResumoCusto!$D61),ProjecaoAreas!$L$6:$L$46))</f>
        <v>0.49569213095921882</v>
      </c>
      <c r="G60" s="41">
        <f t="array" ref="G60">SUM(IF((ProjecaoAreas!$H$6:$H$46=ResumoCusto!$D$59)*(ProjecaoAreas!$I$6:$I$46=ResumoCusto!$D61),ProjecaoAreas!$L$6:$L$46))</f>
        <v>0.49569213095921882</v>
      </c>
      <c r="H60" s="41">
        <f t="array" ref="H60">SUM(IF((ProjecaoAreas!$H$6:$H$46=ResumoCusto!$D$59)*(ProjecaoAreas!$I$6:$I$46=ResumoCusto!$D61),ProjecaoAreas!$L$6:$L$46))</f>
        <v>0.49569213095921882</v>
      </c>
      <c r="I60" s="41">
        <f t="array" ref="I60">SUM(IF((ProjecaoAreas!$H$6:$H$46=ResumoCusto!$D$59)*(ProjecaoAreas!$I$6:$I$46=ResumoCusto!$D61),ProjecaoAreas!$L$6:$L$46))</f>
        <v>0.49569213095921882</v>
      </c>
      <c r="J60" s="41">
        <f t="array" ref="J60">SUM(IF((ProjecaoAreas!$H$6:$H$46=ResumoCusto!$D$59)*(ProjecaoAreas!$I$6:$I$46=ResumoCusto!$D61),ProjecaoAreas!$L$6:$L$46))</f>
        <v>0.49569213095921882</v>
      </c>
      <c r="K60" s="41">
        <f t="array" ref="K60">SUM(IF((ProjecaoAreas!$H$6:$H$46=ResumoCusto!$D$59)*(ProjecaoAreas!$I$6:$I$46=ResumoCusto!$D61),ProjecaoAreas!$L$6:$L$46))</f>
        <v>0.49569213095921882</v>
      </c>
      <c r="L60" s="41">
        <f t="array" ref="L60">SUM(IF((ProjecaoAreas!$H$6:$H$46=ResumoCusto!$D$59)*(ProjecaoAreas!$I$6:$I$46=ResumoCusto!$D61),ProjecaoAreas!$L$6:$L$46))</f>
        <v>0.49569213095921882</v>
      </c>
      <c r="M60" s="41">
        <f t="array" ref="M60">SUM(IF((ProjecaoAreas!$H$6:$H$46=ResumoCusto!$D$59)*(ProjecaoAreas!$I$6:$I$46=ResumoCusto!$D61),ProjecaoAreas!$L$6:$L$46))</f>
        <v>0.49569213095921882</v>
      </c>
      <c r="N60" s="41">
        <f t="array" ref="N60">SUM(IF((ProjecaoAreas!$H$6:$H$46=ResumoCusto!$D$59)*(ProjecaoAreas!$I$6:$I$46=ResumoCusto!$D61),ProjecaoAreas!$L$6:$L$46))</f>
        <v>0.49569213095921882</v>
      </c>
      <c r="O60" s="41">
        <f t="array" ref="O60">SUM(IF((ProjecaoAreas!$H$6:$H$46=ResumoCusto!$D$59)*(ProjecaoAreas!$I$6:$I$46=ResumoCusto!$D61),ProjecaoAreas!$L$6:$L$46))</f>
        <v>0.49569213095921882</v>
      </c>
      <c r="P60" s="40"/>
      <c r="Q60" s="42"/>
    </row>
    <row r="61" spans="1:17" ht="15.75" thickBot="1" x14ac:dyDescent="0.3">
      <c r="A61" s="27"/>
      <c r="B61" s="320"/>
      <c r="C61" s="35"/>
      <c r="D61" s="43" t="s">
        <v>7660</v>
      </c>
      <c r="E61" s="44">
        <f t="array" ref="E61">SUM(IF((ProjecaoAreas!$H$6:$H$46=ResumoCusto!$D59)*(ProjecaoAreas!$I$6:$I$46=ResumoCusto!$D61),ProjecaoAreas!$J$6:$J$46))</f>
        <v>4315</v>
      </c>
      <c r="F61" s="44">
        <f>F$59*F60</f>
        <v>3482.2317751970936</v>
      </c>
      <c r="G61" s="44">
        <f t="shared" ref="G61:O61" si="43">G$59*G60</f>
        <v>2851.9562893147386</v>
      </c>
      <c r="H61" s="44">
        <f t="shared" si="43"/>
        <v>594.83055715106264</v>
      </c>
      <c r="I61" s="44">
        <f t="shared" si="43"/>
        <v>258.76370281032501</v>
      </c>
      <c r="J61" s="44">
        <f t="shared" si="43"/>
        <v>1189.6611143021253</v>
      </c>
      <c r="K61" s="44">
        <f t="shared" si="43"/>
        <v>502.13612866168864</v>
      </c>
      <c r="L61" s="44">
        <f t="shared" si="43"/>
        <v>640.35987937966684</v>
      </c>
      <c r="M61" s="44">
        <f t="shared" si="43"/>
        <v>247.84606547960942</v>
      </c>
      <c r="N61" s="44">
        <f t="shared" si="43"/>
        <v>298.28965966685814</v>
      </c>
      <c r="O61" s="44">
        <f t="shared" si="43"/>
        <v>545.26134405514074</v>
      </c>
      <c r="P61" s="44">
        <f>SUM(F61:O61)</f>
        <v>10611.336516018309</v>
      </c>
      <c r="Q61" s="45">
        <f>P61/E61*1000</f>
        <v>2459.1741636195388</v>
      </c>
    </row>
    <row r="62" spans="1:17" ht="15.75" hidden="1" outlineLevel="1" thickBot="1" x14ac:dyDescent="0.3">
      <c r="A62" s="27"/>
      <c r="B62" s="320"/>
      <c r="C62" s="35"/>
      <c r="D62" s="46" t="s">
        <v>7686</v>
      </c>
      <c r="E62" s="47" t="s">
        <v>27</v>
      </c>
      <c r="F62" s="47">
        <f t="array" ref="F62">SUM(IF((Tabela_GM_PEDIDOS_2017_FIM[MOEDA]=$E62)*(Tabela_GM_PEDIDOS_2017_FIM[FILIAL]=$D$59)*(Tabela_GM_PEDIDOS_2017_FIM[TIPO_GRUPO]=F$10),Tabela_GM_PEDIDOS_2017_FIM[VALOR_PAGAR]+Tabela_GM_PEDIDOS_2017_FIM[VC_FINANCEIRA]))*F60/1000</f>
        <v>0</v>
      </c>
      <c r="G62" s="47">
        <f t="array" ref="G62">SUM(IF((Tabela_GM_PEDIDOS_2017_FIM[MOEDA]=$E62)*(Tabela_GM_PEDIDOS_2017_FIM[FILIAL]=$D$59)*(Tabela_GM_PEDIDOS_2017_FIM[TIPO_GRUPO]=G$10),Tabela_GM_PEDIDOS_2017_FIM[VALOR_PAGAR]+Tabela_GM_PEDIDOS_2017_FIM[VC_FINANCEIRA]))*G60/1000</f>
        <v>220.17578719126936</v>
      </c>
      <c r="H62" s="47">
        <f t="array" ref="H62">SUM(IF((Tabela_GM_PEDIDOS_2017_FIM[MOEDA]=$E62)*(Tabela_GM_PEDIDOS_2017_FIM[FILIAL]=$D$59)*(Tabela_GM_PEDIDOS_2017_FIM[TIPO_GRUPO]=H$10),Tabela_GM_PEDIDOS_2017_FIM[VALOR_PAGAR]+Tabela_GM_PEDIDOS_2017_FIM[VC_FINANCEIRA]))*H60/1000</f>
        <v>0</v>
      </c>
      <c r="I62" s="47">
        <f t="array" ref="I62">SUM(IF((Tabela_GM_PEDIDOS_2017_FIM[MOEDA]=$E62)*(Tabela_GM_PEDIDOS_2017_FIM[FILIAL]=$D$59)*(Tabela_GM_PEDIDOS_2017_FIM[TIPO_GRUPO]=I$10),Tabela_GM_PEDIDOS_2017_FIM[VALOR_PAGAR]+Tabela_GM_PEDIDOS_2017_FIM[VC_FINANCEIRA]))*I60/1000</f>
        <v>0</v>
      </c>
      <c r="J62" s="47">
        <f t="array" ref="J62">SUM(IF((Tabela_GM_PEDIDOS_2017_FIM[MOEDA]=$E62)*(Tabela_GM_PEDIDOS_2017_FIM[FILIAL]=$D$59)*(Tabela_GM_PEDIDOS_2017_FIM[TIPO_GRUPO]=J$10),Tabela_GM_PEDIDOS_2017_FIM[VALOR_PAGAR]+Tabela_GM_PEDIDOS_2017_FIM[VC_FINANCEIRA]))*J60/1000</f>
        <v>0</v>
      </c>
      <c r="K62" s="47">
        <f t="array" ref="K62">SUM(IF((Tabela_GM_PEDIDOS_2017_FIM[MOEDA]=$E62)*(Tabela_GM_PEDIDOS_2017_FIM[FILIAL]=$D$59)*(Tabela_GM_PEDIDOS_2017_FIM[TIPO_GRUPO]=K$10),Tabela_GM_PEDIDOS_2017_FIM[VALOR_PAGAR]+Tabela_GM_PEDIDOS_2017_FIM[VC_FINANCEIRA]))*K60/1000</f>
        <v>0</v>
      </c>
      <c r="L62" s="47">
        <f t="array" ref="L62">SUM(IF((Tabela_GM_PEDIDOS_2017_FIM[MOEDA]=$E62)*(Tabela_GM_PEDIDOS_2017_FIM[FILIAL]=$D$59)*(Tabela_GM_PEDIDOS_2017_FIM[TIPO_GRUPO]=L$10),Tabela_GM_PEDIDOS_2017_FIM[VALOR_PAGAR]+Tabela_GM_PEDIDOS_2017_FIM[VC_FINANCEIRA]))*L60/1000</f>
        <v>194.23696151636989</v>
      </c>
      <c r="M62" s="47">
        <f t="array" ref="M62">SUM(IF((Tabela_GM_PEDIDOS_2017_FIM[MOEDA]=$E62)*(Tabela_GM_PEDIDOS_2017_FIM[FILIAL]=$D$59)*(Tabela_GM_PEDIDOS_2017_FIM[TIPO_GRUPO]=M$10),Tabela_GM_PEDIDOS_2017_FIM[VALOR_PAGAR]+Tabela_GM_PEDIDOS_2017_FIM[VC_FINANCEIRA]))*M60/1000</f>
        <v>0</v>
      </c>
      <c r="N62" s="47">
        <f t="array" ref="N62">SUM(IF((Tabela_GM_PEDIDOS_2017_FIM[MOEDA]=$E62)*(Tabela_GM_PEDIDOS_2017_FIM[FILIAL]=$D$59)*(Tabela_GM_PEDIDOS_2017_FIM[TIPO_GRUPO]=N$10),Tabela_GM_PEDIDOS_2017_FIM[VALOR_PAGAR]+Tabela_GM_PEDIDOS_2017_FIM[VC_FINANCEIRA]))*N60/1000</f>
        <v>298.28965966685809</v>
      </c>
      <c r="O62" s="47">
        <f t="array" ref="O62">SUM(IF((Tabela_GM_PEDIDOS_2017_FIM[MOEDA]=$E62)*(Tabela_GM_PEDIDOS_2017_FIM[FILIAL]=$D$59)*(Tabela_GM_PEDIDOS_2017_FIM[TIPO_GRUPO]=O$10),Tabela_GM_PEDIDOS_2017_FIM[VALOR_PAGAR]+Tabela_GM_PEDIDOS_2017_FIM[VC_FINANCEIRA]))*O60/1000</f>
        <v>0</v>
      </c>
      <c r="P62" s="47">
        <f t="array" ref="P62">SUM(F62:O62)</f>
        <v>712.70240837449728</v>
      </c>
      <c r="Q62" s="48"/>
    </row>
    <row r="63" spans="1:17" ht="15.75" hidden="1" outlineLevel="1" thickBot="1" x14ac:dyDescent="0.3">
      <c r="A63" s="27"/>
      <c r="B63" s="320"/>
      <c r="C63" s="35"/>
      <c r="D63" s="46" t="s">
        <v>7687</v>
      </c>
      <c r="E63" s="47" t="s">
        <v>16</v>
      </c>
      <c r="F63" s="47">
        <f t="array" ref="F63">SUM(IF((Tabela_GM_PEDIDOS_2017_FIM[MOEDA]=$E63)*(Tabela_GM_PEDIDOS_2017_FIM[FILIAL]=$D$59)*(Tabela_GM_PEDIDOS_2017_FIM[TIPO_GRUPO]=F$10)*(Tabela_GM_PEDIDOS_2017_FIM[PAGO]="S"),Tabela_GM_PEDIDOS_2017_FIM[VALOR_PAGAR]+Tabela_GM_PEDIDOS_2017_FIM[VC_FINANCEIRA]))*F60/1000</f>
        <v>0</v>
      </c>
      <c r="G63" s="47">
        <f t="array" ref="G63">SUM(IF((Tabela_GM_PEDIDOS_2017_FIM[MOEDA]=$E63)*(Tabela_GM_PEDIDOS_2017_FIM[FILIAL]=$D$59)*(Tabela_GM_PEDIDOS_2017_FIM[TIPO_GRUPO]=G$10)*(Tabela_GM_PEDIDOS_2017_FIM[PAGO]="S"),Tabela_GM_PEDIDOS_2017_FIM[VALOR_PAGAR]+Tabela_GM_PEDIDOS_2017_FIM[VC_FINANCEIRA]))*G60/1000</f>
        <v>571.94184908098794</v>
      </c>
      <c r="H63" s="47">
        <f t="array" ref="H63">SUM(IF((Tabela_GM_PEDIDOS_2017_FIM[MOEDA]=$E63)*(Tabela_GM_PEDIDOS_2017_FIM[FILIAL]=$D$59)*(Tabela_GM_PEDIDOS_2017_FIM[TIPO_GRUPO]=H$10)*(Tabela_GM_PEDIDOS_2017_FIM[PAGO]="S"),Tabela_GM_PEDIDOS_2017_FIM[VALOR_PAGAR]+Tabela_GM_PEDIDOS_2017_FIM[VC_FINANCEIRA]))*H60/1000</f>
        <v>0</v>
      </c>
      <c r="I63" s="47">
        <f t="array" ref="I63">SUM(IF((Tabela_GM_PEDIDOS_2017_FIM[MOEDA]=$E63)*(Tabela_GM_PEDIDOS_2017_FIM[FILIAL]=$D$59)*(Tabela_GM_PEDIDOS_2017_FIM[TIPO_GRUPO]=I$10)*(Tabela_GM_PEDIDOS_2017_FIM[PAGO]="S"),Tabela_GM_PEDIDOS_2017_FIM[VALOR_PAGAR]+Tabela_GM_PEDIDOS_2017_FIM[VC_FINANCEIRA]))*I60/1000</f>
        <v>0</v>
      </c>
      <c r="J63" s="47">
        <f t="array" ref="J63">SUM(IF((Tabela_GM_PEDIDOS_2017_FIM[MOEDA]=$E63)*(Tabela_GM_PEDIDOS_2017_FIM[FILIAL]=$D$59)*(Tabela_GM_PEDIDOS_2017_FIM[TIPO_GRUPO]=J$10)*(Tabela_GM_PEDIDOS_2017_FIM[PAGO]="S"),Tabela_GM_PEDIDOS_2017_FIM[VALOR_PAGAR]+Tabela_GM_PEDIDOS_2017_FIM[VC_FINANCEIRA]))*J60/1000</f>
        <v>0</v>
      </c>
      <c r="K63" s="47">
        <f t="array" ref="K63">SUM(IF((Tabela_GM_PEDIDOS_2017_FIM[MOEDA]=$E63)*(Tabela_GM_PEDIDOS_2017_FIM[FILIAL]=$D$59)*(Tabela_GM_PEDIDOS_2017_FIM[TIPO_GRUPO]=K$10)*(Tabela_GM_PEDIDOS_2017_FIM[PAGO]="S"),Tabela_GM_PEDIDOS_2017_FIM[VALOR_PAGAR]+Tabela_GM_PEDIDOS_2017_FIM[VC_FINANCEIRA]))*K60/1000</f>
        <v>0</v>
      </c>
      <c r="L63" s="47">
        <f t="array" ref="L63">SUM(IF((Tabela_GM_PEDIDOS_2017_FIM[MOEDA]=$E63)*(Tabela_GM_PEDIDOS_2017_FIM[FILIAL]=$D$59)*(Tabela_GM_PEDIDOS_2017_FIM[TIPO_GRUPO]=L$10)*(Tabela_GM_PEDIDOS_2017_FIM[PAGO]="S"),Tabela_GM_PEDIDOS_2017_FIM[VALOR_PAGAR]+Tabela_GM_PEDIDOS_2017_FIM[VC_FINANCEIRA]))*L60/1000</f>
        <v>0</v>
      </c>
      <c r="M63" s="47">
        <f t="array" ref="M63">SUM(IF((Tabela_GM_PEDIDOS_2017_FIM[MOEDA]=$E63)*(Tabela_GM_PEDIDOS_2017_FIM[FILIAL]=$D$59)*(Tabela_GM_PEDIDOS_2017_FIM[TIPO_GRUPO]=M$10)*(Tabela_GM_PEDIDOS_2017_FIM[PAGO]="S"),Tabela_GM_PEDIDOS_2017_FIM[VALOR_PAGAR]+Tabela_GM_PEDIDOS_2017_FIM[VC_FINANCEIRA]))*M60/1000</f>
        <v>0</v>
      </c>
      <c r="N63" s="47">
        <f t="array" ref="N63">SUM(IF((Tabela_GM_PEDIDOS_2017_FIM[MOEDA]=$E63)*(Tabela_GM_PEDIDOS_2017_FIM[FILIAL]=$D$59)*(Tabela_GM_PEDIDOS_2017_FIM[TIPO_GRUPO]=N$10)*(Tabela_GM_PEDIDOS_2017_FIM[PAGO]="S"),Tabela_GM_PEDIDOS_2017_FIM[VALOR_PAGAR]+Tabela_GM_PEDIDOS_2017_FIM[VC_FINANCEIRA]))*N60/1000</f>
        <v>0</v>
      </c>
      <c r="O63" s="47">
        <f t="array" ref="O63">SUM(IF((Tabela_GM_PEDIDOS_2017_FIM[MOEDA]=$E63)*(Tabela_GM_PEDIDOS_2017_FIM[FILIAL]=$D$59)*(Tabela_GM_PEDIDOS_2017_FIM[TIPO_GRUPO]=O$10)*(Tabela_GM_PEDIDOS_2017_FIM[PAGO]="S"),Tabela_GM_PEDIDOS_2017_FIM[VALOR_PAGAR]+Tabela_GM_PEDIDOS_2017_FIM[VC_FINANCEIRA]))*O60/1000</f>
        <v>0</v>
      </c>
      <c r="P63" s="47">
        <f t="array" ref="P63">SUM(F63:O63)</f>
        <v>571.94184908098794</v>
      </c>
      <c r="Q63" s="49"/>
    </row>
    <row r="64" spans="1:17" ht="15.75" hidden="1" outlineLevel="1" thickBot="1" x14ac:dyDescent="0.3">
      <c r="A64" s="27"/>
      <c r="B64" s="320"/>
      <c r="C64" s="35"/>
      <c r="D64" s="46" t="s">
        <v>7688</v>
      </c>
      <c r="E64" s="47" t="s">
        <v>16</v>
      </c>
      <c r="F64" s="50">
        <f t="array" ref="F64">SUM(IF((Tabela_GM_PEDIDOS_2017_FIM[MOEDA]=$E64)*(Tabela_GM_PEDIDOS_2017_FIM[FILIAL]=$D$59)*(Tabela_GM_PEDIDOS_2017_FIM[TIPO_GRUPO]=F$10)*(Tabela_GM_PEDIDOS_2017_FIM[PAGO]&lt;&gt;"S"),Tabela_GM_PEDIDOS_2017_FIM[VL_PEDIDO_COMPRA]))*F60/1000</f>
        <v>571.5259039000573</v>
      </c>
      <c r="G64" s="50">
        <f t="array" ref="G64">SUM(IF((Tabela_GM_PEDIDOS_2017_FIM[MOEDA]=$E64)*(Tabela_GM_PEDIDOS_2017_FIM[FILIAL]=$D$59)*(Tabela_GM_PEDIDOS_2017_FIM[TIPO_GRUPO]=G$10)*(Tabela_GM_PEDIDOS_2017_FIM[PAGO]&lt;&gt;"S"),Tabela_GM_PEDIDOS_2017_FIM[VL_PEDIDO_COMPRA]))*G60/1000</f>
        <v>558.60626846639855</v>
      </c>
      <c r="H64" s="50">
        <f t="array" ref="H64">SUM(IF((Tabela_GM_PEDIDOS_2017_FIM[MOEDA]=$E64)*(Tabela_GM_PEDIDOS_2017_FIM[FILIAL]=$D$59)*(Tabela_GM_PEDIDOS_2017_FIM[TIPO_GRUPO]=H$10)*(Tabela_GM_PEDIDOS_2017_FIM[PAGO]&lt;&gt;"S"),Tabela_GM_PEDIDOS_2017_FIM[VL_PEDIDO_COMPRA]))*H60/1000</f>
        <v>0</v>
      </c>
      <c r="I64" s="50">
        <f t="array" ref="I64">SUM(IF((Tabela_GM_PEDIDOS_2017_FIM[MOEDA]=$E64)*(Tabela_GM_PEDIDOS_2017_FIM[FILIAL]=$D$59)*(Tabela_GM_PEDIDOS_2017_FIM[TIPO_GRUPO]=I$10)*(Tabela_GM_PEDIDOS_2017_FIM[PAGO]&lt;&gt;"S"),Tabela_GM_PEDIDOS_2017_FIM[VL_PEDIDO_COMPRA]))*I60/1000</f>
        <v>0</v>
      </c>
      <c r="J64" s="50">
        <f t="array" ref="J64">SUM(IF((Tabela_GM_PEDIDOS_2017_FIM[MOEDA]=$E64)*(Tabela_GM_PEDIDOS_2017_FIM[FILIAL]=$D$59)*(Tabela_GM_PEDIDOS_2017_FIM[TIPO_GRUPO]=J$10)*(Tabela_GM_PEDIDOS_2017_FIM[PAGO]&lt;&gt;"S"),Tabela_GM_PEDIDOS_2017_FIM[VL_PEDIDO_COMPRA]))*J60/1000</f>
        <v>0</v>
      </c>
      <c r="K64" s="50">
        <f t="array" ref="K64">SUM(IF((Tabela_GM_PEDIDOS_2017_FIM[MOEDA]=$E64)*(Tabela_GM_PEDIDOS_2017_FIM[FILIAL]=$D$59)*(Tabela_GM_PEDIDOS_2017_FIM[TIPO_GRUPO]=K$10)*(Tabela_GM_PEDIDOS_2017_FIM[PAGO]&lt;&gt;"S"),Tabela_GM_PEDIDOS_2017_FIM[VL_PEDIDO_COMPRA]))*K60/1000</f>
        <v>0</v>
      </c>
      <c r="L64" s="50">
        <f t="array" ref="L64">SUM(IF((Tabela_GM_PEDIDOS_2017_FIM[MOEDA]=$E64)*(Tabela_GM_PEDIDOS_2017_FIM[FILIAL]=$D$59)*(Tabela_GM_PEDIDOS_2017_FIM[TIPO_GRUPO]=L$10)*(Tabela_GM_PEDIDOS_2017_FIM[PAGO]&lt;&gt;"S"),Tabela_GM_PEDIDOS_2017_FIM[VL_PEDIDO_COMPRA]))*L60/1000</f>
        <v>0</v>
      </c>
      <c r="M64" s="50">
        <f t="array" ref="M64">SUM(IF((Tabela_GM_PEDIDOS_2017_FIM[MOEDA]=$E64)*(Tabela_GM_PEDIDOS_2017_FIM[FILIAL]=$D$59)*(Tabela_GM_PEDIDOS_2017_FIM[TIPO_GRUPO]=M$10)*(Tabela_GM_PEDIDOS_2017_FIM[PAGO]&lt;&gt;"S"),Tabela_GM_PEDIDOS_2017_FIM[VL_PEDIDO_COMPRA]))*M60/1000</f>
        <v>0</v>
      </c>
      <c r="N64" s="50">
        <f t="array" ref="N64">SUM(IF((Tabela_GM_PEDIDOS_2017_FIM[MOEDA]=$E64)*(Tabela_GM_PEDIDOS_2017_FIM[FILIAL]=$D$59)*(Tabela_GM_PEDIDOS_2017_FIM[TIPO_GRUPO]=N$10)*(Tabela_GM_PEDIDOS_2017_FIM[PAGO]&lt;&gt;"S"),Tabela_GM_PEDIDOS_2017_FIM[VL_PEDIDO_COMPRA]))*N60/1000</f>
        <v>0</v>
      </c>
      <c r="O64" s="50">
        <f t="array" ref="O64">SUM(IF((Tabela_GM_PEDIDOS_2017_FIM[MOEDA]=$E64)*(Tabela_GM_PEDIDOS_2017_FIM[FILIAL]=$D$59)*(Tabela_GM_PEDIDOS_2017_FIM[TIPO_GRUPO]=O$10)*(Tabela_GM_PEDIDOS_2017_FIM[PAGO]&lt;&gt;"S"),Tabela_GM_PEDIDOS_2017_FIM[VL_PEDIDO_COMPRA]))*O60/1000</f>
        <v>0</v>
      </c>
      <c r="P64" s="50">
        <f>SUM(F64:O64)</f>
        <v>1130.132172366456</v>
      </c>
      <c r="Q64" s="48"/>
    </row>
    <row r="65" spans="1:17" ht="15.75" collapsed="1" thickBot="1" x14ac:dyDescent="0.3">
      <c r="A65" s="27"/>
      <c r="B65" s="320"/>
      <c r="C65" s="35"/>
      <c r="D65" s="43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5"/>
    </row>
    <row r="66" spans="1:17" ht="15.75" thickBot="1" x14ac:dyDescent="0.3">
      <c r="A66" s="27"/>
      <c r="B66" s="320"/>
      <c r="C66" s="35"/>
      <c r="D66" s="39" t="s">
        <v>7786</v>
      </c>
      <c r="E66" s="40"/>
      <c r="F66" s="41">
        <f t="array" ref="F66">SUM(IF((ProjecaoAreas!$H$6:$H$46=ResumoCusto!$D$59)*(ProjecaoAreas!$I$6:$I$46=ResumoCusto!$D67),ProjecaoAreas!$L$6:$L$46))</f>
        <v>0.14933946008041354</v>
      </c>
      <c r="G66" s="41">
        <f t="array" ref="G66">SUM(IF((ProjecaoAreas!$H$6:$H$46=ResumoCusto!$D$59)*(ProjecaoAreas!$I$6:$I$46=ResumoCusto!$D67),ProjecaoAreas!$L$6:$L$46))</f>
        <v>0.14933946008041354</v>
      </c>
      <c r="H66" s="41">
        <f t="array" ref="H66">SUM(IF((ProjecaoAreas!$H$6:$H$46=ResumoCusto!$D$59)*(ProjecaoAreas!$I$6:$I$46=ResumoCusto!$D67),ProjecaoAreas!$L$6:$L$46))</f>
        <v>0.14933946008041354</v>
      </c>
      <c r="I66" s="41">
        <f t="array" ref="I66">SUM(IF((ProjecaoAreas!$H$6:$H$46=ResumoCusto!$D$59)*(ProjecaoAreas!$I$6:$I$46=ResumoCusto!$D67),ProjecaoAreas!$L$6:$L$46))</f>
        <v>0.14933946008041354</v>
      </c>
      <c r="J66" s="41">
        <f t="array" ref="J66">SUM(IF((ProjecaoAreas!$H$6:$H$46=ResumoCusto!$D$59)*(ProjecaoAreas!$I$6:$I$46=ResumoCusto!$D67),ProjecaoAreas!$L$6:$L$46))</f>
        <v>0.14933946008041354</v>
      </c>
      <c r="K66" s="41">
        <f t="array" ref="K66">SUM(IF((ProjecaoAreas!$H$6:$H$46=ResumoCusto!$D$59)*(ProjecaoAreas!$I$6:$I$46=ResumoCusto!$D67),ProjecaoAreas!$L$6:$L$46))</f>
        <v>0.14933946008041354</v>
      </c>
      <c r="L66" s="41">
        <f t="array" ref="L66">SUM(IF((ProjecaoAreas!$H$6:$H$46=ResumoCusto!$D$59)*(ProjecaoAreas!$I$6:$I$46=ResumoCusto!$D67),ProjecaoAreas!$L$6:$L$46))</f>
        <v>0.14933946008041354</v>
      </c>
      <c r="M66" s="41">
        <f t="array" ref="M66">SUM(IF((ProjecaoAreas!$H$6:$H$46=ResumoCusto!$D$59)*(ProjecaoAreas!$I$6:$I$46=ResumoCusto!$D67),ProjecaoAreas!$L$6:$L$46))</f>
        <v>0.14933946008041354</v>
      </c>
      <c r="N66" s="41">
        <f t="array" ref="N66">SUM(IF((ProjecaoAreas!$H$6:$H$46=ResumoCusto!$D$59)*(ProjecaoAreas!$I$6:$I$46=ResumoCusto!$D67),ProjecaoAreas!$L$6:$L$46))</f>
        <v>0.14933946008041354</v>
      </c>
      <c r="O66" s="41">
        <f t="array" ref="O66">SUM(IF((ProjecaoAreas!$H$6:$H$46=ResumoCusto!$D$59)*(ProjecaoAreas!$I$6:$I$46=ResumoCusto!$D67),ProjecaoAreas!$L$6:$L$46))</f>
        <v>0.14933946008041354</v>
      </c>
      <c r="P66" s="40"/>
      <c r="Q66" s="42"/>
    </row>
    <row r="67" spans="1:17" ht="15.75" thickBot="1" x14ac:dyDescent="0.3">
      <c r="A67" s="27"/>
      <c r="B67" s="320"/>
      <c r="C67" s="35"/>
      <c r="D67" s="43" t="s">
        <v>7659</v>
      </c>
      <c r="E67" s="44">
        <f t="array" ref="E67">SUM(IF((ProjecaoAreas!$H$6:$H$46=ResumoCusto!$D$59)*(ProjecaoAreas!$I$6:$I$46=ResumoCusto!$D67),ProjecaoAreas!$J$6:$J$46))</f>
        <v>1300</v>
      </c>
      <c r="F67" s="44">
        <f>F$59*F66</f>
        <v>1049.1080666874209</v>
      </c>
      <c r="G67" s="44">
        <f t="shared" ref="G67:O67" si="44">G$59*G66</f>
        <v>859.22205703572649</v>
      </c>
      <c r="H67" s="44">
        <f t="shared" si="44"/>
        <v>179.20735209649627</v>
      </c>
      <c r="I67" s="44">
        <f t="shared" si="44"/>
        <v>77.958937115509272</v>
      </c>
      <c r="J67" s="44">
        <f t="shared" si="44"/>
        <v>358.41470419299253</v>
      </c>
      <c r="K67" s="44">
        <f t="shared" si="44"/>
        <v>151.28087306145892</v>
      </c>
      <c r="L67" s="44">
        <f t="shared" si="44"/>
        <v>192.92418150488223</v>
      </c>
      <c r="M67" s="44">
        <f t="shared" si="44"/>
        <v>74.669730040206773</v>
      </c>
      <c r="N67" s="44">
        <f t="shared" si="44"/>
        <v>89.867104882251567</v>
      </c>
      <c r="O67" s="44">
        <f t="shared" si="44"/>
        <v>164.27340608845489</v>
      </c>
      <c r="P67" s="44">
        <f>SUM(F67:O67)</f>
        <v>3196.9264127053998</v>
      </c>
      <c r="Q67" s="45">
        <f>P67/E67*1000</f>
        <v>2459.1741636195384</v>
      </c>
    </row>
    <row r="68" spans="1:17" ht="15.75" hidden="1" outlineLevel="1" thickBot="1" x14ac:dyDescent="0.3">
      <c r="A68" s="27"/>
      <c r="B68" s="320"/>
      <c r="C68" s="35"/>
      <c r="D68" s="46" t="s">
        <v>7686</v>
      </c>
      <c r="E68" s="47" t="s">
        <v>27</v>
      </c>
      <c r="F68" s="47">
        <f t="array" ref="F68">SUM(IF((Tabela_GM_PEDIDOS_2017_FIM[MOEDA]=$E68)*(Tabela_GM_PEDIDOS_2017_FIM[FILIAL]=$D$59)*(Tabela_GM_PEDIDOS_2017_FIM[TIPO_GRUPO]=F$10),Tabela_GM_PEDIDOS_2017_FIM[VALOR_PAGAR]+Tabela_GM_PEDIDOS_2017_FIM[VC_FINANCEIRA]))*F66/1000</f>
        <v>0</v>
      </c>
      <c r="G68" s="47">
        <f t="array" ref="G68">SUM(IF((Tabela_GM_PEDIDOS_2017_FIM[MOEDA]=$E68)*(Tabela_GM_PEDIDOS_2017_FIM[FILIAL]=$D$59)*(Tabela_GM_PEDIDOS_2017_FIM[TIPO_GRUPO]=G$10),Tabela_GM_PEDIDOS_2017_FIM[VALOR_PAGAR]+Tabela_GM_PEDIDOS_2017_FIM[VC_FINANCEIRA]))*G66/1000</f>
        <v>66.333377369327962</v>
      </c>
      <c r="H68" s="47">
        <f t="array" ref="H68">SUM(IF((Tabela_GM_PEDIDOS_2017_FIM[MOEDA]=$E68)*(Tabela_GM_PEDIDOS_2017_FIM[FILIAL]=$D$59)*(Tabela_GM_PEDIDOS_2017_FIM[TIPO_GRUPO]=H$10),Tabela_GM_PEDIDOS_2017_FIM[VALOR_PAGAR]+Tabela_GM_PEDIDOS_2017_FIM[VC_FINANCEIRA]))*H66/1000</f>
        <v>0</v>
      </c>
      <c r="I68" s="47">
        <f t="array" ref="I68">SUM(IF((Tabela_GM_PEDIDOS_2017_FIM[MOEDA]=$E68)*(Tabela_GM_PEDIDOS_2017_FIM[FILIAL]=$D$59)*(Tabela_GM_PEDIDOS_2017_FIM[TIPO_GRUPO]=I$10),Tabela_GM_PEDIDOS_2017_FIM[VALOR_PAGAR]+Tabela_GM_PEDIDOS_2017_FIM[VC_FINANCEIRA]))*I66/1000</f>
        <v>0</v>
      </c>
      <c r="J68" s="47">
        <f t="array" ref="J68">SUM(IF((Tabela_GM_PEDIDOS_2017_FIM[MOEDA]=$E68)*(Tabela_GM_PEDIDOS_2017_FIM[FILIAL]=$D$59)*(Tabela_GM_PEDIDOS_2017_FIM[TIPO_GRUPO]=J$10),Tabela_GM_PEDIDOS_2017_FIM[VALOR_PAGAR]+Tabela_GM_PEDIDOS_2017_FIM[VC_FINANCEIRA]))*J66/1000</f>
        <v>0</v>
      </c>
      <c r="K68" s="47">
        <f t="array" ref="K68">SUM(IF((Tabela_GM_PEDIDOS_2017_FIM[MOEDA]=$E68)*(Tabela_GM_PEDIDOS_2017_FIM[FILIAL]=$D$59)*(Tabela_GM_PEDIDOS_2017_FIM[TIPO_GRUPO]=K$10),Tabela_GM_PEDIDOS_2017_FIM[VALOR_PAGAR]+Tabela_GM_PEDIDOS_2017_FIM[VC_FINANCEIRA]))*K66/1000</f>
        <v>0</v>
      </c>
      <c r="L68" s="47">
        <f t="array" ref="L68">SUM(IF((Tabela_GM_PEDIDOS_2017_FIM[MOEDA]=$E68)*(Tabela_GM_PEDIDOS_2017_FIM[FILIAL]=$D$59)*(Tabela_GM_PEDIDOS_2017_FIM[TIPO_GRUPO]=L$10),Tabela_GM_PEDIDOS_2017_FIM[VALOR_PAGAR]+Tabela_GM_PEDIDOS_2017_FIM[VC_FINANCEIRA]))*L66/1000</f>
        <v>58.51866743251005</v>
      </c>
      <c r="M68" s="47">
        <f t="array" ref="M68">SUM(IF((Tabela_GM_PEDIDOS_2017_FIM[MOEDA]=$E68)*(Tabela_GM_PEDIDOS_2017_FIM[FILIAL]=$D$59)*(Tabela_GM_PEDIDOS_2017_FIM[TIPO_GRUPO]=M$10),Tabela_GM_PEDIDOS_2017_FIM[VALOR_PAGAR]+Tabela_GM_PEDIDOS_2017_FIM[VC_FINANCEIRA]))*M66/1000</f>
        <v>0</v>
      </c>
      <c r="N68" s="47">
        <f t="array" ref="N68">SUM(IF((Tabela_GM_PEDIDOS_2017_FIM[MOEDA]=$E68)*(Tabela_GM_PEDIDOS_2017_FIM[FILIAL]=$D$59)*(Tabela_GM_PEDIDOS_2017_FIM[TIPO_GRUPO]=N$10),Tabela_GM_PEDIDOS_2017_FIM[VALOR_PAGAR]+Tabela_GM_PEDIDOS_2017_FIM[VC_FINANCEIRA]))*N66/1000</f>
        <v>89.867104882251567</v>
      </c>
      <c r="O68" s="47">
        <f t="array" ref="O68">SUM(IF((Tabela_GM_PEDIDOS_2017_FIM[MOEDA]=$E68)*(Tabela_GM_PEDIDOS_2017_FIM[FILIAL]=$D$59)*(Tabela_GM_PEDIDOS_2017_FIM[TIPO_GRUPO]=O$10),Tabela_GM_PEDIDOS_2017_FIM[VALOR_PAGAR]+Tabela_GM_PEDIDOS_2017_FIM[VC_FINANCEIRA]))*O66/1000</f>
        <v>0</v>
      </c>
      <c r="P68" s="47">
        <f t="array" ref="P68">SUM(F68:O68)</f>
        <v>214.71914968408959</v>
      </c>
      <c r="Q68" s="48"/>
    </row>
    <row r="69" spans="1:17" ht="15.75" hidden="1" outlineLevel="1" thickBot="1" x14ac:dyDescent="0.3">
      <c r="A69" s="27"/>
      <c r="B69" s="320"/>
      <c r="C69" s="35"/>
      <c r="D69" s="46" t="s">
        <v>7687</v>
      </c>
      <c r="E69" s="47" t="s">
        <v>16</v>
      </c>
      <c r="F69" s="47">
        <f t="array" ref="F69">SUM(IF((Tabela_GM_PEDIDOS_2017_FIM[MOEDA]=$E69)*(Tabela_GM_PEDIDOS_2017_FIM[FILIAL]=$D$59)*(Tabela_GM_PEDIDOS_2017_FIM[TIPO_GRUPO]=F$10)*(Tabela_GM_PEDIDOS_2017_FIM[PAGO]="S"),Tabela_GM_PEDIDOS_2017_FIM[VALOR_PAGAR]+Tabela_GM_PEDIDOS_2017_FIM[VC_FINANCEIRA]))*F66/1000</f>
        <v>0</v>
      </c>
      <c r="G69" s="47">
        <f t="array" ref="G69">SUM(IF((Tabela_GM_PEDIDOS_2017_FIM[MOEDA]=$E69)*(Tabela_GM_PEDIDOS_2017_FIM[FILIAL]=$D$59)*(Tabela_GM_PEDIDOS_2017_FIM[TIPO_GRUPO]=G$10)*(Tabela_GM_PEDIDOS_2017_FIM[PAGO]="S"),Tabela_GM_PEDIDOS_2017_FIM[VALOR_PAGAR]+Tabela_GM_PEDIDOS_2017_FIM[VC_FINANCEIRA]))*G66/1000</f>
        <v>172.31156519241816</v>
      </c>
      <c r="H69" s="47">
        <f t="array" ref="H69">SUM(IF((Tabela_GM_PEDIDOS_2017_FIM[MOEDA]=$E69)*(Tabela_GM_PEDIDOS_2017_FIM[FILIAL]=$D$59)*(Tabela_GM_PEDIDOS_2017_FIM[TIPO_GRUPO]=H$10)*(Tabela_GM_PEDIDOS_2017_FIM[PAGO]="S"),Tabela_GM_PEDIDOS_2017_FIM[VALOR_PAGAR]+Tabela_GM_PEDIDOS_2017_FIM[VC_FINANCEIRA]))*H66/1000</f>
        <v>0</v>
      </c>
      <c r="I69" s="47">
        <f t="array" ref="I69">SUM(IF((Tabela_GM_PEDIDOS_2017_FIM[MOEDA]=$E69)*(Tabela_GM_PEDIDOS_2017_FIM[FILIAL]=$D$59)*(Tabela_GM_PEDIDOS_2017_FIM[TIPO_GRUPO]=I$10)*(Tabela_GM_PEDIDOS_2017_FIM[PAGO]="S"),Tabela_GM_PEDIDOS_2017_FIM[VALOR_PAGAR]+Tabela_GM_PEDIDOS_2017_FIM[VC_FINANCEIRA]))*I66/1000</f>
        <v>0</v>
      </c>
      <c r="J69" s="47">
        <f t="array" ref="J69">SUM(IF((Tabela_GM_PEDIDOS_2017_FIM[MOEDA]=$E69)*(Tabela_GM_PEDIDOS_2017_FIM[FILIAL]=$D$59)*(Tabela_GM_PEDIDOS_2017_FIM[TIPO_GRUPO]=J$10)*(Tabela_GM_PEDIDOS_2017_FIM[PAGO]="S"),Tabela_GM_PEDIDOS_2017_FIM[VALOR_PAGAR]+Tabela_GM_PEDIDOS_2017_FIM[VC_FINANCEIRA]))*J66/1000</f>
        <v>0</v>
      </c>
      <c r="K69" s="47">
        <f t="array" ref="K69">SUM(IF((Tabela_GM_PEDIDOS_2017_FIM[MOEDA]=$E69)*(Tabela_GM_PEDIDOS_2017_FIM[FILIAL]=$D$59)*(Tabela_GM_PEDIDOS_2017_FIM[TIPO_GRUPO]=K$10)*(Tabela_GM_PEDIDOS_2017_FIM[PAGO]="S"),Tabela_GM_PEDIDOS_2017_FIM[VALOR_PAGAR]+Tabela_GM_PEDIDOS_2017_FIM[VC_FINANCEIRA]))*K66/1000</f>
        <v>0</v>
      </c>
      <c r="L69" s="47">
        <f t="array" ref="L69">SUM(IF((Tabela_GM_PEDIDOS_2017_FIM[MOEDA]=$E69)*(Tabela_GM_PEDIDOS_2017_FIM[FILIAL]=$D$59)*(Tabela_GM_PEDIDOS_2017_FIM[TIPO_GRUPO]=L$10)*(Tabela_GM_PEDIDOS_2017_FIM[PAGO]="S"),Tabela_GM_PEDIDOS_2017_FIM[VALOR_PAGAR]+Tabela_GM_PEDIDOS_2017_FIM[VC_FINANCEIRA]))*L66/1000</f>
        <v>0</v>
      </c>
      <c r="M69" s="47">
        <f t="array" ref="M69">SUM(IF((Tabela_GM_PEDIDOS_2017_FIM[MOEDA]=$E69)*(Tabela_GM_PEDIDOS_2017_FIM[FILIAL]=$D$59)*(Tabela_GM_PEDIDOS_2017_FIM[TIPO_GRUPO]=M$10)*(Tabela_GM_PEDIDOS_2017_FIM[PAGO]="S"),Tabela_GM_PEDIDOS_2017_FIM[VALOR_PAGAR]+Tabela_GM_PEDIDOS_2017_FIM[VC_FINANCEIRA]))*M66/1000</f>
        <v>0</v>
      </c>
      <c r="N69" s="47">
        <f t="array" ref="N69">SUM(IF((Tabela_GM_PEDIDOS_2017_FIM[MOEDA]=$E69)*(Tabela_GM_PEDIDOS_2017_FIM[FILIAL]=$D$59)*(Tabela_GM_PEDIDOS_2017_FIM[TIPO_GRUPO]=N$10)*(Tabela_GM_PEDIDOS_2017_FIM[PAGO]="S"),Tabela_GM_PEDIDOS_2017_FIM[VALOR_PAGAR]+Tabela_GM_PEDIDOS_2017_FIM[VC_FINANCEIRA]))*N66/1000</f>
        <v>0</v>
      </c>
      <c r="O69" s="47">
        <f t="array" ref="O69">SUM(IF((Tabela_GM_PEDIDOS_2017_FIM[MOEDA]=$E69)*(Tabela_GM_PEDIDOS_2017_FIM[FILIAL]=$D$59)*(Tabela_GM_PEDIDOS_2017_FIM[TIPO_GRUPO]=O$10)*(Tabela_GM_PEDIDOS_2017_FIM[PAGO]="S"),Tabela_GM_PEDIDOS_2017_FIM[VALOR_PAGAR]+Tabela_GM_PEDIDOS_2017_FIM[VC_FINANCEIRA]))*O66/1000</f>
        <v>0</v>
      </c>
      <c r="P69" s="47">
        <f t="array" ref="P69">SUM(F69:O69)</f>
        <v>172.31156519241816</v>
      </c>
      <c r="Q69" s="49"/>
    </row>
    <row r="70" spans="1:17" ht="15.75" hidden="1" outlineLevel="1" thickBot="1" x14ac:dyDescent="0.3">
      <c r="A70" s="27"/>
      <c r="B70" s="320"/>
      <c r="C70" s="35"/>
      <c r="D70" s="46" t="s">
        <v>7688</v>
      </c>
      <c r="E70" s="47" t="s">
        <v>16</v>
      </c>
      <c r="F70" s="50">
        <f t="array" ref="F70">SUM(IF((Tabela_GM_PEDIDOS_2017_FIM[MOEDA]=$E70)*(Tabela_GM_PEDIDOS_2017_FIM[FILIAL]=$D$59)*(Tabela_GM_PEDIDOS_2017_FIM[TIPO_GRUPO]=F$10)*(Tabela_GM_PEDIDOS_2017_FIM[PAGO]&lt;&gt;"S"),Tabela_GM_PEDIDOS_2017_FIM[VL_PEDIDO_COMPRA]))*F66/1000</f>
        <v>172.18625146467545</v>
      </c>
      <c r="G70" s="50">
        <f t="array" ref="G70">SUM(IF((Tabela_GM_PEDIDOS_2017_FIM[MOEDA]=$E70)*(Tabela_GM_PEDIDOS_2017_FIM[FILIAL]=$D$59)*(Tabela_GM_PEDIDOS_2017_FIM[TIPO_GRUPO]=G$10)*(Tabela_GM_PEDIDOS_2017_FIM[PAGO]&lt;&gt;"S"),Tabela_GM_PEDIDOS_2017_FIM[VL_PEDIDO_COMPRA]))*G66/1000</f>
        <v>168.29389316484779</v>
      </c>
      <c r="H70" s="50">
        <f t="array" ref="H70">SUM(IF((Tabela_GM_PEDIDOS_2017_FIM[MOEDA]=$E70)*(Tabela_GM_PEDIDOS_2017_FIM[FILIAL]=$D$59)*(Tabela_GM_PEDIDOS_2017_FIM[TIPO_GRUPO]=H$10)*(Tabela_GM_PEDIDOS_2017_FIM[PAGO]&lt;&gt;"S"),Tabela_GM_PEDIDOS_2017_FIM[VL_PEDIDO_COMPRA]))*H66/1000</f>
        <v>0</v>
      </c>
      <c r="I70" s="50">
        <f t="array" ref="I70">SUM(IF((Tabela_GM_PEDIDOS_2017_FIM[MOEDA]=$E70)*(Tabela_GM_PEDIDOS_2017_FIM[FILIAL]=$D$59)*(Tabela_GM_PEDIDOS_2017_FIM[TIPO_GRUPO]=I$10)*(Tabela_GM_PEDIDOS_2017_FIM[PAGO]&lt;&gt;"S"),Tabela_GM_PEDIDOS_2017_FIM[VL_PEDIDO_COMPRA]))*I66/1000</f>
        <v>0</v>
      </c>
      <c r="J70" s="50">
        <f t="array" ref="J70">SUM(IF((Tabela_GM_PEDIDOS_2017_FIM[MOEDA]=$E70)*(Tabela_GM_PEDIDOS_2017_FIM[FILIAL]=$D$59)*(Tabela_GM_PEDIDOS_2017_FIM[TIPO_GRUPO]=J$10)*(Tabela_GM_PEDIDOS_2017_FIM[PAGO]&lt;&gt;"S"),Tabela_GM_PEDIDOS_2017_FIM[VL_PEDIDO_COMPRA]))*J66/1000</f>
        <v>0</v>
      </c>
      <c r="K70" s="50">
        <f t="array" ref="K70">SUM(IF((Tabela_GM_PEDIDOS_2017_FIM[MOEDA]=$E70)*(Tabela_GM_PEDIDOS_2017_FIM[FILIAL]=$D$59)*(Tabela_GM_PEDIDOS_2017_FIM[TIPO_GRUPO]=K$10)*(Tabela_GM_PEDIDOS_2017_FIM[PAGO]&lt;&gt;"S"),Tabela_GM_PEDIDOS_2017_FIM[VL_PEDIDO_COMPRA]))*K66/1000</f>
        <v>0</v>
      </c>
      <c r="L70" s="50">
        <f t="array" ref="L70">SUM(IF((Tabela_GM_PEDIDOS_2017_FIM[MOEDA]=$E70)*(Tabela_GM_PEDIDOS_2017_FIM[FILIAL]=$D$59)*(Tabela_GM_PEDIDOS_2017_FIM[TIPO_GRUPO]=L$10)*(Tabela_GM_PEDIDOS_2017_FIM[PAGO]&lt;&gt;"S"),Tabela_GM_PEDIDOS_2017_FIM[VL_PEDIDO_COMPRA]))*L66/1000</f>
        <v>0</v>
      </c>
      <c r="M70" s="50">
        <f t="array" ref="M70">SUM(IF((Tabela_GM_PEDIDOS_2017_FIM[MOEDA]=$E70)*(Tabela_GM_PEDIDOS_2017_FIM[FILIAL]=$D$59)*(Tabela_GM_PEDIDOS_2017_FIM[TIPO_GRUPO]=M$10)*(Tabela_GM_PEDIDOS_2017_FIM[PAGO]&lt;&gt;"S"),Tabela_GM_PEDIDOS_2017_FIM[VL_PEDIDO_COMPRA]))*M66/1000</f>
        <v>0</v>
      </c>
      <c r="N70" s="50">
        <f t="array" ref="N70">SUM(IF((Tabela_GM_PEDIDOS_2017_FIM[MOEDA]=$E70)*(Tabela_GM_PEDIDOS_2017_FIM[FILIAL]=$D$59)*(Tabela_GM_PEDIDOS_2017_FIM[TIPO_GRUPO]=N$10)*(Tabela_GM_PEDIDOS_2017_FIM[PAGO]&lt;&gt;"S"),Tabela_GM_PEDIDOS_2017_FIM[VL_PEDIDO_COMPRA]))*N66/1000</f>
        <v>0</v>
      </c>
      <c r="O70" s="50">
        <f t="array" ref="O70">SUM(IF((Tabela_GM_PEDIDOS_2017_FIM[MOEDA]=$E70)*(Tabela_GM_PEDIDOS_2017_FIM[FILIAL]=$D$59)*(Tabela_GM_PEDIDOS_2017_FIM[TIPO_GRUPO]=O$10)*(Tabela_GM_PEDIDOS_2017_FIM[PAGO]&lt;&gt;"S"),Tabela_GM_PEDIDOS_2017_FIM[VL_PEDIDO_COMPRA]))*O66/1000</f>
        <v>0</v>
      </c>
      <c r="P70" s="50">
        <f>SUM(F70:O70)</f>
        <v>340.48014462952324</v>
      </c>
      <c r="Q70" s="48"/>
    </row>
    <row r="71" spans="1:17" ht="15.75" collapsed="1" thickBot="1" x14ac:dyDescent="0.3">
      <c r="A71" s="27"/>
      <c r="B71" s="320"/>
      <c r="C71" s="35"/>
      <c r="D71" s="43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5"/>
    </row>
    <row r="72" spans="1:17" ht="15.75" thickBot="1" x14ac:dyDescent="0.3">
      <c r="A72" s="27"/>
      <c r="B72" s="320"/>
      <c r="C72" s="35"/>
      <c r="D72" s="39" t="s">
        <v>7786</v>
      </c>
      <c r="E72" s="40"/>
      <c r="F72" s="41">
        <f t="array" ref="F72">SUM(IF((ProjecaoAreas!$H$6:$H$46=ResumoCusto!$D$59)*(ProjecaoAreas!$I$6:$I$46=ResumoCusto!$D73),ProjecaoAreas!$L$6:$L$46))</f>
        <v>0.35496840896036763</v>
      </c>
      <c r="G72" s="41">
        <f t="array" ref="G72">SUM(IF((ProjecaoAreas!$H$6:$H$46=ResumoCusto!$D$59)*(ProjecaoAreas!$I$6:$I$46=ResumoCusto!$D73),ProjecaoAreas!$L$6:$L$46))</f>
        <v>0.35496840896036763</v>
      </c>
      <c r="H72" s="41">
        <f t="array" ref="H72">SUM(IF((ProjecaoAreas!$H$6:$H$46=ResumoCusto!$D$59)*(ProjecaoAreas!$I$6:$I$46=ResumoCusto!$D73),ProjecaoAreas!$L$6:$L$46))</f>
        <v>0.35496840896036763</v>
      </c>
      <c r="I72" s="41">
        <f t="array" ref="I72">SUM(IF((ProjecaoAreas!$H$6:$H$46=ResumoCusto!$D$59)*(ProjecaoAreas!$I$6:$I$46=ResumoCusto!$D73),ProjecaoAreas!$L$6:$L$46))</f>
        <v>0.35496840896036763</v>
      </c>
      <c r="J72" s="41">
        <f t="array" ref="J72">SUM(IF((ProjecaoAreas!$H$6:$H$46=ResumoCusto!$D$59)*(ProjecaoAreas!$I$6:$I$46=ResumoCusto!$D73),ProjecaoAreas!$L$6:$L$46))</f>
        <v>0.35496840896036763</v>
      </c>
      <c r="K72" s="41">
        <f t="array" ref="K72">SUM(IF((ProjecaoAreas!$H$6:$H$46=ResumoCusto!$D$59)*(ProjecaoAreas!$I$6:$I$46=ResumoCusto!$D73),ProjecaoAreas!$L$6:$L$46))</f>
        <v>0.35496840896036763</v>
      </c>
      <c r="L72" s="41">
        <f t="array" ref="L72">SUM(IF((ProjecaoAreas!$H$6:$H$46=ResumoCusto!$D$59)*(ProjecaoAreas!$I$6:$I$46=ResumoCusto!$D73),ProjecaoAreas!$L$6:$L$46))</f>
        <v>0.35496840896036763</v>
      </c>
      <c r="M72" s="41">
        <f t="array" ref="M72">SUM(IF((ProjecaoAreas!$H$6:$H$46=ResumoCusto!$D$59)*(ProjecaoAreas!$I$6:$I$46=ResumoCusto!$D73),ProjecaoAreas!$L$6:$L$46))</f>
        <v>0.35496840896036763</v>
      </c>
      <c r="N72" s="41">
        <f t="array" ref="N72">SUM(IF((ProjecaoAreas!$H$6:$H$46=ResumoCusto!$D$59)*(ProjecaoAreas!$I$6:$I$46=ResumoCusto!$D73),ProjecaoAreas!$L$6:$L$46))</f>
        <v>0.35496840896036763</v>
      </c>
      <c r="O72" s="41">
        <f t="array" ref="O72">SUM(IF((ProjecaoAreas!$H$6:$H$46=ResumoCusto!$D$59)*(ProjecaoAreas!$I$6:$I$46=ResumoCusto!$D73),ProjecaoAreas!$L$6:$L$46))</f>
        <v>0.35496840896036763</v>
      </c>
      <c r="P72" s="40"/>
      <c r="Q72" s="42"/>
    </row>
    <row r="73" spans="1:17" ht="15.75" thickBot="1" x14ac:dyDescent="0.3">
      <c r="A73" s="27"/>
      <c r="B73" s="320"/>
      <c r="C73" s="35"/>
      <c r="D73" s="43" t="s">
        <v>7663</v>
      </c>
      <c r="E73" s="44">
        <f t="array" ref="E73">SUM(IF((ProjecaoAreas!$H$6:$H$46=ResumoCusto!$D$59)*(ProjecaoAreas!$I$6:$I$46=ResumoCusto!$D73),ProjecaoAreas!$J$6:$J$46))</f>
        <v>5150</v>
      </c>
      <c r="F73" s="44">
        <f>F$59*F72</f>
        <v>2493.6491738954855</v>
      </c>
      <c r="G73" s="44">
        <f t="shared" ref="G73:O73" si="45">G$59*G72</f>
        <v>2042.3047355695348</v>
      </c>
      <c r="H73" s="44">
        <f t="shared" si="45"/>
        <v>425.96209075244116</v>
      </c>
      <c r="I73" s="44">
        <f t="shared" si="45"/>
        <v>185.302396682249</v>
      </c>
      <c r="J73" s="44">
        <f t="shared" si="45"/>
        <v>851.92418150488231</v>
      </c>
      <c r="K73" s="44">
        <f t="shared" si="45"/>
        <v>359.58299827685244</v>
      </c>
      <c r="L73" s="44">
        <f t="shared" si="45"/>
        <v>458.56593911545087</v>
      </c>
      <c r="M73" s="44">
        <f t="shared" si="45"/>
        <v>177.48420448018382</v>
      </c>
      <c r="N73" s="44">
        <f t="shared" si="45"/>
        <v>213.60719545089032</v>
      </c>
      <c r="O73" s="44">
        <f t="shared" si="45"/>
        <v>390.4652498564044</v>
      </c>
      <c r="P73" s="44">
        <f>SUM(F73:O73)</f>
        <v>7598.8481655843771</v>
      </c>
      <c r="Q73" s="45">
        <f>P73/E73*1000</f>
        <v>1475.5044981717238</v>
      </c>
    </row>
    <row r="74" spans="1:17" ht="15.75" hidden="1" outlineLevel="1" thickBot="1" x14ac:dyDescent="0.3">
      <c r="A74" s="27"/>
      <c r="B74" s="320"/>
      <c r="C74" s="35"/>
      <c r="D74" s="46" t="s">
        <v>7686</v>
      </c>
      <c r="E74" s="47" t="s">
        <v>27</v>
      </c>
      <c r="F74" s="47">
        <f t="array" ref="F74">SUM(IF((Tabela_GM_PEDIDOS_2017_FIM[MOEDA]=$E74)*(Tabela_GM_PEDIDOS_2017_FIM[FILIAL]=$D$59)*(Tabela_GM_PEDIDOS_2017_FIM[TIPO_GRUPO]=F$10),Tabela_GM_PEDIDOS_2017_FIM[VALOR_PAGAR]+Tabela_GM_PEDIDOS_2017_FIM[VC_FINANCEIRA]))*F72/1000</f>
        <v>0</v>
      </c>
      <c r="G74" s="47">
        <f t="array" ref="G74">SUM(IF((Tabela_GM_PEDIDOS_2017_FIM[MOEDA]=$E74)*(Tabela_GM_PEDIDOS_2017_FIM[FILIAL]=$D$59)*(Tabela_GM_PEDIDOS_2017_FIM[TIPO_GRUPO]=G$10),Tabela_GM_PEDIDOS_2017_FIM[VALOR_PAGAR]+Tabela_GM_PEDIDOS_2017_FIM[VC_FINANCEIRA]))*G72/1000</f>
        <v>157.66933543940266</v>
      </c>
      <c r="H74" s="47">
        <f t="array" ref="H74">SUM(IF((Tabela_GM_PEDIDOS_2017_FIM[MOEDA]=$E74)*(Tabela_GM_PEDIDOS_2017_FIM[FILIAL]=$D$59)*(Tabela_GM_PEDIDOS_2017_FIM[TIPO_GRUPO]=H$10),Tabela_GM_PEDIDOS_2017_FIM[VALOR_PAGAR]+Tabela_GM_PEDIDOS_2017_FIM[VC_FINANCEIRA]))*H72/1000</f>
        <v>0</v>
      </c>
      <c r="I74" s="47">
        <f t="array" ref="I74">SUM(IF((Tabela_GM_PEDIDOS_2017_FIM[MOEDA]=$E74)*(Tabela_GM_PEDIDOS_2017_FIM[FILIAL]=$D$59)*(Tabela_GM_PEDIDOS_2017_FIM[TIPO_GRUPO]=I$10),Tabela_GM_PEDIDOS_2017_FIM[VALOR_PAGAR]+Tabela_GM_PEDIDOS_2017_FIM[VC_FINANCEIRA]))*I72/1000</f>
        <v>0</v>
      </c>
      <c r="J74" s="47">
        <f t="array" ref="J74">SUM(IF((Tabela_GM_PEDIDOS_2017_FIM[MOEDA]=$E74)*(Tabela_GM_PEDIDOS_2017_FIM[FILIAL]=$D$59)*(Tabela_GM_PEDIDOS_2017_FIM[TIPO_GRUPO]=J$10),Tabela_GM_PEDIDOS_2017_FIM[VALOR_PAGAR]+Tabela_GM_PEDIDOS_2017_FIM[VC_FINANCEIRA]))*J72/1000</f>
        <v>0</v>
      </c>
      <c r="K74" s="47">
        <f t="array" ref="K74">SUM(IF((Tabela_GM_PEDIDOS_2017_FIM[MOEDA]=$E74)*(Tabela_GM_PEDIDOS_2017_FIM[FILIAL]=$D$59)*(Tabela_GM_PEDIDOS_2017_FIM[TIPO_GRUPO]=K$10),Tabela_GM_PEDIDOS_2017_FIM[VALOR_PAGAR]+Tabela_GM_PEDIDOS_2017_FIM[VC_FINANCEIRA]))*K72/1000</f>
        <v>0</v>
      </c>
      <c r="L74" s="47">
        <f t="array" ref="L74">SUM(IF((Tabela_GM_PEDIDOS_2017_FIM[MOEDA]=$E74)*(Tabela_GM_PEDIDOS_2017_FIM[FILIAL]=$D$59)*(Tabela_GM_PEDIDOS_2017_FIM[TIPO_GRUPO]=L$10),Tabela_GM_PEDIDOS_2017_FIM[VALOR_PAGAR]+Tabela_GM_PEDIDOS_2017_FIM[VC_FINANCEIRA]))*L72/1000</f>
        <v>139.09437105112005</v>
      </c>
      <c r="M74" s="47">
        <f t="array" ref="M74">SUM(IF((Tabela_GM_PEDIDOS_2017_FIM[MOEDA]=$E74)*(Tabela_GM_PEDIDOS_2017_FIM[FILIAL]=$D$59)*(Tabela_GM_PEDIDOS_2017_FIM[TIPO_GRUPO]=M$10),Tabela_GM_PEDIDOS_2017_FIM[VALOR_PAGAR]+Tabela_GM_PEDIDOS_2017_FIM[VC_FINANCEIRA]))*M72/1000</f>
        <v>0</v>
      </c>
      <c r="N74" s="47">
        <f t="array" ref="N74">SUM(IF((Tabela_GM_PEDIDOS_2017_FIM[MOEDA]=$E74)*(Tabela_GM_PEDIDOS_2017_FIM[FILIAL]=$D$59)*(Tabela_GM_PEDIDOS_2017_FIM[TIPO_GRUPO]=N$10),Tabela_GM_PEDIDOS_2017_FIM[VALOR_PAGAR]+Tabela_GM_PEDIDOS_2017_FIM[VC_FINANCEIRA]))*N72/1000</f>
        <v>213.60719545089029</v>
      </c>
      <c r="O74" s="47">
        <f t="array" ref="O74">SUM(IF((Tabela_GM_PEDIDOS_2017_FIM[MOEDA]=$E74)*(Tabela_GM_PEDIDOS_2017_FIM[FILIAL]=$D$59)*(Tabela_GM_PEDIDOS_2017_FIM[TIPO_GRUPO]=O$10),Tabela_GM_PEDIDOS_2017_FIM[VALOR_PAGAR]+Tabela_GM_PEDIDOS_2017_FIM[VC_FINANCEIRA]))*O72/1000</f>
        <v>0</v>
      </c>
      <c r="P74" s="47">
        <f t="array" ref="P74">SUM(F74:O74)</f>
        <v>510.37090194141302</v>
      </c>
      <c r="Q74" s="48"/>
    </row>
    <row r="75" spans="1:17" ht="15.75" hidden="1" outlineLevel="1" thickBot="1" x14ac:dyDescent="0.3">
      <c r="A75" s="27"/>
      <c r="B75" s="320"/>
      <c r="C75" s="35"/>
      <c r="D75" s="46" t="s">
        <v>7687</v>
      </c>
      <c r="E75" s="47" t="s">
        <v>16</v>
      </c>
      <c r="F75" s="47">
        <f t="array" ref="F75">SUM(IF((Tabela_GM_PEDIDOS_2017_FIM[MOEDA]=$E75)*(Tabela_GM_PEDIDOS_2017_FIM[FILIAL]=$D$59)*(Tabela_GM_PEDIDOS_2017_FIM[TIPO_GRUPO]=F$10)*(Tabela_GM_PEDIDOS_2017_FIM[PAGO]="S"),Tabela_GM_PEDIDOS_2017_FIM[VALOR_PAGAR]+Tabela_GM_PEDIDOS_2017_FIM[VC_FINANCEIRA]))*F72/1000</f>
        <v>0</v>
      </c>
      <c r="G75" s="47">
        <f t="array" ref="G75">SUM(IF((Tabela_GM_PEDIDOS_2017_FIM[MOEDA]=$E75)*(Tabela_GM_PEDIDOS_2017_FIM[FILIAL]=$D$59)*(Tabela_GM_PEDIDOS_2017_FIM[TIPO_GRUPO]=G$10)*(Tabela_GM_PEDIDOS_2017_FIM[PAGO]="S"),Tabela_GM_PEDIDOS_2017_FIM[VALOR_PAGAR]+Tabela_GM_PEDIDOS_2017_FIM[VC_FINANCEIRA]))*G72/1000</f>
        <v>409.57133572659399</v>
      </c>
      <c r="H75" s="47">
        <f t="array" ref="H75">SUM(IF((Tabela_GM_PEDIDOS_2017_FIM[MOEDA]=$E75)*(Tabela_GM_PEDIDOS_2017_FIM[FILIAL]=$D$59)*(Tabela_GM_PEDIDOS_2017_FIM[TIPO_GRUPO]=H$10)*(Tabela_GM_PEDIDOS_2017_FIM[PAGO]="S"),Tabela_GM_PEDIDOS_2017_FIM[VALOR_PAGAR]+Tabela_GM_PEDIDOS_2017_FIM[VC_FINANCEIRA]))*H72/1000</f>
        <v>0</v>
      </c>
      <c r="I75" s="47">
        <f t="array" ref="I75">SUM(IF((Tabela_GM_PEDIDOS_2017_FIM[MOEDA]=$E75)*(Tabela_GM_PEDIDOS_2017_FIM[FILIAL]=$D$59)*(Tabela_GM_PEDIDOS_2017_FIM[TIPO_GRUPO]=I$10)*(Tabela_GM_PEDIDOS_2017_FIM[PAGO]="S"),Tabela_GM_PEDIDOS_2017_FIM[VALOR_PAGAR]+Tabela_GM_PEDIDOS_2017_FIM[VC_FINANCEIRA]))*I72/1000</f>
        <v>0</v>
      </c>
      <c r="J75" s="47">
        <f t="array" ref="J75">SUM(IF((Tabela_GM_PEDIDOS_2017_FIM[MOEDA]=$E75)*(Tabela_GM_PEDIDOS_2017_FIM[FILIAL]=$D$59)*(Tabela_GM_PEDIDOS_2017_FIM[TIPO_GRUPO]=J$10)*(Tabela_GM_PEDIDOS_2017_FIM[PAGO]="S"),Tabela_GM_PEDIDOS_2017_FIM[VALOR_PAGAR]+Tabela_GM_PEDIDOS_2017_FIM[VC_FINANCEIRA]))*J72/1000</f>
        <v>0</v>
      </c>
      <c r="K75" s="47">
        <f t="array" ref="K75">SUM(IF((Tabela_GM_PEDIDOS_2017_FIM[MOEDA]=$E75)*(Tabela_GM_PEDIDOS_2017_FIM[FILIAL]=$D$59)*(Tabela_GM_PEDIDOS_2017_FIM[TIPO_GRUPO]=K$10)*(Tabela_GM_PEDIDOS_2017_FIM[PAGO]="S"),Tabela_GM_PEDIDOS_2017_FIM[VALOR_PAGAR]+Tabela_GM_PEDIDOS_2017_FIM[VC_FINANCEIRA]))*K72/1000</f>
        <v>0</v>
      </c>
      <c r="L75" s="47">
        <f t="array" ref="L75">SUM(IF((Tabela_GM_PEDIDOS_2017_FIM[MOEDA]=$E75)*(Tabela_GM_PEDIDOS_2017_FIM[FILIAL]=$D$59)*(Tabela_GM_PEDIDOS_2017_FIM[TIPO_GRUPO]=L$10)*(Tabela_GM_PEDIDOS_2017_FIM[PAGO]="S"),Tabela_GM_PEDIDOS_2017_FIM[VALOR_PAGAR]+Tabela_GM_PEDIDOS_2017_FIM[VC_FINANCEIRA]))*L72/1000</f>
        <v>0</v>
      </c>
      <c r="M75" s="47">
        <f t="array" ref="M75">SUM(IF((Tabela_GM_PEDIDOS_2017_FIM[MOEDA]=$E75)*(Tabela_GM_PEDIDOS_2017_FIM[FILIAL]=$D$59)*(Tabela_GM_PEDIDOS_2017_FIM[TIPO_GRUPO]=M$10)*(Tabela_GM_PEDIDOS_2017_FIM[PAGO]="S"),Tabela_GM_PEDIDOS_2017_FIM[VALOR_PAGAR]+Tabela_GM_PEDIDOS_2017_FIM[VC_FINANCEIRA]))*M72/1000</f>
        <v>0</v>
      </c>
      <c r="N75" s="47">
        <f t="array" ref="N75">SUM(IF((Tabela_GM_PEDIDOS_2017_FIM[MOEDA]=$E75)*(Tabela_GM_PEDIDOS_2017_FIM[FILIAL]=$D$59)*(Tabela_GM_PEDIDOS_2017_FIM[TIPO_GRUPO]=N$10)*(Tabela_GM_PEDIDOS_2017_FIM[PAGO]="S"),Tabela_GM_PEDIDOS_2017_FIM[VALOR_PAGAR]+Tabela_GM_PEDIDOS_2017_FIM[VC_FINANCEIRA]))*N72/1000</f>
        <v>0</v>
      </c>
      <c r="O75" s="47">
        <f t="array" ref="O75">SUM(IF((Tabela_GM_PEDIDOS_2017_FIM[MOEDA]=$E75)*(Tabela_GM_PEDIDOS_2017_FIM[FILIAL]=$D$59)*(Tabela_GM_PEDIDOS_2017_FIM[TIPO_GRUPO]=O$10)*(Tabela_GM_PEDIDOS_2017_FIM[PAGO]="S"),Tabela_GM_PEDIDOS_2017_FIM[VALOR_PAGAR]+Tabela_GM_PEDIDOS_2017_FIM[VC_FINANCEIRA]))*O72/1000</f>
        <v>0</v>
      </c>
      <c r="P75" s="47">
        <f t="array" ref="P75">SUM(F75:O75)</f>
        <v>409.57133572659399</v>
      </c>
      <c r="Q75" s="49"/>
    </row>
    <row r="76" spans="1:17" ht="15.75" hidden="1" outlineLevel="1" thickBot="1" x14ac:dyDescent="0.3">
      <c r="A76" s="27"/>
      <c r="B76" s="320"/>
      <c r="C76" s="35"/>
      <c r="D76" s="46" t="s">
        <v>7688</v>
      </c>
      <c r="E76" s="47" t="s">
        <v>16</v>
      </c>
      <c r="F76" s="50">
        <f t="array" ref="F76">SUM(IF((Tabela_GM_PEDIDOS_2017_FIM[MOEDA]=$E76)*(Tabela_GM_PEDIDOS_2017_FIM[FILIAL]=$D$59)*(Tabela_GM_PEDIDOS_2017_FIM[TIPO_GRUPO]=F$10)*(Tabela_GM_PEDIDOS_2017_FIM[PAGO]&lt;&gt;"S"),Tabela_GM_PEDIDOS_2017_FIM[VL_PEDIDO_COMPRA]))*F72/1000</f>
        <v>409.27347463526712</v>
      </c>
      <c r="G76" s="50">
        <f t="array" ref="G76">SUM(IF((Tabela_GM_PEDIDOS_2017_FIM[MOEDA]=$E76)*(Tabela_GM_PEDIDOS_2017_FIM[FILIAL]=$D$59)*(Tabela_GM_PEDIDOS_2017_FIM[TIPO_GRUPO]=G$10)*(Tabela_GM_PEDIDOS_2017_FIM[PAGO]&lt;&gt;"S"),Tabela_GM_PEDIDOS_2017_FIM[VL_PEDIDO_COMPRA]))*G72/1000</f>
        <v>400.02163836875366</v>
      </c>
      <c r="H76" s="50">
        <f t="array" ref="H76">SUM(IF((Tabela_GM_PEDIDOS_2017_FIM[MOEDA]=$E76)*(Tabela_GM_PEDIDOS_2017_FIM[FILIAL]=$D$59)*(Tabela_GM_PEDIDOS_2017_FIM[TIPO_GRUPO]=H$10)*(Tabela_GM_PEDIDOS_2017_FIM[PAGO]&lt;&gt;"S"),Tabela_GM_PEDIDOS_2017_FIM[VL_PEDIDO_COMPRA]))*H72/1000</f>
        <v>0</v>
      </c>
      <c r="I76" s="50">
        <f t="array" ref="I76">SUM(IF((Tabela_GM_PEDIDOS_2017_FIM[MOEDA]=$E76)*(Tabela_GM_PEDIDOS_2017_FIM[FILIAL]=$D$59)*(Tabela_GM_PEDIDOS_2017_FIM[TIPO_GRUPO]=I$10)*(Tabela_GM_PEDIDOS_2017_FIM[PAGO]&lt;&gt;"S"),Tabela_GM_PEDIDOS_2017_FIM[VL_PEDIDO_COMPRA]))*I72/1000</f>
        <v>0</v>
      </c>
      <c r="J76" s="50">
        <f t="array" ref="J76">SUM(IF((Tabela_GM_PEDIDOS_2017_FIM[MOEDA]=$E76)*(Tabela_GM_PEDIDOS_2017_FIM[FILIAL]=$D$59)*(Tabela_GM_PEDIDOS_2017_FIM[TIPO_GRUPO]=J$10)*(Tabela_GM_PEDIDOS_2017_FIM[PAGO]&lt;&gt;"S"),Tabela_GM_PEDIDOS_2017_FIM[VL_PEDIDO_COMPRA]))*J72/1000</f>
        <v>0</v>
      </c>
      <c r="K76" s="50">
        <f t="array" ref="K76">SUM(IF((Tabela_GM_PEDIDOS_2017_FIM[MOEDA]=$E76)*(Tabela_GM_PEDIDOS_2017_FIM[FILIAL]=$D$59)*(Tabela_GM_PEDIDOS_2017_FIM[TIPO_GRUPO]=K$10)*(Tabela_GM_PEDIDOS_2017_FIM[PAGO]&lt;&gt;"S"),Tabela_GM_PEDIDOS_2017_FIM[VL_PEDIDO_COMPRA]))*K72/1000</f>
        <v>0</v>
      </c>
      <c r="L76" s="50">
        <f t="array" ref="L76">SUM(IF((Tabela_GM_PEDIDOS_2017_FIM[MOEDA]=$E76)*(Tabela_GM_PEDIDOS_2017_FIM[FILIAL]=$D$59)*(Tabela_GM_PEDIDOS_2017_FIM[TIPO_GRUPO]=L$10)*(Tabela_GM_PEDIDOS_2017_FIM[PAGO]&lt;&gt;"S"),Tabela_GM_PEDIDOS_2017_FIM[VL_PEDIDO_COMPRA]))*L72/1000</f>
        <v>0</v>
      </c>
      <c r="M76" s="50">
        <f t="array" ref="M76">SUM(IF((Tabela_GM_PEDIDOS_2017_FIM[MOEDA]=$E76)*(Tabela_GM_PEDIDOS_2017_FIM[FILIAL]=$D$59)*(Tabela_GM_PEDIDOS_2017_FIM[TIPO_GRUPO]=M$10)*(Tabela_GM_PEDIDOS_2017_FIM[PAGO]&lt;&gt;"S"),Tabela_GM_PEDIDOS_2017_FIM[VL_PEDIDO_COMPRA]))*M72/1000</f>
        <v>0</v>
      </c>
      <c r="N76" s="50">
        <f t="array" ref="N76">SUM(IF((Tabela_GM_PEDIDOS_2017_FIM[MOEDA]=$E76)*(Tabela_GM_PEDIDOS_2017_FIM[FILIAL]=$D$59)*(Tabela_GM_PEDIDOS_2017_FIM[TIPO_GRUPO]=N$10)*(Tabela_GM_PEDIDOS_2017_FIM[PAGO]&lt;&gt;"S"),Tabela_GM_PEDIDOS_2017_FIM[VL_PEDIDO_COMPRA]))*N72/1000</f>
        <v>0</v>
      </c>
      <c r="O76" s="50">
        <f t="array" ref="O76">SUM(IF((Tabela_GM_PEDIDOS_2017_FIM[MOEDA]=$E76)*(Tabela_GM_PEDIDOS_2017_FIM[FILIAL]=$D$59)*(Tabela_GM_PEDIDOS_2017_FIM[TIPO_GRUPO]=O$10)*(Tabela_GM_PEDIDOS_2017_FIM[PAGO]&lt;&gt;"S"),Tabela_GM_PEDIDOS_2017_FIM[VL_PEDIDO_COMPRA]))*O72/1000</f>
        <v>0</v>
      </c>
      <c r="P76" s="50">
        <f>SUM(F76:O76)</f>
        <v>809.29511300402078</v>
      </c>
      <c r="Q76" s="48"/>
    </row>
    <row r="77" spans="1:17" ht="15.75" collapsed="1" thickBot="1" x14ac:dyDescent="0.3">
      <c r="A77" s="27"/>
      <c r="B77" s="320"/>
      <c r="C77" s="35"/>
      <c r="D77" s="43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5"/>
    </row>
    <row r="78" spans="1:17" ht="15.75" thickBot="1" x14ac:dyDescent="0.3">
      <c r="A78" s="27"/>
      <c r="B78" s="320"/>
      <c r="C78" s="35"/>
      <c r="D78" s="22"/>
      <c r="E78" s="23" t="s">
        <v>7684</v>
      </c>
      <c r="F78" s="24">
        <v>400</v>
      </c>
      <c r="G78" s="24">
        <v>0</v>
      </c>
      <c r="H78" s="24">
        <v>720</v>
      </c>
      <c r="I78" s="24">
        <v>0</v>
      </c>
      <c r="J78" s="24">
        <v>990</v>
      </c>
      <c r="K78" s="24">
        <v>800</v>
      </c>
      <c r="L78" s="24">
        <v>200</v>
      </c>
      <c r="M78" s="24">
        <v>290</v>
      </c>
      <c r="N78" s="24">
        <v>0</v>
      </c>
      <c r="O78" s="24">
        <v>380</v>
      </c>
      <c r="P78" s="25"/>
      <c r="Q78" s="26"/>
    </row>
    <row r="79" spans="1:17" ht="15.75" thickBot="1" x14ac:dyDescent="0.3">
      <c r="A79" s="27"/>
      <c r="B79" s="320"/>
      <c r="C79" s="35"/>
      <c r="D79" s="30"/>
      <c r="E79" s="31"/>
      <c r="F79" s="32"/>
      <c r="G79" s="32"/>
      <c r="H79" s="32"/>
      <c r="I79" s="32" t="s">
        <v>7785</v>
      </c>
      <c r="J79" s="32" t="s">
        <v>7785</v>
      </c>
      <c r="K79" s="32"/>
      <c r="L79" s="32"/>
      <c r="M79" s="32"/>
      <c r="N79" s="32"/>
      <c r="O79" s="33" t="s">
        <v>7784</v>
      </c>
      <c r="P79" s="32"/>
      <c r="Q79" s="34"/>
    </row>
    <row r="80" spans="1:17" ht="15.75" thickBot="1" x14ac:dyDescent="0.3">
      <c r="A80" s="27"/>
      <c r="B80" s="320"/>
      <c r="C80" s="35"/>
      <c r="D80" s="36" t="s">
        <v>55</v>
      </c>
      <c r="E80" s="37">
        <f t="array" ref="E80">SUM(IF((ProjecaoAreas!$B$28:$B$38=ResumoCusto!D80),ProjecaoAreas!$D$28:$D$38))</f>
        <v>5000</v>
      </c>
      <c r="F80" s="37">
        <f t="array" ref="F80">(SUM(IF((Tabela_GM_PEDIDOS_2017_FIM[TIPO_GRUPO]=ResumoCusto!F$10)*(Tabela_GM_PEDIDOS_2017_FIM[FILIAL]=ResumoCusto!$D80),Tabela_GM_PEDIDOS_2017_FIM[VALOR_PAGAR]+Tabela_GM_PEDIDOS_2017_FIM[VC_FINANCEIRA]))/1000)+F78</f>
        <v>2198.3903243019995</v>
      </c>
      <c r="G80" s="37">
        <f t="array" ref="G80">(SUM(IF((Tabela_GM_PEDIDOS_2017_FIM[TIPO_GRUPO]=ResumoCusto!G$10)*(Tabela_GM_PEDIDOS_2017_FIM[FILIAL]=ResumoCusto!$D80),Tabela_GM_PEDIDOS_2017_FIM[VALOR_PAGAR]+Tabela_GM_PEDIDOS_2017_FIM[VC_FINANCEIRA]))/1000)+G78</f>
        <v>2918.0872096399999</v>
      </c>
      <c r="H80" s="37">
        <f t="array" ref="H80">(SUM(IF((Tabela_GM_PEDIDOS_2017_FIM[TIPO_GRUPO]=ResumoCusto!H$10)*(Tabela_GM_PEDIDOS_2017_FIM[FILIAL]=ResumoCusto!$D80),Tabela_GM_PEDIDOS_2017_FIM[VALOR_PAGAR]+Tabela_GM_PEDIDOS_2017_FIM[VC_FINANCEIRA]))/1000)+H78</f>
        <v>720</v>
      </c>
      <c r="I80" s="37">
        <f>Frete!C10/1000</f>
        <v>242.4640207190354</v>
      </c>
      <c r="J80" s="37">
        <f t="array" ref="J80">(SUM(IF((Tabela_GM_PEDIDOS_2017_FIM[TIPO_GRUPO]=ResumoCusto!J$10)*(Tabela_GM_PEDIDOS_2017_FIM[FILIAL]=ResumoCusto!$D80),Tabela_GM_PEDIDOS_2017_FIM[VALOR_PAGAR]+Tabela_GM_PEDIDOS_2017_FIM[VC_FINANCEIRA]))/1000)+J78</f>
        <v>990</v>
      </c>
      <c r="K80" s="37">
        <f t="array" ref="K80">(SUM(IF((Tabela_GM_PEDIDOS_2017_FIM[TIPO_GRUPO]=ResumoCusto!K$10)*(Tabela_GM_PEDIDOS_2017_FIM[FILIAL]=ResumoCusto!$D80),Tabela_GM_PEDIDOS_2017_FIM[VALOR_PAGAR]+Tabela_GM_PEDIDOS_2017_FIM[VC_FINANCEIRA]))/1000)+K78</f>
        <v>800</v>
      </c>
      <c r="L80" s="37">
        <f t="array" ref="L80">(SUM(IF((Tabela_GM_PEDIDOS_2017_FIM[TIPO_GRUPO]=ResumoCusto!L$10)*(Tabela_GM_PEDIDOS_2017_FIM[FILIAL]=ResumoCusto!$D80),Tabela_GM_PEDIDOS_2017_FIM[VALOR_PAGAR]+Tabela_GM_PEDIDOS_2017_FIM[VC_FINANCEIRA]))/1000)+L78</f>
        <v>442.31</v>
      </c>
      <c r="M80" s="37">
        <f t="array" ref="M80">(SUM(IF((Tabela_GM_PEDIDOS_2017_FIM[TIPO_GRUPO]=ResumoCusto!M$10)*(Tabela_GM_PEDIDOS_2017_FIM[FILIAL]=ResumoCusto!$D80),Tabela_GM_PEDIDOS_2017_FIM[VALOR_PAGAR]+Tabela_GM_PEDIDOS_2017_FIM[VC_FINANCEIRA]))/1000)+M78</f>
        <v>290</v>
      </c>
      <c r="N80" s="37">
        <f t="array" ref="N80">(SUM(IF((Tabela_GM_PEDIDOS_2017_FIM[TIPO_GRUPO]=ResumoCusto!N$10)*(Tabela_GM_PEDIDOS_2017_FIM[FILIAL]=ResumoCusto!$D80),Tabela_GM_PEDIDOS_2017_FIM[VALOR_PAGAR]+Tabela_GM_PEDIDOS_2017_FIM[VC_FINANCEIRA]))/1000)+N78</f>
        <v>240</v>
      </c>
      <c r="O80" s="37">
        <f t="array" ref="O80">(SUM(IF((Tabela_GM_PEDIDOS_2017_FIM[TIPO_GRUPO]=ResumoCusto!O$10)*(Tabela_GM_PEDIDOS_2017_FIM[FILIAL]=ResumoCusto!$D80),Tabela_GM_PEDIDOS_2017_FIM[VALOR_PAGAR]+Tabela_GM_PEDIDOS_2017_FIM[VC_FINANCEIRA]))/1000)+O78</f>
        <v>380</v>
      </c>
      <c r="P80" s="37">
        <f>SUM(F80:O80)</f>
        <v>9221.2515546610339</v>
      </c>
      <c r="Q80" s="38">
        <f>P80/E80*1000</f>
        <v>1844.2503109322067</v>
      </c>
    </row>
    <row r="81" spans="1:17" ht="15.75" thickBot="1" x14ac:dyDescent="0.3">
      <c r="A81" s="27"/>
      <c r="B81" s="320"/>
      <c r="C81" s="35"/>
      <c r="D81" s="39" t="s">
        <v>7786</v>
      </c>
      <c r="E81" s="40"/>
      <c r="F81" s="41">
        <f t="array" ref="F81">SUM(IF((ProjecaoAreas!$H$6:$H$46=ResumoCusto!$D$80)*(ProjecaoAreas!$I$6:$I$46=ResumoCusto!$D82),ProjecaoAreas!$L$6:$L$46))</f>
        <v>0.625</v>
      </c>
      <c r="G81" s="41">
        <f t="array" ref="G81">SUM(IF((ProjecaoAreas!$H$6:$H$46=ResumoCusto!$D$80)*(ProjecaoAreas!$I$6:$I$46=ResumoCusto!$D82),ProjecaoAreas!$L$6:$L$46))</f>
        <v>0.625</v>
      </c>
      <c r="H81" s="41">
        <f t="array" ref="H81">SUM(IF((ProjecaoAreas!$H$6:$H$46=ResumoCusto!$D$80)*(ProjecaoAreas!$I$6:$I$46=ResumoCusto!$D82),ProjecaoAreas!$L$6:$L$46))</f>
        <v>0.625</v>
      </c>
      <c r="I81" s="41">
        <f t="array" ref="I81">SUM(IF((ProjecaoAreas!$H$6:$H$46=ResumoCusto!$D$80)*(ProjecaoAreas!$I$6:$I$46=ResumoCusto!$D82),ProjecaoAreas!$L$6:$L$46))</f>
        <v>0.625</v>
      </c>
      <c r="J81" s="41">
        <f t="array" ref="J81">SUM(IF((ProjecaoAreas!$H$6:$H$46=ResumoCusto!$D$80)*(ProjecaoAreas!$I$6:$I$46=ResumoCusto!$D82),ProjecaoAreas!$L$6:$L$46))</f>
        <v>0.625</v>
      </c>
      <c r="K81" s="41">
        <f t="array" ref="K81">SUM(IF((ProjecaoAreas!$H$6:$H$46=ResumoCusto!$D$80)*(ProjecaoAreas!$I$6:$I$46=ResumoCusto!$D82),ProjecaoAreas!$L$6:$L$46))</f>
        <v>0.625</v>
      </c>
      <c r="L81" s="41">
        <f t="array" ref="L81">SUM(IF((ProjecaoAreas!$H$6:$H$46=ResumoCusto!$D$80)*(ProjecaoAreas!$I$6:$I$46=ResumoCusto!$D82),ProjecaoAreas!$L$6:$L$46))</f>
        <v>0.625</v>
      </c>
      <c r="M81" s="41">
        <f t="array" ref="M81">SUM(IF((ProjecaoAreas!$H$6:$H$46=ResumoCusto!$D$80)*(ProjecaoAreas!$I$6:$I$46=ResumoCusto!$D82),ProjecaoAreas!$L$6:$L$46))</f>
        <v>0.625</v>
      </c>
      <c r="N81" s="41">
        <f t="array" ref="N81">SUM(IF((ProjecaoAreas!$H$6:$H$46=ResumoCusto!$D$80)*(ProjecaoAreas!$I$6:$I$46=ResumoCusto!$D82),ProjecaoAreas!$L$6:$L$46))</f>
        <v>0.625</v>
      </c>
      <c r="O81" s="41">
        <f t="array" ref="O81">SUM(IF((ProjecaoAreas!$H$6:$H$46=ResumoCusto!$D$80)*(ProjecaoAreas!$I$6:$I$46=ResumoCusto!$D82),ProjecaoAreas!$L$6:$L$46))</f>
        <v>0.625</v>
      </c>
      <c r="P81" s="40"/>
      <c r="Q81" s="42"/>
    </row>
    <row r="82" spans="1:17" ht="15.75" thickBot="1" x14ac:dyDescent="0.3">
      <c r="A82" s="27"/>
      <c r="B82" s="320"/>
      <c r="C82" s="35"/>
      <c r="D82" s="43" t="s">
        <v>7660</v>
      </c>
      <c r="E82" s="44">
        <f t="array" ref="E82">SUM(IF((ProjecaoAreas!$H$6:$H$46=ResumoCusto!$D$80)*(ProjecaoAreas!$I$6:$I$46=ResumoCusto!$D82),ProjecaoAreas!$J$6:$J$46))</f>
        <v>2500</v>
      </c>
      <c r="F82" s="44">
        <f>F$80*F81</f>
        <v>1373.9939526887497</v>
      </c>
      <c r="G82" s="44">
        <f t="shared" ref="G82:O82" si="46">G$80*G81</f>
        <v>1823.8045060249999</v>
      </c>
      <c r="H82" s="44">
        <f t="shared" si="46"/>
        <v>450</v>
      </c>
      <c r="I82" s="44">
        <f t="shared" si="46"/>
        <v>151.54001294939712</v>
      </c>
      <c r="J82" s="44">
        <f t="shared" si="46"/>
        <v>618.75</v>
      </c>
      <c r="K82" s="44">
        <f t="shared" si="46"/>
        <v>500</v>
      </c>
      <c r="L82" s="44">
        <f t="shared" si="46"/>
        <v>276.44375000000002</v>
      </c>
      <c r="M82" s="44">
        <f t="shared" si="46"/>
        <v>181.25</v>
      </c>
      <c r="N82" s="44">
        <f t="shared" si="46"/>
        <v>150</v>
      </c>
      <c r="O82" s="44">
        <f t="shared" si="46"/>
        <v>237.5</v>
      </c>
      <c r="P82" s="44">
        <f>SUM(F82:O82)</f>
        <v>5763.2822216631475</v>
      </c>
      <c r="Q82" s="45">
        <f>P82/E82*1000</f>
        <v>2305.3128886652589</v>
      </c>
    </row>
    <row r="83" spans="1:17" ht="15.75" hidden="1" outlineLevel="1" thickBot="1" x14ac:dyDescent="0.3">
      <c r="A83" s="27"/>
      <c r="B83" s="320"/>
      <c r="C83" s="35"/>
      <c r="D83" s="46" t="s">
        <v>7686</v>
      </c>
      <c r="E83" s="47" t="s">
        <v>27</v>
      </c>
      <c r="F83" s="47">
        <f t="array" ref="F83">SUM(IF((Tabela_GM_PEDIDOS_2017_FIM[MOEDA]=$E83)*(Tabela_GM_PEDIDOS_2017_FIM[FILIAL]=$D$80)*(Tabela_GM_PEDIDOS_2017_FIM[TIPO_GRUPO]=F$10),Tabela_GM_PEDIDOS_2017_FIM[VALOR_PAGAR]+Tabela_GM_PEDIDOS_2017_FIM[VC_FINANCEIRA]))*F81/1000</f>
        <v>23.106993750000001</v>
      </c>
      <c r="G83" s="47">
        <f t="array" ref="G83">SUM(IF((Tabela_GM_PEDIDOS_2017_FIM[MOEDA]=$E83)*(Tabela_GM_PEDIDOS_2017_FIM[FILIAL]=$D$80)*(Tabela_GM_PEDIDOS_2017_FIM[TIPO_GRUPO]=G$10),Tabela_GM_PEDIDOS_2017_FIM[VALOR_PAGAR]+Tabela_GM_PEDIDOS_2017_FIM[VC_FINANCEIRA]))*G81/1000</f>
        <v>847.84924999999998</v>
      </c>
      <c r="H83" s="47">
        <f t="array" ref="H83">SUM(IF((Tabela_GM_PEDIDOS_2017_FIM[MOEDA]=$E83)*(Tabela_GM_PEDIDOS_2017_FIM[FILIAL]=$D$80)*(Tabela_GM_PEDIDOS_2017_FIM[TIPO_GRUPO]=H$10),Tabela_GM_PEDIDOS_2017_FIM[VALOR_PAGAR]+Tabela_GM_PEDIDOS_2017_FIM[VC_FINANCEIRA]))*H81/1000</f>
        <v>0</v>
      </c>
      <c r="I83" s="47">
        <f t="array" ref="I83">SUM(IF((Tabela_GM_PEDIDOS_2017_FIM[MOEDA]=$E83)*(Tabela_GM_PEDIDOS_2017_FIM[FILIAL]=$D$80)*(Tabela_GM_PEDIDOS_2017_FIM[TIPO_GRUPO]=I$10),Tabela_GM_PEDIDOS_2017_FIM[VALOR_PAGAR]+Tabela_GM_PEDIDOS_2017_FIM[VC_FINANCEIRA]))*I81/1000</f>
        <v>0</v>
      </c>
      <c r="J83" s="47">
        <f t="array" ref="J83">SUM(IF((Tabela_GM_PEDIDOS_2017_FIM[MOEDA]=$E83)*(Tabela_GM_PEDIDOS_2017_FIM[FILIAL]=$D$80)*(Tabela_GM_PEDIDOS_2017_FIM[TIPO_GRUPO]=J$10),Tabela_GM_PEDIDOS_2017_FIM[VALOR_PAGAR]+Tabela_GM_PEDIDOS_2017_FIM[VC_FINANCEIRA]))*J81/1000</f>
        <v>0</v>
      </c>
      <c r="K83" s="47">
        <f t="array" ref="K83">SUM(IF((Tabela_GM_PEDIDOS_2017_FIM[MOEDA]=$E83)*(Tabela_GM_PEDIDOS_2017_FIM[FILIAL]=$D$80)*(Tabela_GM_PEDIDOS_2017_FIM[TIPO_GRUPO]=K$10),Tabela_GM_PEDIDOS_2017_FIM[VALOR_PAGAR]+Tabela_GM_PEDIDOS_2017_FIM[VC_FINANCEIRA]))*K81/1000</f>
        <v>0</v>
      </c>
      <c r="L83" s="47">
        <f t="array" ref="L83">SUM(IF((Tabela_GM_PEDIDOS_2017_FIM[MOEDA]=$E83)*(Tabela_GM_PEDIDOS_2017_FIM[FILIAL]=$D$80)*(Tabela_GM_PEDIDOS_2017_FIM[TIPO_GRUPO]=L$10),Tabela_GM_PEDIDOS_2017_FIM[VALOR_PAGAR]+Tabela_GM_PEDIDOS_2017_FIM[VC_FINANCEIRA]))*L81/1000</f>
        <v>151.44374999999999</v>
      </c>
      <c r="M83" s="47">
        <f t="array" ref="M83">SUM(IF((Tabela_GM_PEDIDOS_2017_FIM[MOEDA]=$E83)*(Tabela_GM_PEDIDOS_2017_FIM[FILIAL]=$D$80)*(Tabela_GM_PEDIDOS_2017_FIM[TIPO_GRUPO]=M$10),Tabela_GM_PEDIDOS_2017_FIM[VALOR_PAGAR]+Tabela_GM_PEDIDOS_2017_FIM[VC_FINANCEIRA]))*M81/1000</f>
        <v>0</v>
      </c>
      <c r="N83" s="47">
        <f t="array" ref="N83">SUM(IF((Tabela_GM_PEDIDOS_2017_FIM[MOEDA]=$E83)*(Tabela_GM_PEDIDOS_2017_FIM[FILIAL]=$D$80)*(Tabela_GM_PEDIDOS_2017_FIM[TIPO_GRUPO]=N$10),Tabela_GM_PEDIDOS_2017_FIM[VALOR_PAGAR]+Tabela_GM_PEDIDOS_2017_FIM[VC_FINANCEIRA]))*N81/1000</f>
        <v>150</v>
      </c>
      <c r="O83" s="47">
        <f t="array" ref="O83">SUM(IF((Tabela_GM_PEDIDOS_2017_FIM[MOEDA]=$E83)*(Tabela_GM_PEDIDOS_2017_FIM[FILIAL]=$D$80)*(Tabela_GM_PEDIDOS_2017_FIM[TIPO_GRUPO]=O$10),Tabela_GM_PEDIDOS_2017_FIM[VALOR_PAGAR]+Tabela_GM_PEDIDOS_2017_FIM[VC_FINANCEIRA]))*O81/1000</f>
        <v>0</v>
      </c>
      <c r="P83" s="47">
        <f t="array" ref="P83">SUM(F83:O83)</f>
        <v>1172.39999375</v>
      </c>
      <c r="Q83" s="48"/>
    </row>
    <row r="84" spans="1:17" ht="15.75" hidden="1" outlineLevel="1" thickBot="1" x14ac:dyDescent="0.3">
      <c r="A84" s="27"/>
      <c r="B84" s="320"/>
      <c r="C84" s="35"/>
      <c r="D84" s="46" t="s">
        <v>7687</v>
      </c>
      <c r="E84" s="47" t="s">
        <v>16</v>
      </c>
      <c r="F84" s="47">
        <f t="array" ref="F84">SUM(IF((Tabela_GM_PEDIDOS_2017_FIM[MOEDA]=$E84)*(Tabela_GM_PEDIDOS_2017_FIM[FILIAL]=$D$80)*(Tabela_GM_PEDIDOS_2017_FIM[TIPO_GRUPO]=F$10)*(Tabela_GM_PEDIDOS_2017_FIM[PAGO]="S"),Tabela_GM_PEDIDOS_2017_FIM[VALOR_PAGAR]+Tabela_GM_PEDIDOS_2017_FIM[VC_FINANCEIRA]))*F81/1000</f>
        <v>0</v>
      </c>
      <c r="G84" s="47">
        <f t="array" ref="G84">SUM(IF((Tabela_GM_PEDIDOS_2017_FIM[MOEDA]=$E84)*(Tabela_GM_PEDIDOS_2017_FIM[FILIAL]=$D$80)*(Tabela_GM_PEDIDOS_2017_FIM[TIPO_GRUPO]=G$10)*(Tabela_GM_PEDIDOS_2017_FIM[PAGO]="S"),Tabela_GM_PEDIDOS_2017_FIM[VALOR_PAGAR]+Tabela_GM_PEDIDOS_2017_FIM[VC_FINANCEIRA]))*G81/1000</f>
        <v>296.31091874999993</v>
      </c>
      <c r="H84" s="47">
        <f t="array" ref="H84">SUM(IF((Tabela_GM_PEDIDOS_2017_FIM[MOEDA]=$E84)*(Tabela_GM_PEDIDOS_2017_FIM[FILIAL]=$D$80)*(Tabela_GM_PEDIDOS_2017_FIM[TIPO_GRUPO]=H$10)*(Tabela_GM_PEDIDOS_2017_FIM[PAGO]="S"),Tabela_GM_PEDIDOS_2017_FIM[VALOR_PAGAR]+Tabela_GM_PEDIDOS_2017_FIM[VC_FINANCEIRA]))*H81/1000</f>
        <v>0</v>
      </c>
      <c r="I84" s="47">
        <f t="array" ref="I84">SUM(IF((Tabela_GM_PEDIDOS_2017_FIM[MOEDA]=$E84)*(Tabela_GM_PEDIDOS_2017_FIM[FILIAL]=$D$80)*(Tabela_GM_PEDIDOS_2017_FIM[TIPO_GRUPO]=I$10)*(Tabela_GM_PEDIDOS_2017_FIM[PAGO]="S"),Tabela_GM_PEDIDOS_2017_FIM[VALOR_PAGAR]+Tabela_GM_PEDIDOS_2017_FIM[VC_FINANCEIRA]))*I81/1000</f>
        <v>0</v>
      </c>
      <c r="J84" s="47">
        <f t="array" ref="J84">SUM(IF((Tabela_GM_PEDIDOS_2017_FIM[MOEDA]=$E84)*(Tabela_GM_PEDIDOS_2017_FIM[FILIAL]=$D$80)*(Tabela_GM_PEDIDOS_2017_FIM[TIPO_GRUPO]=J$10)*(Tabela_GM_PEDIDOS_2017_FIM[PAGO]="S"),Tabela_GM_PEDIDOS_2017_FIM[VALOR_PAGAR]+Tabela_GM_PEDIDOS_2017_FIM[VC_FINANCEIRA]))*J81/1000</f>
        <v>0</v>
      </c>
      <c r="K84" s="47">
        <f t="array" ref="K84">SUM(IF((Tabela_GM_PEDIDOS_2017_FIM[MOEDA]=$E84)*(Tabela_GM_PEDIDOS_2017_FIM[FILIAL]=$D$80)*(Tabela_GM_PEDIDOS_2017_FIM[TIPO_GRUPO]=K$10)*(Tabela_GM_PEDIDOS_2017_FIM[PAGO]="S"),Tabela_GM_PEDIDOS_2017_FIM[VALOR_PAGAR]+Tabela_GM_PEDIDOS_2017_FIM[VC_FINANCEIRA]))*K81/1000</f>
        <v>0</v>
      </c>
      <c r="L84" s="47">
        <f t="array" ref="L84">SUM(IF((Tabela_GM_PEDIDOS_2017_FIM[MOEDA]=$E84)*(Tabela_GM_PEDIDOS_2017_FIM[FILIAL]=$D$80)*(Tabela_GM_PEDIDOS_2017_FIM[TIPO_GRUPO]=L$10)*(Tabela_GM_PEDIDOS_2017_FIM[PAGO]="S"),Tabela_GM_PEDIDOS_2017_FIM[VALOR_PAGAR]+Tabela_GM_PEDIDOS_2017_FIM[VC_FINANCEIRA]))*L81/1000</f>
        <v>0</v>
      </c>
      <c r="M84" s="47">
        <f t="array" ref="M84">SUM(IF((Tabela_GM_PEDIDOS_2017_FIM[MOEDA]=$E84)*(Tabela_GM_PEDIDOS_2017_FIM[FILIAL]=$D$80)*(Tabela_GM_PEDIDOS_2017_FIM[TIPO_GRUPO]=M$10)*(Tabela_GM_PEDIDOS_2017_FIM[PAGO]="S"),Tabela_GM_PEDIDOS_2017_FIM[VALOR_PAGAR]+Tabela_GM_PEDIDOS_2017_FIM[VC_FINANCEIRA]))*M81/1000</f>
        <v>0</v>
      </c>
      <c r="N84" s="47">
        <f t="array" ref="N84">SUM(IF((Tabela_GM_PEDIDOS_2017_FIM[MOEDA]=$E84)*(Tabela_GM_PEDIDOS_2017_FIM[FILIAL]=$D$80)*(Tabela_GM_PEDIDOS_2017_FIM[TIPO_GRUPO]=N$10)*(Tabela_GM_PEDIDOS_2017_FIM[PAGO]="S"),Tabela_GM_PEDIDOS_2017_FIM[VALOR_PAGAR]+Tabela_GM_PEDIDOS_2017_FIM[VC_FINANCEIRA]))*N81/1000</f>
        <v>0</v>
      </c>
      <c r="O84" s="47">
        <f t="array" ref="O84">SUM(IF((Tabela_GM_PEDIDOS_2017_FIM[MOEDA]=$E84)*(Tabela_GM_PEDIDOS_2017_FIM[FILIAL]=$D$80)*(Tabela_GM_PEDIDOS_2017_FIM[TIPO_GRUPO]=O$10)*(Tabela_GM_PEDIDOS_2017_FIM[PAGO]="S"),Tabela_GM_PEDIDOS_2017_FIM[VALOR_PAGAR]+Tabela_GM_PEDIDOS_2017_FIM[VC_FINANCEIRA]))*O81/1000</f>
        <v>0</v>
      </c>
      <c r="P84" s="47">
        <f t="array" ref="P84">SUM(F84:O84)</f>
        <v>296.31091874999993</v>
      </c>
      <c r="Q84" s="49"/>
    </row>
    <row r="85" spans="1:17" ht="15.75" hidden="1" outlineLevel="1" thickBot="1" x14ac:dyDescent="0.3">
      <c r="A85" s="27"/>
      <c r="B85" s="320"/>
      <c r="C85" s="35"/>
      <c r="D85" s="46" t="s">
        <v>7688</v>
      </c>
      <c r="E85" s="47" t="s">
        <v>16</v>
      </c>
      <c r="F85" s="50">
        <f t="array" ref="F85">SUM(IF((Tabela_GM_PEDIDOS_2017_FIM[MOEDA]=$E85)*(Tabela_GM_PEDIDOS_2017_FIM[FILIAL]=$D$80)*(Tabela_GM_PEDIDOS_2017_FIM[TIPO_GRUPO]=F$10)*(Tabela_GM_PEDIDOS_2017_FIM[PAGO]&lt;&gt;"S"),Tabela_GM_PEDIDOS_2017_FIM[VL_PEDIDO_COMPRA]))*F81/1000</f>
        <v>316.31644374999996</v>
      </c>
      <c r="G85" s="50">
        <f t="array" ref="G85">SUM(IF((Tabela_GM_PEDIDOS_2017_FIM[MOEDA]=$E85)*(Tabela_GM_PEDIDOS_2017_FIM[FILIAL]=$D$80)*(Tabela_GM_PEDIDOS_2017_FIM[TIPO_GRUPO]=G$10)*(Tabela_GM_PEDIDOS_2017_FIM[PAGO]&lt;&gt;"S"),Tabela_GM_PEDIDOS_2017_FIM[VL_PEDIDO_COMPRA]))*G81/1000</f>
        <v>172.10443749999999</v>
      </c>
      <c r="H85" s="50">
        <f t="array" ref="H85">SUM(IF((Tabela_GM_PEDIDOS_2017_FIM[MOEDA]=$E85)*(Tabela_GM_PEDIDOS_2017_FIM[FILIAL]=$D$80)*(Tabela_GM_PEDIDOS_2017_FIM[TIPO_GRUPO]=H$10)*(Tabela_GM_PEDIDOS_2017_FIM[PAGO]&lt;&gt;"S"),Tabela_GM_PEDIDOS_2017_FIM[VL_PEDIDO_COMPRA]))*H81/1000</f>
        <v>0</v>
      </c>
      <c r="I85" s="50">
        <f t="array" ref="I85">SUM(IF((Tabela_GM_PEDIDOS_2017_FIM[MOEDA]=$E85)*(Tabela_GM_PEDIDOS_2017_FIM[FILIAL]=$D$80)*(Tabela_GM_PEDIDOS_2017_FIM[TIPO_GRUPO]=I$10)*(Tabela_GM_PEDIDOS_2017_FIM[PAGO]&lt;&gt;"S"),Tabela_GM_PEDIDOS_2017_FIM[VL_PEDIDO_COMPRA]))*I81/1000</f>
        <v>0</v>
      </c>
      <c r="J85" s="50">
        <f t="array" ref="J85">SUM(IF((Tabela_GM_PEDIDOS_2017_FIM[MOEDA]=$E85)*(Tabela_GM_PEDIDOS_2017_FIM[FILIAL]=$D$80)*(Tabela_GM_PEDIDOS_2017_FIM[TIPO_GRUPO]=J$10)*(Tabela_GM_PEDIDOS_2017_FIM[PAGO]&lt;&gt;"S"),Tabela_GM_PEDIDOS_2017_FIM[VL_PEDIDO_COMPRA]))*J81/1000</f>
        <v>0</v>
      </c>
      <c r="K85" s="50">
        <f t="array" ref="K85">SUM(IF((Tabela_GM_PEDIDOS_2017_FIM[MOEDA]=$E85)*(Tabela_GM_PEDIDOS_2017_FIM[FILIAL]=$D$80)*(Tabela_GM_PEDIDOS_2017_FIM[TIPO_GRUPO]=K$10)*(Tabela_GM_PEDIDOS_2017_FIM[PAGO]&lt;&gt;"S"),Tabela_GM_PEDIDOS_2017_FIM[VL_PEDIDO_COMPRA]))*K81/1000</f>
        <v>0</v>
      </c>
      <c r="L85" s="50">
        <f t="array" ref="L85">SUM(IF((Tabela_GM_PEDIDOS_2017_FIM[MOEDA]=$E85)*(Tabela_GM_PEDIDOS_2017_FIM[FILIAL]=$D$80)*(Tabela_GM_PEDIDOS_2017_FIM[TIPO_GRUPO]=L$10)*(Tabela_GM_PEDIDOS_2017_FIM[PAGO]&lt;&gt;"S"),Tabela_GM_PEDIDOS_2017_FIM[VL_PEDIDO_COMPRA]))*L81/1000</f>
        <v>0</v>
      </c>
      <c r="M85" s="50">
        <f t="array" ref="M85">SUM(IF((Tabela_GM_PEDIDOS_2017_FIM[MOEDA]=$E85)*(Tabela_GM_PEDIDOS_2017_FIM[FILIAL]=$D$80)*(Tabela_GM_PEDIDOS_2017_FIM[TIPO_GRUPO]=M$10)*(Tabela_GM_PEDIDOS_2017_FIM[PAGO]&lt;&gt;"S"),Tabela_GM_PEDIDOS_2017_FIM[VL_PEDIDO_COMPRA]))*M81/1000</f>
        <v>0</v>
      </c>
      <c r="N85" s="50">
        <f t="array" ref="N85">SUM(IF((Tabela_GM_PEDIDOS_2017_FIM[MOEDA]=$E85)*(Tabela_GM_PEDIDOS_2017_FIM[FILIAL]=$D$80)*(Tabela_GM_PEDIDOS_2017_FIM[TIPO_GRUPO]=N$10)*(Tabela_GM_PEDIDOS_2017_FIM[PAGO]&lt;&gt;"S"),Tabela_GM_PEDIDOS_2017_FIM[VL_PEDIDO_COMPRA]))*N81/1000</f>
        <v>0</v>
      </c>
      <c r="O85" s="50">
        <f t="array" ref="O85">SUM(IF((Tabela_GM_PEDIDOS_2017_FIM[MOEDA]=$E85)*(Tabela_GM_PEDIDOS_2017_FIM[FILIAL]=$D$80)*(Tabela_GM_PEDIDOS_2017_FIM[TIPO_GRUPO]=O$10)*(Tabela_GM_PEDIDOS_2017_FIM[PAGO]&lt;&gt;"S"),Tabela_GM_PEDIDOS_2017_FIM[VL_PEDIDO_COMPRA]))*O81/1000</f>
        <v>0</v>
      </c>
      <c r="P85" s="50">
        <f>SUM(F85:O85)</f>
        <v>488.42088124999998</v>
      </c>
      <c r="Q85" s="48"/>
    </row>
    <row r="86" spans="1:17" ht="15.75" collapsed="1" thickBot="1" x14ac:dyDescent="0.3">
      <c r="A86" s="27"/>
      <c r="B86" s="320"/>
      <c r="C86" s="35"/>
      <c r="D86" s="43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5"/>
    </row>
    <row r="87" spans="1:17" ht="15.75" thickBot="1" x14ac:dyDescent="0.3">
      <c r="A87" s="27"/>
      <c r="B87" s="320"/>
      <c r="C87" s="35"/>
      <c r="D87" s="39" t="s">
        <v>7786</v>
      </c>
      <c r="E87" s="40"/>
      <c r="F87" s="41">
        <f t="array" ref="F87">SUM(IF((ProjecaoAreas!$H$6:$H$46=ResumoCusto!$D$80)*(ProjecaoAreas!$I$6:$I$46=ResumoCusto!$D88),ProjecaoAreas!$L$6:$L$46))</f>
        <v>0.375</v>
      </c>
      <c r="G87" s="41">
        <f t="array" ref="G87">SUM(IF((ProjecaoAreas!$H$6:$H$46=ResumoCusto!$D$80)*(ProjecaoAreas!$I$6:$I$46=ResumoCusto!$D88),ProjecaoAreas!$L$6:$L$46))</f>
        <v>0.375</v>
      </c>
      <c r="H87" s="41">
        <f t="array" ref="H87">SUM(IF((ProjecaoAreas!$H$6:$H$46=ResumoCusto!$D$80)*(ProjecaoAreas!$I$6:$I$46=ResumoCusto!$D88),ProjecaoAreas!$L$6:$L$46))</f>
        <v>0.375</v>
      </c>
      <c r="I87" s="41">
        <f t="array" ref="I87">SUM(IF((ProjecaoAreas!$H$6:$H$46=ResumoCusto!$D$80)*(ProjecaoAreas!$I$6:$I$46=ResumoCusto!$D88),ProjecaoAreas!$L$6:$L$46))</f>
        <v>0.375</v>
      </c>
      <c r="J87" s="41">
        <f t="array" ref="J87">SUM(IF((ProjecaoAreas!$H$6:$H$46=ResumoCusto!$D$80)*(ProjecaoAreas!$I$6:$I$46=ResumoCusto!$D88),ProjecaoAreas!$L$6:$L$46))</f>
        <v>0.375</v>
      </c>
      <c r="K87" s="41">
        <f t="array" ref="K87">SUM(IF((ProjecaoAreas!$H$6:$H$46=ResumoCusto!$D$80)*(ProjecaoAreas!$I$6:$I$46=ResumoCusto!$D88),ProjecaoAreas!$L$6:$L$46))</f>
        <v>0.375</v>
      </c>
      <c r="L87" s="41">
        <f t="array" ref="L87">SUM(IF((ProjecaoAreas!$H$6:$H$46=ResumoCusto!$D$80)*(ProjecaoAreas!$I$6:$I$46=ResumoCusto!$D88),ProjecaoAreas!$L$6:$L$46))</f>
        <v>0.375</v>
      </c>
      <c r="M87" s="41">
        <f t="array" ref="M87">SUM(IF((ProjecaoAreas!$H$6:$H$46=ResumoCusto!$D$80)*(ProjecaoAreas!$I$6:$I$46=ResumoCusto!$D88),ProjecaoAreas!$L$6:$L$46))</f>
        <v>0.375</v>
      </c>
      <c r="N87" s="41">
        <f t="array" ref="N87">SUM(IF((ProjecaoAreas!$H$6:$H$46=ResumoCusto!$D$80)*(ProjecaoAreas!$I$6:$I$46=ResumoCusto!$D88),ProjecaoAreas!$L$6:$L$46))</f>
        <v>0.375</v>
      </c>
      <c r="O87" s="41">
        <f t="array" ref="O87">SUM(IF((ProjecaoAreas!$H$6:$H$46=ResumoCusto!$D$80)*(ProjecaoAreas!$I$6:$I$46=ResumoCusto!$D88),ProjecaoAreas!$L$6:$L$46))</f>
        <v>0.375</v>
      </c>
      <c r="P87" s="40"/>
      <c r="Q87" s="42"/>
    </row>
    <row r="88" spans="1:17" ht="15.75" thickBot="1" x14ac:dyDescent="0.3">
      <c r="A88" s="27"/>
      <c r="B88" s="320"/>
      <c r="C88" s="35"/>
      <c r="D88" s="43" t="s">
        <v>7663</v>
      </c>
      <c r="E88" s="44">
        <f t="array" ref="E88">SUM(IF((ProjecaoAreas!$H$6:$H$46=ResumoCusto!$D$80)*(ProjecaoAreas!$I$6:$I$46=ResumoCusto!$D88),ProjecaoAreas!$J$6:$J$46))</f>
        <v>2500</v>
      </c>
      <c r="F88" s="44">
        <f>F$80*F87</f>
        <v>824.39637161324981</v>
      </c>
      <c r="G88" s="44">
        <f t="shared" ref="G88" si="47">G$80*G87</f>
        <v>1094.2827036149999</v>
      </c>
      <c r="H88" s="44">
        <f t="shared" ref="H88" si="48">H$80*H87</f>
        <v>270</v>
      </c>
      <c r="I88" s="44">
        <f t="shared" ref="I88" si="49">I$80*I87</f>
        <v>90.92400776963828</v>
      </c>
      <c r="J88" s="44">
        <f t="shared" ref="J88" si="50">J$80*J87</f>
        <v>371.25</v>
      </c>
      <c r="K88" s="44">
        <f t="shared" ref="K88" si="51">K$80*K87</f>
        <v>300</v>
      </c>
      <c r="L88" s="44">
        <f t="shared" ref="L88" si="52">L$80*L87</f>
        <v>165.86625000000001</v>
      </c>
      <c r="M88" s="44">
        <f t="shared" ref="M88" si="53">M$80*M87</f>
        <v>108.75</v>
      </c>
      <c r="N88" s="44">
        <f t="shared" ref="N88" si="54">N$80*N87</f>
        <v>90</v>
      </c>
      <c r="O88" s="44">
        <f t="shared" ref="O88" si="55">O$80*O87</f>
        <v>142.5</v>
      </c>
      <c r="P88" s="44">
        <f>SUM(F88:O88)</f>
        <v>3457.9693329978877</v>
      </c>
      <c r="Q88" s="45">
        <f>P88/E88*1000</f>
        <v>1383.1877331991552</v>
      </c>
    </row>
    <row r="89" spans="1:17" ht="15.75" hidden="1" outlineLevel="1" thickBot="1" x14ac:dyDescent="0.3">
      <c r="A89" s="27"/>
      <c r="B89" s="320"/>
      <c r="C89" s="35"/>
      <c r="D89" s="46" t="s">
        <v>7686</v>
      </c>
      <c r="E89" s="47" t="s">
        <v>27</v>
      </c>
      <c r="F89" s="47">
        <f t="array" ref="F89">SUM(IF((Tabela_GM_PEDIDOS_2017_FIM[MOEDA]=$E89)*(Tabela_GM_PEDIDOS_2017_FIM[FILIAL]=$D$80)*(Tabela_GM_PEDIDOS_2017_FIM[TIPO_GRUPO]=F$10),Tabela_GM_PEDIDOS_2017_FIM[VALOR_PAGAR]+Tabela_GM_PEDIDOS_2017_FIM[VC_FINANCEIRA]))*F87/1000</f>
        <v>13.864196250000001</v>
      </c>
      <c r="G89" s="47">
        <f t="array" ref="G89">SUM(IF((Tabela_GM_PEDIDOS_2017_FIM[MOEDA]=$E89)*(Tabela_GM_PEDIDOS_2017_FIM[FILIAL]=$D$80)*(Tabela_GM_PEDIDOS_2017_FIM[TIPO_GRUPO]=G$10),Tabela_GM_PEDIDOS_2017_FIM[VALOR_PAGAR]+Tabela_GM_PEDIDOS_2017_FIM[VC_FINANCEIRA]))*G87/1000</f>
        <v>508.70955000000004</v>
      </c>
      <c r="H89" s="47">
        <f t="array" ref="H89">SUM(IF((Tabela_GM_PEDIDOS_2017_FIM[MOEDA]=$E89)*(Tabela_GM_PEDIDOS_2017_FIM[FILIAL]=$D$80)*(Tabela_GM_PEDIDOS_2017_FIM[TIPO_GRUPO]=H$10),Tabela_GM_PEDIDOS_2017_FIM[VALOR_PAGAR]+Tabela_GM_PEDIDOS_2017_FIM[VC_FINANCEIRA]))*H87/1000</f>
        <v>0</v>
      </c>
      <c r="I89" s="47">
        <f t="array" ref="I89">SUM(IF((Tabela_GM_PEDIDOS_2017_FIM[MOEDA]=$E89)*(Tabela_GM_PEDIDOS_2017_FIM[FILIAL]=$D$80)*(Tabela_GM_PEDIDOS_2017_FIM[TIPO_GRUPO]=I$10),Tabela_GM_PEDIDOS_2017_FIM[VALOR_PAGAR]+Tabela_GM_PEDIDOS_2017_FIM[VC_FINANCEIRA]))*I87/1000</f>
        <v>0</v>
      </c>
      <c r="J89" s="47">
        <f t="array" ref="J89">SUM(IF((Tabela_GM_PEDIDOS_2017_FIM[MOEDA]=$E89)*(Tabela_GM_PEDIDOS_2017_FIM[FILIAL]=$D$80)*(Tabela_GM_PEDIDOS_2017_FIM[TIPO_GRUPO]=J$10),Tabela_GM_PEDIDOS_2017_FIM[VALOR_PAGAR]+Tabela_GM_PEDIDOS_2017_FIM[VC_FINANCEIRA]))*J87/1000</f>
        <v>0</v>
      </c>
      <c r="K89" s="47">
        <f t="array" ref="K89">SUM(IF((Tabela_GM_PEDIDOS_2017_FIM[MOEDA]=$E89)*(Tabela_GM_PEDIDOS_2017_FIM[FILIAL]=$D$80)*(Tabela_GM_PEDIDOS_2017_FIM[TIPO_GRUPO]=K$10),Tabela_GM_PEDIDOS_2017_FIM[VALOR_PAGAR]+Tabela_GM_PEDIDOS_2017_FIM[VC_FINANCEIRA]))*K87/1000</f>
        <v>0</v>
      </c>
      <c r="L89" s="47">
        <f t="array" ref="L89">SUM(IF((Tabela_GM_PEDIDOS_2017_FIM[MOEDA]=$E89)*(Tabela_GM_PEDIDOS_2017_FIM[FILIAL]=$D$80)*(Tabela_GM_PEDIDOS_2017_FIM[TIPO_GRUPO]=L$10),Tabela_GM_PEDIDOS_2017_FIM[VALOR_PAGAR]+Tabela_GM_PEDIDOS_2017_FIM[VC_FINANCEIRA]))*L87/1000</f>
        <v>90.866249999999994</v>
      </c>
      <c r="M89" s="47">
        <f t="array" ref="M89">SUM(IF((Tabela_GM_PEDIDOS_2017_FIM[MOEDA]=$E89)*(Tabela_GM_PEDIDOS_2017_FIM[FILIAL]=$D$80)*(Tabela_GM_PEDIDOS_2017_FIM[TIPO_GRUPO]=M$10),Tabela_GM_PEDIDOS_2017_FIM[VALOR_PAGAR]+Tabela_GM_PEDIDOS_2017_FIM[VC_FINANCEIRA]))*M87/1000</f>
        <v>0</v>
      </c>
      <c r="N89" s="47">
        <f t="array" ref="N89">SUM(IF((Tabela_GM_PEDIDOS_2017_FIM[MOEDA]=$E89)*(Tabela_GM_PEDIDOS_2017_FIM[FILIAL]=$D$80)*(Tabela_GM_PEDIDOS_2017_FIM[TIPO_GRUPO]=N$10),Tabela_GM_PEDIDOS_2017_FIM[VALOR_PAGAR]+Tabela_GM_PEDIDOS_2017_FIM[VC_FINANCEIRA]))*N87/1000</f>
        <v>90</v>
      </c>
      <c r="O89" s="47">
        <f t="array" ref="O89">SUM(IF((Tabela_GM_PEDIDOS_2017_FIM[MOEDA]=$E89)*(Tabela_GM_PEDIDOS_2017_FIM[FILIAL]=$D$80)*(Tabela_GM_PEDIDOS_2017_FIM[TIPO_GRUPO]=O$10),Tabela_GM_PEDIDOS_2017_FIM[VALOR_PAGAR]+Tabela_GM_PEDIDOS_2017_FIM[VC_FINANCEIRA]))*O87/1000</f>
        <v>0</v>
      </c>
      <c r="P89" s="47">
        <f t="array" ref="P89">SUM(F89:O89)</f>
        <v>703.43999625000004</v>
      </c>
      <c r="Q89" s="48"/>
    </row>
    <row r="90" spans="1:17" ht="15.75" hidden="1" outlineLevel="1" thickBot="1" x14ac:dyDescent="0.3">
      <c r="A90" s="27"/>
      <c r="B90" s="320"/>
      <c r="C90" s="35"/>
      <c r="D90" s="46" t="s">
        <v>7687</v>
      </c>
      <c r="E90" s="47" t="s">
        <v>16</v>
      </c>
      <c r="F90" s="47">
        <f t="array" ref="F90">SUM(IF((Tabela_GM_PEDIDOS_2017_FIM[MOEDA]=$E90)*(Tabela_GM_PEDIDOS_2017_FIM[FILIAL]=$D$80)*(Tabela_GM_PEDIDOS_2017_FIM[TIPO_GRUPO]=F$10)*(Tabela_GM_PEDIDOS_2017_FIM[PAGO]="S"),Tabela_GM_PEDIDOS_2017_FIM[VALOR_PAGAR]+Tabela_GM_PEDIDOS_2017_FIM[VC_FINANCEIRA]))*F87/1000</f>
        <v>0</v>
      </c>
      <c r="G90" s="47">
        <f t="array" ref="G90">SUM(IF((Tabela_GM_PEDIDOS_2017_FIM[MOEDA]=$E90)*(Tabela_GM_PEDIDOS_2017_FIM[FILIAL]=$D$80)*(Tabela_GM_PEDIDOS_2017_FIM[TIPO_GRUPO]=G$10)*(Tabela_GM_PEDIDOS_2017_FIM[PAGO]="S"),Tabela_GM_PEDIDOS_2017_FIM[VALOR_PAGAR]+Tabela_GM_PEDIDOS_2017_FIM[VC_FINANCEIRA]))*G87/1000</f>
        <v>177.78655125</v>
      </c>
      <c r="H90" s="47">
        <f t="array" ref="H90">SUM(IF((Tabela_GM_PEDIDOS_2017_FIM[MOEDA]=$E90)*(Tabela_GM_PEDIDOS_2017_FIM[FILIAL]=$D$80)*(Tabela_GM_PEDIDOS_2017_FIM[TIPO_GRUPO]=H$10)*(Tabela_GM_PEDIDOS_2017_FIM[PAGO]="S"),Tabela_GM_PEDIDOS_2017_FIM[VALOR_PAGAR]+Tabela_GM_PEDIDOS_2017_FIM[VC_FINANCEIRA]))*H87/1000</f>
        <v>0</v>
      </c>
      <c r="I90" s="47">
        <f t="array" ref="I90">SUM(IF((Tabela_GM_PEDIDOS_2017_FIM[MOEDA]=$E90)*(Tabela_GM_PEDIDOS_2017_FIM[FILIAL]=$D$80)*(Tabela_GM_PEDIDOS_2017_FIM[TIPO_GRUPO]=I$10)*(Tabela_GM_PEDIDOS_2017_FIM[PAGO]="S"),Tabela_GM_PEDIDOS_2017_FIM[VALOR_PAGAR]+Tabela_GM_PEDIDOS_2017_FIM[VC_FINANCEIRA]))*I87/1000</f>
        <v>0</v>
      </c>
      <c r="J90" s="47">
        <f t="array" ref="J90">SUM(IF((Tabela_GM_PEDIDOS_2017_FIM[MOEDA]=$E90)*(Tabela_GM_PEDIDOS_2017_FIM[FILIAL]=$D$80)*(Tabela_GM_PEDIDOS_2017_FIM[TIPO_GRUPO]=J$10)*(Tabela_GM_PEDIDOS_2017_FIM[PAGO]="S"),Tabela_GM_PEDIDOS_2017_FIM[VALOR_PAGAR]+Tabela_GM_PEDIDOS_2017_FIM[VC_FINANCEIRA]))*J87/1000</f>
        <v>0</v>
      </c>
      <c r="K90" s="47">
        <f t="array" ref="K90">SUM(IF((Tabela_GM_PEDIDOS_2017_FIM[MOEDA]=$E90)*(Tabela_GM_PEDIDOS_2017_FIM[FILIAL]=$D$80)*(Tabela_GM_PEDIDOS_2017_FIM[TIPO_GRUPO]=K$10)*(Tabela_GM_PEDIDOS_2017_FIM[PAGO]="S"),Tabela_GM_PEDIDOS_2017_FIM[VALOR_PAGAR]+Tabela_GM_PEDIDOS_2017_FIM[VC_FINANCEIRA]))*K87/1000</f>
        <v>0</v>
      </c>
      <c r="L90" s="47">
        <f t="array" ref="L90">SUM(IF((Tabela_GM_PEDIDOS_2017_FIM[MOEDA]=$E90)*(Tabela_GM_PEDIDOS_2017_FIM[FILIAL]=$D$80)*(Tabela_GM_PEDIDOS_2017_FIM[TIPO_GRUPO]=L$10)*(Tabela_GM_PEDIDOS_2017_FIM[PAGO]="S"),Tabela_GM_PEDIDOS_2017_FIM[VALOR_PAGAR]+Tabela_GM_PEDIDOS_2017_FIM[VC_FINANCEIRA]))*L87/1000</f>
        <v>0</v>
      </c>
      <c r="M90" s="47">
        <f t="array" ref="M90">SUM(IF((Tabela_GM_PEDIDOS_2017_FIM[MOEDA]=$E90)*(Tabela_GM_PEDIDOS_2017_FIM[FILIAL]=$D$80)*(Tabela_GM_PEDIDOS_2017_FIM[TIPO_GRUPO]=M$10)*(Tabela_GM_PEDIDOS_2017_FIM[PAGO]="S"),Tabela_GM_PEDIDOS_2017_FIM[VALOR_PAGAR]+Tabela_GM_PEDIDOS_2017_FIM[VC_FINANCEIRA]))*M87/1000</f>
        <v>0</v>
      </c>
      <c r="N90" s="47">
        <f t="array" ref="N90">SUM(IF((Tabela_GM_PEDIDOS_2017_FIM[MOEDA]=$E90)*(Tabela_GM_PEDIDOS_2017_FIM[FILIAL]=$D$80)*(Tabela_GM_PEDIDOS_2017_FIM[TIPO_GRUPO]=N$10)*(Tabela_GM_PEDIDOS_2017_FIM[PAGO]="S"),Tabela_GM_PEDIDOS_2017_FIM[VALOR_PAGAR]+Tabela_GM_PEDIDOS_2017_FIM[VC_FINANCEIRA]))*N87/1000</f>
        <v>0</v>
      </c>
      <c r="O90" s="47">
        <f t="array" ref="O90">SUM(IF((Tabela_GM_PEDIDOS_2017_FIM[MOEDA]=$E90)*(Tabela_GM_PEDIDOS_2017_FIM[FILIAL]=$D$80)*(Tabela_GM_PEDIDOS_2017_FIM[TIPO_GRUPO]=O$10)*(Tabela_GM_PEDIDOS_2017_FIM[PAGO]="S"),Tabela_GM_PEDIDOS_2017_FIM[VALOR_PAGAR]+Tabela_GM_PEDIDOS_2017_FIM[VC_FINANCEIRA]))*O87/1000</f>
        <v>0</v>
      </c>
      <c r="P90" s="47">
        <f t="array" ref="P90">SUM(F90:O90)</f>
        <v>177.78655125</v>
      </c>
      <c r="Q90" s="49"/>
    </row>
    <row r="91" spans="1:17" ht="15.75" hidden="1" outlineLevel="1" thickBot="1" x14ac:dyDescent="0.3">
      <c r="A91" s="27"/>
      <c r="B91" s="320"/>
      <c r="C91" s="35"/>
      <c r="D91" s="46" t="s">
        <v>7688</v>
      </c>
      <c r="E91" s="47" t="s">
        <v>16</v>
      </c>
      <c r="F91" s="50">
        <f t="array" ref="F91">SUM(IF((Tabela_GM_PEDIDOS_2017_FIM[MOEDA]=$E91)*(Tabela_GM_PEDIDOS_2017_FIM[FILIAL]=$D$80)*(Tabela_GM_PEDIDOS_2017_FIM[TIPO_GRUPO]=F$10)*(Tabela_GM_PEDIDOS_2017_FIM[PAGO]&lt;&gt;"S"),Tabela_GM_PEDIDOS_2017_FIM[VL_PEDIDO_COMPRA]))*F87/1000</f>
        <v>189.78986624999999</v>
      </c>
      <c r="G91" s="50">
        <f t="array" ref="G91">SUM(IF((Tabela_GM_PEDIDOS_2017_FIM[MOEDA]=$E91)*(Tabela_GM_PEDIDOS_2017_FIM[FILIAL]=$D$80)*(Tabela_GM_PEDIDOS_2017_FIM[TIPO_GRUPO]=G$10)*(Tabela_GM_PEDIDOS_2017_FIM[PAGO]&lt;&gt;"S"),Tabela_GM_PEDIDOS_2017_FIM[VL_PEDIDO_COMPRA]))*G87/1000</f>
        <v>103.26266249999999</v>
      </c>
      <c r="H91" s="50">
        <f t="array" ref="H91">SUM(IF((Tabela_GM_PEDIDOS_2017_FIM[MOEDA]=$E91)*(Tabela_GM_PEDIDOS_2017_FIM[FILIAL]=$D$80)*(Tabela_GM_PEDIDOS_2017_FIM[TIPO_GRUPO]=H$10)*(Tabela_GM_PEDIDOS_2017_FIM[PAGO]&lt;&gt;"S"),Tabela_GM_PEDIDOS_2017_FIM[VL_PEDIDO_COMPRA]))*H87/1000</f>
        <v>0</v>
      </c>
      <c r="I91" s="50">
        <f t="array" ref="I91">SUM(IF((Tabela_GM_PEDIDOS_2017_FIM[MOEDA]=$E91)*(Tabela_GM_PEDIDOS_2017_FIM[FILIAL]=$D$80)*(Tabela_GM_PEDIDOS_2017_FIM[TIPO_GRUPO]=I$10)*(Tabela_GM_PEDIDOS_2017_FIM[PAGO]&lt;&gt;"S"),Tabela_GM_PEDIDOS_2017_FIM[VL_PEDIDO_COMPRA]))*I87/1000</f>
        <v>0</v>
      </c>
      <c r="J91" s="50">
        <f t="array" ref="J91">SUM(IF((Tabela_GM_PEDIDOS_2017_FIM[MOEDA]=$E91)*(Tabela_GM_PEDIDOS_2017_FIM[FILIAL]=$D$80)*(Tabela_GM_PEDIDOS_2017_FIM[TIPO_GRUPO]=J$10)*(Tabela_GM_PEDIDOS_2017_FIM[PAGO]&lt;&gt;"S"),Tabela_GM_PEDIDOS_2017_FIM[VL_PEDIDO_COMPRA]))*J87/1000</f>
        <v>0</v>
      </c>
      <c r="K91" s="50">
        <f t="array" ref="K91">SUM(IF((Tabela_GM_PEDIDOS_2017_FIM[MOEDA]=$E91)*(Tabela_GM_PEDIDOS_2017_FIM[FILIAL]=$D$80)*(Tabela_GM_PEDIDOS_2017_FIM[TIPO_GRUPO]=K$10)*(Tabela_GM_PEDIDOS_2017_FIM[PAGO]&lt;&gt;"S"),Tabela_GM_PEDIDOS_2017_FIM[VL_PEDIDO_COMPRA]))*K87/1000</f>
        <v>0</v>
      </c>
      <c r="L91" s="50">
        <f t="array" ref="L91">SUM(IF((Tabela_GM_PEDIDOS_2017_FIM[MOEDA]=$E91)*(Tabela_GM_PEDIDOS_2017_FIM[FILIAL]=$D$80)*(Tabela_GM_PEDIDOS_2017_FIM[TIPO_GRUPO]=L$10)*(Tabela_GM_PEDIDOS_2017_FIM[PAGO]&lt;&gt;"S"),Tabela_GM_PEDIDOS_2017_FIM[VL_PEDIDO_COMPRA]))*L87/1000</f>
        <v>0</v>
      </c>
      <c r="M91" s="50">
        <f t="array" ref="M91">SUM(IF((Tabela_GM_PEDIDOS_2017_FIM[MOEDA]=$E91)*(Tabela_GM_PEDIDOS_2017_FIM[FILIAL]=$D$80)*(Tabela_GM_PEDIDOS_2017_FIM[TIPO_GRUPO]=M$10)*(Tabela_GM_PEDIDOS_2017_FIM[PAGO]&lt;&gt;"S"),Tabela_GM_PEDIDOS_2017_FIM[VL_PEDIDO_COMPRA]))*M87/1000</f>
        <v>0</v>
      </c>
      <c r="N91" s="50">
        <f t="array" ref="N91">SUM(IF((Tabela_GM_PEDIDOS_2017_FIM[MOEDA]=$E91)*(Tabela_GM_PEDIDOS_2017_FIM[FILIAL]=$D$80)*(Tabela_GM_PEDIDOS_2017_FIM[TIPO_GRUPO]=N$10)*(Tabela_GM_PEDIDOS_2017_FIM[PAGO]&lt;&gt;"S"),Tabela_GM_PEDIDOS_2017_FIM[VL_PEDIDO_COMPRA]))*N87/1000</f>
        <v>0</v>
      </c>
      <c r="O91" s="50">
        <f t="array" ref="O91">SUM(IF((Tabela_GM_PEDIDOS_2017_FIM[MOEDA]=$E91)*(Tabela_GM_PEDIDOS_2017_FIM[FILIAL]=$D$80)*(Tabela_GM_PEDIDOS_2017_FIM[TIPO_GRUPO]=O$10)*(Tabela_GM_PEDIDOS_2017_FIM[PAGO]&lt;&gt;"S"),Tabela_GM_PEDIDOS_2017_FIM[VL_PEDIDO_COMPRA]))*O87/1000</f>
        <v>0</v>
      </c>
      <c r="P91" s="50">
        <f>SUM(F91:O91)</f>
        <v>293.05252874999996</v>
      </c>
      <c r="Q91" s="48"/>
    </row>
    <row r="92" spans="1:17" ht="15.75" collapsed="1" thickBot="1" x14ac:dyDescent="0.3">
      <c r="A92" s="27"/>
      <c r="B92" s="320"/>
      <c r="C92" s="35"/>
      <c r="D92" s="43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5"/>
    </row>
    <row r="93" spans="1:17" ht="15.75" thickBot="1" x14ac:dyDescent="0.3">
      <c r="A93" s="27"/>
      <c r="B93" s="320"/>
      <c r="C93" s="35"/>
      <c r="D93" s="22"/>
      <c r="E93" s="23" t="s">
        <v>7684</v>
      </c>
      <c r="F93" s="24">
        <v>300</v>
      </c>
      <c r="G93" s="24">
        <v>400</v>
      </c>
      <c r="H93" s="24">
        <v>500</v>
      </c>
      <c r="I93" s="24">
        <v>0</v>
      </c>
      <c r="J93" s="24">
        <v>420</v>
      </c>
      <c r="K93" s="24">
        <v>435</v>
      </c>
      <c r="L93" s="24">
        <v>70</v>
      </c>
      <c r="M93" s="24">
        <v>216</v>
      </c>
      <c r="N93" s="24">
        <v>0</v>
      </c>
      <c r="O93" s="24">
        <v>0</v>
      </c>
      <c r="P93" s="25"/>
      <c r="Q93" s="26"/>
    </row>
    <row r="94" spans="1:17" ht="15.75" thickBot="1" x14ac:dyDescent="0.3">
      <c r="A94" s="27"/>
      <c r="B94" s="320"/>
      <c r="C94" s="35"/>
      <c r="D94" s="30"/>
      <c r="E94" s="31"/>
      <c r="F94" s="32"/>
      <c r="G94" s="32"/>
      <c r="H94" s="32"/>
      <c r="I94" s="32" t="s">
        <v>7785</v>
      </c>
      <c r="J94" s="32" t="s">
        <v>7785</v>
      </c>
      <c r="K94" s="32"/>
      <c r="L94" s="32"/>
      <c r="M94" s="32"/>
      <c r="N94" s="32"/>
      <c r="O94" s="33" t="s">
        <v>7784</v>
      </c>
      <c r="P94" s="32"/>
      <c r="Q94" s="34"/>
    </row>
    <row r="95" spans="1:17" ht="15.75" thickBot="1" x14ac:dyDescent="0.3">
      <c r="A95" s="27"/>
      <c r="B95" s="320"/>
      <c r="C95" s="35"/>
      <c r="D95" s="36" t="s">
        <v>33</v>
      </c>
      <c r="E95" s="37">
        <f t="array" ref="E95">SUM(IF((ProjecaoAreas!$B$28:$B$38=ResumoCusto!D95),ProjecaoAreas!$D$28:$D$38))</f>
        <v>2330</v>
      </c>
      <c r="F95" s="37">
        <f t="array" ref="F95">(SUM(IF((Tabela_GM_PEDIDOS_2017_FIM[TIPO_GRUPO]=ResumoCusto!F$10)*(Tabela_GM_PEDIDOS_2017_FIM[FILIAL]=ResumoCusto!$D95),Tabela_GM_PEDIDOS_2017_FIM[VALOR_PAGAR]+Tabela_GM_PEDIDOS_2017_FIM[VC_FINANCEIRA]))/1000)+F93</f>
        <v>1766.6371788880001</v>
      </c>
      <c r="G95" s="37">
        <f t="array" ref="G95">(SUM(IF((Tabela_GM_PEDIDOS_2017_FIM[TIPO_GRUPO]=ResumoCusto!G$10)*(Tabela_GM_PEDIDOS_2017_FIM[FILIAL]=ResumoCusto!$D95),Tabela_GM_PEDIDOS_2017_FIM[VALOR_PAGAR]+Tabela_GM_PEDIDOS_2017_FIM[VC_FINANCEIRA]))/1000)+G93</f>
        <v>427.99377249999998</v>
      </c>
      <c r="H95" s="37">
        <f t="array" ref="H95">(SUM(IF((Tabela_GM_PEDIDOS_2017_FIM[TIPO_GRUPO]=ResumoCusto!H$10)*(Tabela_GM_PEDIDOS_2017_FIM[FILIAL]=ResumoCusto!$D95),Tabela_GM_PEDIDOS_2017_FIM[VALOR_PAGAR]+Tabela_GM_PEDIDOS_2017_FIM[VC_FINANCEIRA]))/1000)+H93</f>
        <v>500</v>
      </c>
      <c r="I95" s="37">
        <f>Frete!C11/1000</f>
        <v>94.076040038985738</v>
      </c>
      <c r="J95" s="37">
        <f t="array" ref="J95">(SUM(IF((Tabela_GM_PEDIDOS_2017_FIM[TIPO_GRUPO]=ResumoCusto!J$10)*(Tabela_GM_PEDIDOS_2017_FIM[FILIAL]=ResumoCusto!$D95),Tabela_GM_PEDIDOS_2017_FIM[VALOR_PAGAR]+Tabela_GM_PEDIDOS_2017_FIM[VC_FINANCEIRA]))/1000)+J93</f>
        <v>420</v>
      </c>
      <c r="K95" s="37">
        <f t="array" ref="K95">(SUM(IF((Tabela_GM_PEDIDOS_2017_FIM[TIPO_GRUPO]=ResumoCusto!K$10)*(Tabela_GM_PEDIDOS_2017_FIM[FILIAL]=ResumoCusto!$D95),Tabela_GM_PEDIDOS_2017_FIM[VALOR_PAGAR]+Tabela_GM_PEDIDOS_2017_FIM[VC_FINANCEIRA]))/1000)+K93</f>
        <v>440.04750000000001</v>
      </c>
      <c r="L95" s="37">
        <f t="array" ref="L95">(SUM(IF((Tabela_GM_PEDIDOS_2017_FIM[TIPO_GRUPO]=ResumoCusto!L$10)*(Tabela_GM_PEDIDOS_2017_FIM[FILIAL]=ResumoCusto!$D95),Tabela_GM_PEDIDOS_2017_FIM[VALOR_PAGAR]+Tabela_GM_PEDIDOS_2017_FIM[VC_FINANCEIRA]))/1000)+L93</f>
        <v>70</v>
      </c>
      <c r="M95" s="37">
        <f t="array" ref="M95">(SUM(IF((Tabela_GM_PEDIDOS_2017_FIM[TIPO_GRUPO]=ResumoCusto!M$10)*(Tabela_GM_PEDIDOS_2017_FIM[FILIAL]=ResumoCusto!$D95),Tabela_GM_PEDIDOS_2017_FIM[VALOR_PAGAR]+Tabela_GM_PEDIDOS_2017_FIM[VC_FINANCEIRA]))/1000)+M93</f>
        <v>216.012</v>
      </c>
      <c r="N95" s="37">
        <f t="array" ref="N95">(SUM(IF((Tabela_GM_PEDIDOS_2017_FIM[TIPO_GRUPO]=ResumoCusto!N$10)*(Tabela_GM_PEDIDOS_2017_FIM[FILIAL]=ResumoCusto!$D95),Tabela_GM_PEDIDOS_2017_FIM[VALOR_PAGAR]+Tabela_GM_PEDIDOS_2017_FIM[VC_FINANCEIRA]))/1000)+N93</f>
        <v>28</v>
      </c>
      <c r="O95" s="37">
        <f t="array" ref="O95">(SUM(IF((Tabela_GM_PEDIDOS_2017_FIM[TIPO_GRUPO]=ResumoCusto!O$10)*(Tabela_GM_PEDIDOS_2017_FIM[FILIAL]=ResumoCusto!$D95),Tabela_GM_PEDIDOS_2017_FIM[VALOR_PAGAR]+Tabela_GM_PEDIDOS_2017_FIM[VC_FINANCEIRA]))/1000)+O93</f>
        <v>0</v>
      </c>
      <c r="P95" s="37">
        <f>SUM(F95:O95)</f>
        <v>3962.7664914269862</v>
      </c>
      <c r="Q95" s="38">
        <f>P95/E95*1000</f>
        <v>1700.7581508270325</v>
      </c>
    </row>
    <row r="96" spans="1:17" ht="15.75" thickBot="1" x14ac:dyDescent="0.3">
      <c r="A96" s="27"/>
      <c r="B96" s="320"/>
      <c r="C96" s="35"/>
      <c r="D96" s="39" t="s">
        <v>7786</v>
      </c>
      <c r="E96" s="40"/>
      <c r="F96" s="41">
        <v>0.88</v>
      </c>
      <c r="G96" s="41">
        <v>0.88</v>
      </c>
      <c r="H96" s="41">
        <f t="array" ref="H96">SUM(IF((ProjecaoAreas!$H$6:$H$46=ResumoCusto!$D$95)*(ProjecaoAreas!$I$6:$I$46=ResumoCusto!$D97),ProjecaoAreas!$L$6:$L$46))</f>
        <v>0.5701912666907254</v>
      </c>
      <c r="I96" s="41">
        <v>0.88</v>
      </c>
      <c r="J96" s="41">
        <f t="array" ref="J96">SUM(IF((ProjecaoAreas!$H$6:$H$46=ResumoCusto!$D$95)*(ProjecaoAreas!$I$6:$I$46=ResumoCusto!$D97),ProjecaoAreas!$L$6:$L$46))</f>
        <v>0.5701912666907254</v>
      </c>
      <c r="K96" s="41">
        <f t="array" ref="K96">SUM(IF((ProjecaoAreas!$H$6:$H$46=ResumoCusto!$D$95)*(ProjecaoAreas!$I$6:$I$46=ResumoCusto!$D97),ProjecaoAreas!$L$6:$L$46))</f>
        <v>0.5701912666907254</v>
      </c>
      <c r="L96" s="41">
        <v>0.88</v>
      </c>
      <c r="M96" s="41">
        <f t="array" ref="M96">SUM(IF((ProjecaoAreas!$H$6:$H$46=ResumoCusto!$D$95)*(ProjecaoAreas!$I$6:$I$46=ResumoCusto!$D97),ProjecaoAreas!$L$6:$L$46))</f>
        <v>0.5701912666907254</v>
      </c>
      <c r="N96" s="41">
        <f t="array" ref="N96">SUM(IF((ProjecaoAreas!$H$6:$H$46=ResumoCusto!$D$95)*(ProjecaoAreas!$I$6:$I$46=ResumoCusto!$D97),ProjecaoAreas!$L$6:$L$46))</f>
        <v>0.5701912666907254</v>
      </c>
      <c r="O96" s="41">
        <f t="array" ref="O96">SUM(IF((ProjecaoAreas!$H$6:$H$46=ResumoCusto!$D$95)*(ProjecaoAreas!$I$6:$I$46=ResumoCusto!$D97),ProjecaoAreas!$L$6:$L$46))</f>
        <v>0.5701912666907254</v>
      </c>
      <c r="P96" s="40"/>
      <c r="Q96" s="42"/>
    </row>
    <row r="97" spans="1:17" ht="15.75" thickBot="1" x14ac:dyDescent="0.3">
      <c r="A97" s="27"/>
      <c r="B97" s="320"/>
      <c r="C97" s="35"/>
      <c r="D97" s="43" t="s">
        <v>7660</v>
      </c>
      <c r="E97" s="44">
        <f t="array" ref="E97">SUM(IF((ProjecaoAreas!$H$6:$H$46=ResumoCusto!$D$95)*(ProjecaoAreas!$I$6:$I$46=ResumoCusto!$D97),ProjecaoAreas!$J$6:$J$46))</f>
        <v>1580</v>
      </c>
      <c r="F97" s="44">
        <f t="array" ref="F97">F$95*F96</f>
        <v>1554.6407174214401</v>
      </c>
      <c r="G97" s="44">
        <f t="array" ref="G97">G$95*G96</f>
        <v>376.63451979999996</v>
      </c>
      <c r="H97" s="44">
        <f t="array" ref="H97">H$95*H96</f>
        <v>285.09563334536267</v>
      </c>
      <c r="I97" s="44">
        <f t="array" ref="I97">I$95*I96</f>
        <v>82.786915234307443</v>
      </c>
      <c r="J97" s="44">
        <f t="array" ref="J97">J$95*J96</f>
        <v>239.48033201010466</v>
      </c>
      <c r="K97" s="44">
        <f t="array" ref="K97">K$95*K96</f>
        <v>250.911241429087</v>
      </c>
      <c r="L97" s="44">
        <f t="array" ref="L97">L$95*L96</f>
        <v>61.6</v>
      </c>
      <c r="M97" s="44">
        <f t="array" ref="M97">M$95*M96</f>
        <v>123.16815590039697</v>
      </c>
      <c r="N97" s="44">
        <f t="array" ref="N97">N$95*N96</f>
        <v>15.965355467340311</v>
      </c>
      <c r="O97" s="44">
        <f t="array" ref="O97">O$95*O96</f>
        <v>0</v>
      </c>
      <c r="P97" s="44">
        <f>SUM(F97:O97)</f>
        <v>2990.282870608039</v>
      </c>
      <c r="Q97" s="45">
        <f>P97/E97*1000</f>
        <v>1892.5840953215436</v>
      </c>
    </row>
    <row r="98" spans="1:17" ht="15.75" hidden="1" outlineLevel="1" thickBot="1" x14ac:dyDescent="0.3">
      <c r="A98" s="27"/>
      <c r="B98" s="320"/>
      <c r="C98" s="35"/>
      <c r="D98" s="46" t="s">
        <v>7686</v>
      </c>
      <c r="E98" s="47" t="s">
        <v>27</v>
      </c>
      <c r="F98" s="47">
        <f t="array" ref="F98">SUM(IF((Tabela_GM_PEDIDOS_2017_FIM[MOEDA]=$E98)*(Tabela_GM_PEDIDOS_2017_FIM[FILIAL]=$D$95)*(Tabela_GM_PEDIDOS_2017_FIM[TIPO_GRUPO]=F$10),Tabela_GM_PEDIDOS_2017_FIM[VALOR_PAGAR]+Tabela_GM_PEDIDOS_2017_FIM[VC_FINANCEIRA]))*F96/1000</f>
        <v>0</v>
      </c>
      <c r="G98" s="47">
        <f t="array" ref="G98">SUM(IF((Tabela_GM_PEDIDOS_2017_FIM[MOEDA]=$E98)*(Tabela_GM_PEDIDOS_2017_FIM[FILIAL]=$D$95)*(Tabela_GM_PEDIDOS_2017_FIM[TIPO_GRUPO]=G$10),Tabela_GM_PEDIDOS_2017_FIM[VALOR_PAGAR]+Tabela_GM_PEDIDOS_2017_FIM[VC_FINANCEIRA]))*G96/1000</f>
        <v>0</v>
      </c>
      <c r="H98" s="47">
        <f t="array" ref="H98">SUM(IF((Tabela_GM_PEDIDOS_2017_FIM[MOEDA]=$E98)*(Tabela_GM_PEDIDOS_2017_FIM[FILIAL]=$D$95)*(Tabela_GM_PEDIDOS_2017_FIM[TIPO_GRUPO]=H$10),Tabela_GM_PEDIDOS_2017_FIM[VALOR_PAGAR]+Tabela_GM_PEDIDOS_2017_FIM[VC_FINANCEIRA]))*H96/1000</f>
        <v>0</v>
      </c>
      <c r="I98" s="47">
        <f t="array" ref="I98">SUM(IF((Tabela_GM_PEDIDOS_2017_FIM[MOEDA]=$E98)*(Tabela_GM_PEDIDOS_2017_FIM[FILIAL]=$D$95)*(Tabela_GM_PEDIDOS_2017_FIM[TIPO_GRUPO]=I$10),Tabela_GM_PEDIDOS_2017_FIM[VALOR_PAGAR]+Tabela_GM_PEDIDOS_2017_FIM[VC_FINANCEIRA]))*I96/1000</f>
        <v>0</v>
      </c>
      <c r="J98" s="47">
        <f t="array" ref="J98">SUM(IF((Tabela_GM_PEDIDOS_2017_FIM[MOEDA]=$E98)*(Tabela_GM_PEDIDOS_2017_FIM[FILIAL]=$D$95)*(Tabela_GM_PEDIDOS_2017_FIM[TIPO_GRUPO]=J$10),Tabela_GM_PEDIDOS_2017_FIM[VALOR_PAGAR]+Tabela_GM_PEDIDOS_2017_FIM[VC_FINANCEIRA]))*J96/1000</f>
        <v>0</v>
      </c>
      <c r="K98" s="47">
        <f t="array" ref="K98">SUM(IF((Tabela_GM_PEDIDOS_2017_FIM[MOEDA]=$E98)*(Tabela_GM_PEDIDOS_2017_FIM[FILIAL]=$D$95)*(Tabela_GM_PEDIDOS_2017_FIM[TIPO_GRUPO]=K$10),Tabela_GM_PEDIDOS_2017_FIM[VALOR_PAGAR]+Tabela_GM_PEDIDOS_2017_FIM[VC_FINANCEIRA]))*K96/1000</f>
        <v>2.8780404186214366</v>
      </c>
      <c r="L98" s="47">
        <f t="array" ref="L98">SUM(IF((Tabela_GM_PEDIDOS_2017_FIM[MOEDA]=$E98)*(Tabela_GM_PEDIDOS_2017_FIM[FILIAL]=$D$95)*(Tabela_GM_PEDIDOS_2017_FIM[TIPO_GRUPO]=L$10),Tabela_GM_PEDIDOS_2017_FIM[VALOR_PAGAR]+Tabela_GM_PEDIDOS_2017_FIM[VC_FINANCEIRA]))*L96/1000</f>
        <v>0</v>
      </c>
      <c r="M98" s="47">
        <f t="array" ref="M98">SUM(IF((Tabela_GM_PEDIDOS_2017_FIM[MOEDA]=$E98)*(Tabela_GM_PEDIDOS_2017_FIM[FILIAL]=$D$95)*(Tabela_GM_PEDIDOS_2017_FIM[TIPO_GRUPO]=M$10),Tabela_GM_PEDIDOS_2017_FIM[VALOR_PAGAR]+Tabela_GM_PEDIDOS_2017_FIM[VC_FINANCEIRA]))*M96/1000</f>
        <v>6.8422952002887049E-3</v>
      </c>
      <c r="N98" s="47">
        <f t="array" ref="N98">SUM(IF((Tabela_GM_PEDIDOS_2017_FIM[MOEDA]=$E98)*(Tabela_GM_PEDIDOS_2017_FIM[FILIAL]=$D$95)*(Tabela_GM_PEDIDOS_2017_FIM[TIPO_GRUPO]=N$10),Tabela_GM_PEDIDOS_2017_FIM[VALOR_PAGAR]+Tabela_GM_PEDIDOS_2017_FIM[VC_FINANCEIRA]))*N96/1000</f>
        <v>15.965355467340311</v>
      </c>
      <c r="O98" s="47">
        <f t="array" ref="O98">SUM(IF((Tabela_GM_PEDIDOS_2017_FIM[MOEDA]=$E98)*(Tabela_GM_PEDIDOS_2017_FIM[FILIAL]=$D$95)*(Tabela_GM_PEDIDOS_2017_FIM[TIPO_GRUPO]=O$10),Tabela_GM_PEDIDOS_2017_FIM[VALOR_PAGAR]+Tabela_GM_PEDIDOS_2017_FIM[VC_FINANCEIRA]))*O96/1000</f>
        <v>0</v>
      </c>
      <c r="P98" s="47">
        <f t="array" ref="P98">SUM(F98:O98)</f>
        <v>18.850238181162037</v>
      </c>
      <c r="Q98" s="48"/>
    </row>
    <row r="99" spans="1:17" ht="15.75" hidden="1" outlineLevel="1" thickBot="1" x14ac:dyDescent="0.3">
      <c r="A99" s="27"/>
      <c r="B99" s="320"/>
      <c r="C99" s="35"/>
      <c r="D99" s="46" t="s">
        <v>7687</v>
      </c>
      <c r="E99" s="47" t="s">
        <v>16</v>
      </c>
      <c r="F99" s="47">
        <f t="array" ref="F99">SUM(IF((Tabela_GM_PEDIDOS_2017_FIM[MOEDA]=$E99)*(Tabela_GM_PEDIDOS_2017_FIM[FILIAL]=$D$95)*(Tabela_GM_PEDIDOS_2017_FIM[TIPO_GRUPO]=F$10)*(Tabela_GM_PEDIDOS_2017_FIM[PAGO]="S"),Tabela_GM_PEDIDOS_2017_FIM[VALOR_PAGAR]+Tabela_GM_PEDIDOS_2017_FIM[VC_FINANCEIRA]))*F96/1000</f>
        <v>0</v>
      </c>
      <c r="G99" s="47">
        <f t="array" ref="G99">SUM(IF((Tabela_GM_PEDIDOS_2017_FIM[MOEDA]=$E99)*(Tabela_GM_PEDIDOS_2017_FIM[FILIAL]=$D$95)*(Tabela_GM_PEDIDOS_2017_FIM[TIPO_GRUPO]=G$10)*(Tabela_GM_PEDIDOS_2017_FIM[PAGO]="S"),Tabela_GM_PEDIDOS_2017_FIM[VALOR_PAGAR]+Tabela_GM_PEDIDOS_2017_FIM[VC_FINANCEIRA]))*G96/1000</f>
        <v>0</v>
      </c>
      <c r="H99" s="47">
        <f t="array" ref="H99">SUM(IF((Tabela_GM_PEDIDOS_2017_FIM[MOEDA]=$E99)*(Tabela_GM_PEDIDOS_2017_FIM[FILIAL]=$D$95)*(Tabela_GM_PEDIDOS_2017_FIM[TIPO_GRUPO]=H$10)*(Tabela_GM_PEDIDOS_2017_FIM[PAGO]="S"),Tabela_GM_PEDIDOS_2017_FIM[VALOR_PAGAR]+Tabela_GM_PEDIDOS_2017_FIM[VC_FINANCEIRA]))*H96/1000</f>
        <v>0</v>
      </c>
      <c r="I99" s="47">
        <f t="array" ref="I99">SUM(IF((Tabela_GM_PEDIDOS_2017_FIM[MOEDA]=$E99)*(Tabela_GM_PEDIDOS_2017_FIM[FILIAL]=$D$95)*(Tabela_GM_PEDIDOS_2017_FIM[TIPO_GRUPO]=I$10)*(Tabela_GM_PEDIDOS_2017_FIM[PAGO]="S"),Tabela_GM_PEDIDOS_2017_FIM[VALOR_PAGAR]+Tabela_GM_PEDIDOS_2017_FIM[VC_FINANCEIRA]))*I96/1000</f>
        <v>0</v>
      </c>
      <c r="J99" s="47">
        <f t="array" ref="J99">SUM(IF((Tabela_GM_PEDIDOS_2017_FIM[MOEDA]=$E99)*(Tabela_GM_PEDIDOS_2017_FIM[FILIAL]=$D$95)*(Tabela_GM_PEDIDOS_2017_FIM[TIPO_GRUPO]=J$10)*(Tabela_GM_PEDIDOS_2017_FIM[PAGO]="S"),Tabela_GM_PEDIDOS_2017_FIM[VALOR_PAGAR]+Tabela_GM_PEDIDOS_2017_FIM[VC_FINANCEIRA]))*J96/1000</f>
        <v>0</v>
      </c>
      <c r="K99" s="47">
        <f t="array" ref="K99">SUM(IF((Tabela_GM_PEDIDOS_2017_FIM[MOEDA]=$E99)*(Tabela_GM_PEDIDOS_2017_FIM[FILIAL]=$D$95)*(Tabela_GM_PEDIDOS_2017_FIM[TIPO_GRUPO]=K$10)*(Tabela_GM_PEDIDOS_2017_FIM[PAGO]="S"),Tabela_GM_PEDIDOS_2017_FIM[VALOR_PAGAR]+Tabela_GM_PEDIDOS_2017_FIM[VC_FINANCEIRA]))*K96/1000</f>
        <v>0</v>
      </c>
      <c r="L99" s="47">
        <f t="array" ref="L99">SUM(IF((Tabela_GM_PEDIDOS_2017_FIM[MOEDA]=$E99)*(Tabela_GM_PEDIDOS_2017_FIM[FILIAL]=$D$95)*(Tabela_GM_PEDIDOS_2017_FIM[TIPO_GRUPO]=L$10)*(Tabela_GM_PEDIDOS_2017_FIM[PAGO]="S"),Tabela_GM_PEDIDOS_2017_FIM[VALOR_PAGAR]+Tabela_GM_PEDIDOS_2017_FIM[VC_FINANCEIRA]))*L96/1000</f>
        <v>0</v>
      </c>
      <c r="M99" s="47">
        <f t="array" ref="M99">SUM(IF((Tabela_GM_PEDIDOS_2017_FIM[MOEDA]=$E99)*(Tabela_GM_PEDIDOS_2017_FIM[FILIAL]=$D$95)*(Tabela_GM_PEDIDOS_2017_FIM[TIPO_GRUPO]=M$10)*(Tabela_GM_PEDIDOS_2017_FIM[PAGO]="S"),Tabela_GM_PEDIDOS_2017_FIM[VALOR_PAGAR]+Tabela_GM_PEDIDOS_2017_FIM[VC_FINANCEIRA]))*M96/1000</f>
        <v>0</v>
      </c>
      <c r="N99" s="47">
        <f t="array" ref="N99">SUM(IF((Tabela_GM_PEDIDOS_2017_FIM[MOEDA]=$E99)*(Tabela_GM_PEDIDOS_2017_FIM[FILIAL]=$D$95)*(Tabela_GM_PEDIDOS_2017_FIM[TIPO_GRUPO]=N$10)*(Tabela_GM_PEDIDOS_2017_FIM[PAGO]="S"),Tabela_GM_PEDIDOS_2017_FIM[VALOR_PAGAR]+Tabela_GM_PEDIDOS_2017_FIM[VC_FINANCEIRA]))*N96/1000</f>
        <v>0</v>
      </c>
      <c r="O99" s="47">
        <f t="array" ref="O99">SUM(IF((Tabela_GM_PEDIDOS_2017_FIM[MOEDA]=$E99)*(Tabela_GM_PEDIDOS_2017_FIM[FILIAL]=$D$95)*(Tabela_GM_PEDIDOS_2017_FIM[TIPO_GRUPO]=O$10)*(Tabela_GM_PEDIDOS_2017_FIM[PAGO]="S"),Tabela_GM_PEDIDOS_2017_FIM[VALOR_PAGAR]+Tabela_GM_PEDIDOS_2017_FIM[VC_FINANCEIRA]))*O96/1000</f>
        <v>0</v>
      </c>
      <c r="P99" s="47">
        <f t="array" ref="P99">SUM(F99:O99)</f>
        <v>0</v>
      </c>
      <c r="Q99" s="49"/>
    </row>
    <row r="100" spans="1:17" ht="15.75" hidden="1" outlineLevel="1" thickBot="1" x14ac:dyDescent="0.3">
      <c r="A100" s="27"/>
      <c r="B100" s="320"/>
      <c r="C100" s="35"/>
      <c r="D100" s="46" t="s">
        <v>7688</v>
      </c>
      <c r="E100" s="47" t="s">
        <v>16</v>
      </c>
      <c r="F100" s="50">
        <f t="array" ref="F100">SUM(IF((Tabela_GM_PEDIDOS_2017_FIM[MOEDA]=$E100)*(Tabela_GM_PEDIDOS_2017_FIM[FILIAL]=$D$95)*(Tabela_GM_PEDIDOS_2017_FIM[TIPO_GRUPO]=F$10)*(Tabela_GM_PEDIDOS_2017_FIM[PAGO]&lt;&gt;"S"),Tabela_GM_PEDIDOS_2017_FIM[VL_PEDIDO_COMPRA]))*F96/1000</f>
        <v>387.83153199999998</v>
      </c>
      <c r="G100" s="50">
        <f t="array" ref="G100">SUM(IF((Tabela_GM_PEDIDOS_2017_FIM[MOEDA]=$E100)*(Tabela_GM_PEDIDOS_2017_FIM[FILIAL]=$D$95)*(Tabela_GM_PEDIDOS_2017_FIM[TIPO_GRUPO]=G$10)*(Tabela_GM_PEDIDOS_2017_FIM[PAGO]&lt;&gt;"S"),Tabela_GM_PEDIDOS_2017_FIM[VL_PEDIDO_COMPRA]))*G96/1000</f>
        <v>7.4580000000000002</v>
      </c>
      <c r="H100" s="50">
        <f t="array" ref="H100">SUM(IF((Tabela_GM_PEDIDOS_2017_FIM[MOEDA]=$E100)*(Tabela_GM_PEDIDOS_2017_FIM[FILIAL]=$D$95)*(Tabela_GM_PEDIDOS_2017_FIM[TIPO_GRUPO]=H$10)*(Tabela_GM_PEDIDOS_2017_FIM[PAGO]&lt;&gt;"S"),Tabela_GM_PEDIDOS_2017_FIM[VL_PEDIDO_COMPRA]))*H96/1000</f>
        <v>0</v>
      </c>
      <c r="I100" s="50">
        <f t="array" ref="I100">SUM(IF((Tabela_GM_PEDIDOS_2017_FIM[MOEDA]=$E100)*(Tabela_GM_PEDIDOS_2017_FIM[FILIAL]=$D$95)*(Tabela_GM_PEDIDOS_2017_FIM[TIPO_GRUPO]=I$10)*(Tabela_GM_PEDIDOS_2017_FIM[PAGO]&lt;&gt;"S"),Tabela_GM_PEDIDOS_2017_FIM[VL_PEDIDO_COMPRA]))*I96/1000</f>
        <v>0</v>
      </c>
      <c r="J100" s="50">
        <f t="array" ref="J100">SUM(IF((Tabela_GM_PEDIDOS_2017_FIM[MOEDA]=$E100)*(Tabela_GM_PEDIDOS_2017_FIM[FILIAL]=$D$95)*(Tabela_GM_PEDIDOS_2017_FIM[TIPO_GRUPO]=J$10)*(Tabela_GM_PEDIDOS_2017_FIM[PAGO]&lt;&gt;"S"),Tabela_GM_PEDIDOS_2017_FIM[VL_PEDIDO_COMPRA]))*J96/1000</f>
        <v>0</v>
      </c>
      <c r="K100" s="50">
        <f t="array" ref="K100">SUM(IF((Tabela_GM_PEDIDOS_2017_FIM[MOEDA]=$E100)*(Tabela_GM_PEDIDOS_2017_FIM[FILIAL]=$D$95)*(Tabela_GM_PEDIDOS_2017_FIM[TIPO_GRUPO]=K$10)*(Tabela_GM_PEDIDOS_2017_FIM[PAGO]&lt;&gt;"S"),Tabela_GM_PEDIDOS_2017_FIM[VL_PEDIDO_COMPRA]))*K96/1000</f>
        <v>0</v>
      </c>
      <c r="L100" s="50">
        <f t="array" ref="L100">SUM(IF((Tabela_GM_PEDIDOS_2017_FIM[MOEDA]=$E100)*(Tabela_GM_PEDIDOS_2017_FIM[FILIAL]=$D$95)*(Tabela_GM_PEDIDOS_2017_FIM[TIPO_GRUPO]=L$10)*(Tabela_GM_PEDIDOS_2017_FIM[PAGO]&lt;&gt;"S"),Tabela_GM_PEDIDOS_2017_FIM[VL_PEDIDO_COMPRA]))*L96/1000</f>
        <v>0</v>
      </c>
      <c r="M100" s="50">
        <f t="array" ref="M100">SUM(IF((Tabela_GM_PEDIDOS_2017_FIM[MOEDA]=$E100)*(Tabela_GM_PEDIDOS_2017_FIM[FILIAL]=$D$95)*(Tabela_GM_PEDIDOS_2017_FIM[TIPO_GRUPO]=M$10)*(Tabela_GM_PEDIDOS_2017_FIM[PAGO]&lt;&gt;"S"),Tabela_GM_PEDIDOS_2017_FIM[VL_PEDIDO_COMPRA]))*M96/1000</f>
        <v>0</v>
      </c>
      <c r="N100" s="50">
        <f t="array" ref="N100">SUM(IF((Tabela_GM_PEDIDOS_2017_FIM[MOEDA]=$E100)*(Tabela_GM_PEDIDOS_2017_FIM[FILIAL]=$D$95)*(Tabela_GM_PEDIDOS_2017_FIM[TIPO_GRUPO]=N$10)*(Tabela_GM_PEDIDOS_2017_FIM[PAGO]&lt;&gt;"S"),Tabela_GM_PEDIDOS_2017_FIM[VL_PEDIDO_COMPRA]))*N96/1000</f>
        <v>0</v>
      </c>
      <c r="O100" s="50">
        <f t="array" ref="O100">SUM(IF((Tabela_GM_PEDIDOS_2017_FIM[MOEDA]=$E100)*(Tabela_GM_PEDIDOS_2017_FIM[FILIAL]=$D$95)*(Tabela_GM_PEDIDOS_2017_FIM[TIPO_GRUPO]=O$10)*(Tabela_GM_PEDIDOS_2017_FIM[PAGO]&lt;&gt;"S"),Tabela_GM_PEDIDOS_2017_FIM[VL_PEDIDO_COMPRA]))*O96/1000</f>
        <v>0</v>
      </c>
      <c r="P100" s="50">
        <f>SUM(F100:O100)</f>
        <v>395.28953200000001</v>
      </c>
      <c r="Q100" s="48"/>
    </row>
    <row r="101" spans="1:17" ht="15.75" collapsed="1" thickBot="1" x14ac:dyDescent="0.3">
      <c r="A101" s="27"/>
      <c r="B101" s="320"/>
      <c r="C101" s="35"/>
      <c r="D101" s="43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5"/>
    </row>
    <row r="102" spans="1:17" ht="15.75" thickBot="1" x14ac:dyDescent="0.3">
      <c r="A102" s="27"/>
      <c r="B102" s="320"/>
      <c r="C102" s="35"/>
      <c r="D102" s="39" t="s">
        <v>7786</v>
      </c>
      <c r="E102" s="40"/>
      <c r="F102" s="41">
        <v>0.12</v>
      </c>
      <c r="G102" s="41">
        <v>0.12</v>
      </c>
      <c r="H102" s="41">
        <f t="array" ref="H102">SUM(IF((ProjecaoAreas!$H$6:$H$46=ResumoCusto!$D$95)*(ProjecaoAreas!$I$6:$I$46=ResumoCusto!$D103),ProjecaoAreas!$L$6:$L$46))</f>
        <v>7.7950198484301694E-2</v>
      </c>
      <c r="I102" s="41">
        <v>0.12</v>
      </c>
      <c r="J102" s="41">
        <f t="array" ref="J102">SUM(IF((ProjecaoAreas!$H$6:$H$46=ResumoCusto!$D$95)*(ProjecaoAreas!$I$6:$I$46=ResumoCusto!$D103),ProjecaoAreas!$L$6:$L$46))</f>
        <v>7.7950198484301694E-2</v>
      </c>
      <c r="K102" s="41">
        <f t="array" ref="K102">SUM(IF((ProjecaoAreas!$H$6:$H$46=ResumoCusto!$D$95)*(ProjecaoAreas!$I$6:$I$46=ResumoCusto!$D103),ProjecaoAreas!$L$6:$L$46))</f>
        <v>7.7950198484301694E-2</v>
      </c>
      <c r="L102" s="41">
        <v>0.12</v>
      </c>
      <c r="M102" s="41">
        <f t="array" ref="M102">SUM(IF((ProjecaoAreas!$H$6:$H$46=ResumoCusto!$D$95)*(ProjecaoAreas!$I$6:$I$46=ResumoCusto!$D103),ProjecaoAreas!$L$6:$L$46))</f>
        <v>7.7950198484301694E-2</v>
      </c>
      <c r="N102" s="41">
        <f t="array" ref="N102">SUM(IF((ProjecaoAreas!$H$6:$H$46=ResumoCusto!$D$95)*(ProjecaoAreas!$I$6:$I$46=ResumoCusto!$D103),ProjecaoAreas!$L$6:$L$46))</f>
        <v>7.7950198484301694E-2</v>
      </c>
      <c r="O102" s="41">
        <f t="array" ref="O102">SUM(IF((ProjecaoAreas!$H$6:$H$46=ResumoCusto!$D$95)*(ProjecaoAreas!$I$6:$I$46=ResumoCusto!$D103),ProjecaoAreas!$L$6:$L$46))</f>
        <v>7.7950198484301694E-2</v>
      </c>
      <c r="P102" s="40"/>
      <c r="Q102" s="42"/>
    </row>
    <row r="103" spans="1:17" ht="15.75" thickBot="1" x14ac:dyDescent="0.3">
      <c r="A103" s="27"/>
      <c r="B103" s="320"/>
      <c r="C103" s="35"/>
      <c r="D103" s="43" t="s">
        <v>7663</v>
      </c>
      <c r="E103" s="44">
        <f t="array" ref="E103">SUM(IF((ProjecaoAreas!$H$6:$H$46=ResumoCusto!$D$95)*(ProjecaoAreas!$I$6:$I$46=ResumoCusto!$D103),ProjecaoAreas!$J$6:$J$46))</f>
        <v>360</v>
      </c>
      <c r="F103" s="44">
        <f t="array" ref="F103">F$95*F102</f>
        <v>211.99646146655999</v>
      </c>
      <c r="G103" s="44">
        <f t="array" ref="G103">G$95*G102</f>
        <v>51.359252699999992</v>
      </c>
      <c r="H103" s="44">
        <f t="array" ref="H103">H$95*H102</f>
        <v>38.975099242150847</v>
      </c>
      <c r="I103" s="44">
        <f t="array" ref="I103">I$95*I102</f>
        <v>11.289124804678288</v>
      </c>
      <c r="J103" s="44">
        <f t="array" ref="J103">J$95*J102</f>
        <v>32.739083363406714</v>
      </c>
      <c r="K103" s="44">
        <f t="array" ref="K103">K$95*K102</f>
        <v>34.301789967520747</v>
      </c>
      <c r="L103" s="44">
        <f t="array" ref="L103">L$95*L102</f>
        <v>8.4</v>
      </c>
      <c r="M103" s="44">
        <f t="array" ref="M103">M$95*M102</f>
        <v>16.838178274990977</v>
      </c>
      <c r="N103" s="44">
        <f t="array" ref="N103">N$95*N102</f>
        <v>2.1826055575604473</v>
      </c>
      <c r="O103" s="44">
        <f t="array" ref="O103">O$95*O102</f>
        <v>0</v>
      </c>
      <c r="P103" s="44">
        <f>SUM(F103:O103)</f>
        <v>408.08159537686805</v>
      </c>
      <c r="Q103" s="45">
        <f>P103/E103*1000</f>
        <v>1133.5599871579668</v>
      </c>
    </row>
    <row r="104" spans="1:17" ht="15.75" hidden="1" outlineLevel="1" thickBot="1" x14ac:dyDescent="0.3">
      <c r="A104" s="27"/>
      <c r="B104" s="320"/>
      <c r="C104" s="35"/>
      <c r="D104" s="46" t="s">
        <v>7686</v>
      </c>
      <c r="E104" s="47" t="s">
        <v>27</v>
      </c>
      <c r="F104" s="47">
        <f t="array" ref="F104">SUM(IF((Tabela_GM_PEDIDOS_2017_FIM[MOEDA]=$E104)*(Tabela_GM_PEDIDOS_2017_FIM[FILIAL]=$D$95)*(Tabela_GM_PEDIDOS_2017_FIM[TIPO_GRUPO]=F$10),Tabela_GM_PEDIDOS_2017_FIM[VALOR_PAGAR]+Tabela_GM_PEDIDOS_2017_FIM[VC_FINANCEIRA]))*F102/1000</f>
        <v>0</v>
      </c>
      <c r="G104" s="47">
        <f t="array" ref="G104">SUM(IF((Tabela_GM_PEDIDOS_2017_FIM[MOEDA]=$E104)*(Tabela_GM_PEDIDOS_2017_FIM[FILIAL]=$D$95)*(Tabela_GM_PEDIDOS_2017_FIM[TIPO_GRUPO]=G$10),Tabela_GM_PEDIDOS_2017_FIM[VALOR_PAGAR]+Tabela_GM_PEDIDOS_2017_FIM[VC_FINANCEIRA]))*G102/1000</f>
        <v>0</v>
      </c>
      <c r="H104" s="47">
        <f t="array" ref="H104">SUM(IF((Tabela_GM_PEDIDOS_2017_FIM[MOEDA]=$E104)*(Tabela_GM_PEDIDOS_2017_FIM[FILIAL]=$D$95)*(Tabela_GM_PEDIDOS_2017_FIM[TIPO_GRUPO]=H$10),Tabela_GM_PEDIDOS_2017_FIM[VALOR_PAGAR]+Tabela_GM_PEDIDOS_2017_FIM[VC_FINANCEIRA]))*H102/1000</f>
        <v>0</v>
      </c>
      <c r="I104" s="47">
        <f t="array" ref="I104">SUM(IF((Tabela_GM_PEDIDOS_2017_FIM[MOEDA]=$E104)*(Tabela_GM_PEDIDOS_2017_FIM[FILIAL]=$D$95)*(Tabela_GM_PEDIDOS_2017_FIM[TIPO_GRUPO]=I$10),Tabela_GM_PEDIDOS_2017_FIM[VALOR_PAGAR]+Tabela_GM_PEDIDOS_2017_FIM[VC_FINANCEIRA]))*I102/1000</f>
        <v>0</v>
      </c>
      <c r="J104" s="47">
        <f t="array" ref="J104">SUM(IF((Tabela_GM_PEDIDOS_2017_FIM[MOEDA]=$E104)*(Tabela_GM_PEDIDOS_2017_FIM[FILIAL]=$D$95)*(Tabela_GM_PEDIDOS_2017_FIM[TIPO_GRUPO]=J$10),Tabela_GM_PEDIDOS_2017_FIM[VALOR_PAGAR]+Tabela_GM_PEDIDOS_2017_FIM[VC_FINANCEIRA]))*J102/1000</f>
        <v>0</v>
      </c>
      <c r="K104" s="47">
        <f t="array" ref="K104">SUM(IF((Tabela_GM_PEDIDOS_2017_FIM[MOEDA]=$E104)*(Tabela_GM_PEDIDOS_2017_FIM[FILIAL]=$D$95)*(Tabela_GM_PEDIDOS_2017_FIM[TIPO_GRUPO]=K$10),Tabela_GM_PEDIDOS_2017_FIM[VALOR_PAGAR]+Tabela_GM_PEDIDOS_2017_FIM[VC_FINANCEIRA]))*K102/1000</f>
        <v>0.39345362684951285</v>
      </c>
      <c r="L104" s="47">
        <f t="array" ref="L104">SUM(IF((Tabela_GM_PEDIDOS_2017_FIM[MOEDA]=$E104)*(Tabela_GM_PEDIDOS_2017_FIM[FILIAL]=$D$95)*(Tabela_GM_PEDIDOS_2017_FIM[TIPO_GRUPO]=L$10),Tabela_GM_PEDIDOS_2017_FIM[VALOR_PAGAR]+Tabela_GM_PEDIDOS_2017_FIM[VC_FINANCEIRA]))*L102/1000</f>
        <v>0</v>
      </c>
      <c r="M104" s="47">
        <f t="array" ref="M104">SUM(IF((Tabela_GM_PEDIDOS_2017_FIM[MOEDA]=$E104)*(Tabela_GM_PEDIDOS_2017_FIM[FILIAL]=$D$95)*(Tabela_GM_PEDIDOS_2017_FIM[TIPO_GRUPO]=M$10),Tabela_GM_PEDIDOS_2017_FIM[VALOR_PAGAR]+Tabela_GM_PEDIDOS_2017_FIM[VC_FINANCEIRA]))*M102/1000</f>
        <v>9.3540238181162041E-4</v>
      </c>
      <c r="N104" s="47">
        <f t="array" ref="N104">SUM(IF((Tabela_GM_PEDIDOS_2017_FIM[MOEDA]=$E104)*(Tabela_GM_PEDIDOS_2017_FIM[FILIAL]=$D$95)*(Tabela_GM_PEDIDOS_2017_FIM[TIPO_GRUPO]=N$10),Tabela_GM_PEDIDOS_2017_FIM[VALOR_PAGAR]+Tabela_GM_PEDIDOS_2017_FIM[VC_FINANCEIRA]))*N102/1000</f>
        <v>2.1826055575604473</v>
      </c>
      <c r="O104" s="47">
        <f t="array" ref="O104">SUM(IF((Tabela_GM_PEDIDOS_2017_FIM[MOEDA]=$E104)*(Tabela_GM_PEDIDOS_2017_FIM[FILIAL]=$D$95)*(Tabela_GM_PEDIDOS_2017_FIM[TIPO_GRUPO]=O$10),Tabela_GM_PEDIDOS_2017_FIM[VALOR_PAGAR]+Tabela_GM_PEDIDOS_2017_FIM[VC_FINANCEIRA]))*O102/1000</f>
        <v>0</v>
      </c>
      <c r="P104" s="47">
        <f t="array" ref="P104">SUM(F104:O104)</f>
        <v>2.5769945867917716</v>
      </c>
      <c r="Q104" s="48"/>
    </row>
    <row r="105" spans="1:17" ht="15.75" hidden="1" outlineLevel="1" thickBot="1" x14ac:dyDescent="0.3">
      <c r="A105" s="27"/>
      <c r="B105" s="320"/>
      <c r="C105" s="35"/>
      <c r="D105" s="46" t="s">
        <v>7687</v>
      </c>
      <c r="E105" s="47" t="s">
        <v>16</v>
      </c>
      <c r="F105" s="47">
        <f t="array" ref="F105">SUM(IF((Tabela_GM_PEDIDOS_2017_FIM[MOEDA]=$E105)*(Tabela_GM_PEDIDOS_2017_FIM[FILIAL]=$D$95)*(Tabela_GM_PEDIDOS_2017_FIM[TIPO_GRUPO]=F$10)*(Tabela_GM_PEDIDOS_2017_FIM[PAGO]="S"),Tabela_GM_PEDIDOS_2017_FIM[VALOR_PAGAR]+Tabela_GM_PEDIDOS_2017_FIM[VC_FINANCEIRA]))*F102/1000</f>
        <v>0</v>
      </c>
      <c r="G105" s="47">
        <f t="array" ref="G105">SUM(IF((Tabela_GM_PEDIDOS_2017_FIM[MOEDA]=$E105)*(Tabela_GM_PEDIDOS_2017_FIM[FILIAL]=$D$95)*(Tabela_GM_PEDIDOS_2017_FIM[TIPO_GRUPO]=G$10)*(Tabela_GM_PEDIDOS_2017_FIM[PAGO]="S"),Tabela_GM_PEDIDOS_2017_FIM[VALOR_PAGAR]+Tabela_GM_PEDIDOS_2017_FIM[VC_FINANCEIRA]))*G102/1000</f>
        <v>0</v>
      </c>
      <c r="H105" s="47">
        <f t="array" ref="H105">SUM(IF((Tabela_GM_PEDIDOS_2017_FIM[MOEDA]=$E105)*(Tabela_GM_PEDIDOS_2017_FIM[FILIAL]=$D$95)*(Tabela_GM_PEDIDOS_2017_FIM[TIPO_GRUPO]=H$10)*(Tabela_GM_PEDIDOS_2017_FIM[PAGO]="S"),Tabela_GM_PEDIDOS_2017_FIM[VALOR_PAGAR]+Tabela_GM_PEDIDOS_2017_FIM[VC_FINANCEIRA]))*H102/1000</f>
        <v>0</v>
      </c>
      <c r="I105" s="47">
        <f t="array" ref="I105">SUM(IF((Tabela_GM_PEDIDOS_2017_FIM[MOEDA]=$E105)*(Tabela_GM_PEDIDOS_2017_FIM[FILIAL]=$D$95)*(Tabela_GM_PEDIDOS_2017_FIM[TIPO_GRUPO]=I$10)*(Tabela_GM_PEDIDOS_2017_FIM[PAGO]="S"),Tabela_GM_PEDIDOS_2017_FIM[VALOR_PAGAR]+Tabela_GM_PEDIDOS_2017_FIM[VC_FINANCEIRA]))*I102/1000</f>
        <v>0</v>
      </c>
      <c r="J105" s="47">
        <f t="array" ref="J105">SUM(IF((Tabela_GM_PEDIDOS_2017_FIM[MOEDA]=$E105)*(Tabela_GM_PEDIDOS_2017_FIM[FILIAL]=$D$95)*(Tabela_GM_PEDIDOS_2017_FIM[TIPO_GRUPO]=J$10)*(Tabela_GM_PEDIDOS_2017_FIM[PAGO]="S"),Tabela_GM_PEDIDOS_2017_FIM[VALOR_PAGAR]+Tabela_GM_PEDIDOS_2017_FIM[VC_FINANCEIRA]))*J102/1000</f>
        <v>0</v>
      </c>
      <c r="K105" s="47">
        <f t="array" ref="K105">SUM(IF((Tabela_GM_PEDIDOS_2017_FIM[MOEDA]=$E105)*(Tabela_GM_PEDIDOS_2017_FIM[FILIAL]=$D$95)*(Tabela_GM_PEDIDOS_2017_FIM[TIPO_GRUPO]=K$10)*(Tabela_GM_PEDIDOS_2017_FIM[PAGO]="S"),Tabela_GM_PEDIDOS_2017_FIM[VALOR_PAGAR]+Tabela_GM_PEDIDOS_2017_FIM[VC_FINANCEIRA]))*K102/1000</f>
        <v>0</v>
      </c>
      <c r="L105" s="47">
        <f t="array" ref="L105">SUM(IF((Tabela_GM_PEDIDOS_2017_FIM[MOEDA]=$E105)*(Tabela_GM_PEDIDOS_2017_FIM[FILIAL]=$D$95)*(Tabela_GM_PEDIDOS_2017_FIM[TIPO_GRUPO]=L$10)*(Tabela_GM_PEDIDOS_2017_FIM[PAGO]="S"),Tabela_GM_PEDIDOS_2017_FIM[VALOR_PAGAR]+Tabela_GM_PEDIDOS_2017_FIM[VC_FINANCEIRA]))*L102/1000</f>
        <v>0</v>
      </c>
      <c r="M105" s="47">
        <f t="array" ref="M105">SUM(IF((Tabela_GM_PEDIDOS_2017_FIM[MOEDA]=$E105)*(Tabela_GM_PEDIDOS_2017_FIM[FILIAL]=$D$95)*(Tabela_GM_PEDIDOS_2017_FIM[TIPO_GRUPO]=M$10)*(Tabela_GM_PEDIDOS_2017_FIM[PAGO]="S"),Tabela_GM_PEDIDOS_2017_FIM[VALOR_PAGAR]+Tabela_GM_PEDIDOS_2017_FIM[VC_FINANCEIRA]))*M102/1000</f>
        <v>0</v>
      </c>
      <c r="N105" s="47">
        <f t="array" ref="N105">SUM(IF((Tabela_GM_PEDIDOS_2017_FIM[MOEDA]=$E105)*(Tabela_GM_PEDIDOS_2017_FIM[FILIAL]=$D$95)*(Tabela_GM_PEDIDOS_2017_FIM[TIPO_GRUPO]=N$10)*(Tabela_GM_PEDIDOS_2017_FIM[PAGO]="S"),Tabela_GM_PEDIDOS_2017_FIM[VALOR_PAGAR]+Tabela_GM_PEDIDOS_2017_FIM[VC_FINANCEIRA]))*N102/1000</f>
        <v>0</v>
      </c>
      <c r="O105" s="47">
        <f t="array" ref="O105">SUM(IF((Tabela_GM_PEDIDOS_2017_FIM[MOEDA]=$E105)*(Tabela_GM_PEDIDOS_2017_FIM[FILIAL]=$D$95)*(Tabela_GM_PEDIDOS_2017_FIM[TIPO_GRUPO]=O$10)*(Tabela_GM_PEDIDOS_2017_FIM[PAGO]="S"),Tabela_GM_PEDIDOS_2017_FIM[VALOR_PAGAR]+Tabela_GM_PEDIDOS_2017_FIM[VC_FINANCEIRA]))*O102/1000</f>
        <v>0</v>
      </c>
      <c r="P105" s="47">
        <f t="array" ref="P105">SUM(F105:O105)</f>
        <v>0</v>
      </c>
      <c r="Q105" s="49"/>
    </row>
    <row r="106" spans="1:17" ht="15.75" hidden="1" outlineLevel="1" thickBot="1" x14ac:dyDescent="0.3">
      <c r="A106" s="27"/>
      <c r="B106" s="320"/>
      <c r="C106" s="35"/>
      <c r="D106" s="46" t="s">
        <v>7688</v>
      </c>
      <c r="E106" s="47" t="s">
        <v>16</v>
      </c>
      <c r="F106" s="50">
        <f t="array" ref="F106">SUM(IF((Tabela_GM_PEDIDOS_2017_FIM[MOEDA]=$E106)*(Tabela_GM_PEDIDOS_2017_FIM[FILIAL]=$D$95)*(Tabela_GM_PEDIDOS_2017_FIM[TIPO_GRUPO]=F$10)*(Tabela_GM_PEDIDOS_2017_FIM[PAGO]&lt;&gt;"S"),Tabela_GM_PEDIDOS_2017_FIM[VL_PEDIDO_COMPRA]))*F102/1000</f>
        <v>52.886118000000003</v>
      </c>
      <c r="G106" s="50">
        <f t="array" ref="G106">SUM(IF((Tabela_GM_PEDIDOS_2017_FIM[MOEDA]=$E106)*(Tabela_GM_PEDIDOS_2017_FIM[FILIAL]=$D$95)*(Tabela_GM_PEDIDOS_2017_FIM[TIPO_GRUPO]=G$10)*(Tabela_GM_PEDIDOS_2017_FIM[PAGO]&lt;&gt;"S"),Tabela_GM_PEDIDOS_2017_FIM[VL_PEDIDO_COMPRA]))*G102/1000</f>
        <v>1.0169999999999999</v>
      </c>
      <c r="H106" s="50">
        <f t="array" ref="H106">SUM(IF((Tabela_GM_PEDIDOS_2017_FIM[MOEDA]=$E106)*(Tabela_GM_PEDIDOS_2017_FIM[FILIAL]=$D$95)*(Tabela_GM_PEDIDOS_2017_FIM[TIPO_GRUPO]=H$10)*(Tabela_GM_PEDIDOS_2017_FIM[PAGO]&lt;&gt;"S"),Tabela_GM_PEDIDOS_2017_FIM[VL_PEDIDO_COMPRA]))*H102/1000</f>
        <v>0</v>
      </c>
      <c r="I106" s="50">
        <f t="array" ref="I106">SUM(IF((Tabela_GM_PEDIDOS_2017_FIM[MOEDA]=$E106)*(Tabela_GM_PEDIDOS_2017_FIM[FILIAL]=$D$95)*(Tabela_GM_PEDIDOS_2017_FIM[TIPO_GRUPO]=I$10)*(Tabela_GM_PEDIDOS_2017_FIM[PAGO]&lt;&gt;"S"),Tabela_GM_PEDIDOS_2017_FIM[VL_PEDIDO_COMPRA]))*I102/1000</f>
        <v>0</v>
      </c>
      <c r="J106" s="50">
        <f t="array" ref="J106">SUM(IF((Tabela_GM_PEDIDOS_2017_FIM[MOEDA]=$E106)*(Tabela_GM_PEDIDOS_2017_FIM[FILIAL]=$D$95)*(Tabela_GM_PEDIDOS_2017_FIM[TIPO_GRUPO]=J$10)*(Tabela_GM_PEDIDOS_2017_FIM[PAGO]&lt;&gt;"S"),Tabela_GM_PEDIDOS_2017_FIM[VL_PEDIDO_COMPRA]))*J102/1000</f>
        <v>0</v>
      </c>
      <c r="K106" s="50">
        <f t="array" ref="K106">SUM(IF((Tabela_GM_PEDIDOS_2017_FIM[MOEDA]=$E106)*(Tabela_GM_PEDIDOS_2017_FIM[FILIAL]=$D$95)*(Tabela_GM_PEDIDOS_2017_FIM[TIPO_GRUPO]=K$10)*(Tabela_GM_PEDIDOS_2017_FIM[PAGO]&lt;&gt;"S"),Tabela_GM_PEDIDOS_2017_FIM[VL_PEDIDO_COMPRA]))*K102/1000</f>
        <v>0</v>
      </c>
      <c r="L106" s="50">
        <f t="array" ref="L106">SUM(IF((Tabela_GM_PEDIDOS_2017_FIM[MOEDA]=$E106)*(Tabela_GM_PEDIDOS_2017_FIM[FILIAL]=$D$95)*(Tabela_GM_PEDIDOS_2017_FIM[TIPO_GRUPO]=L$10)*(Tabela_GM_PEDIDOS_2017_FIM[PAGO]&lt;&gt;"S"),Tabela_GM_PEDIDOS_2017_FIM[VL_PEDIDO_COMPRA]))*L102/1000</f>
        <v>0</v>
      </c>
      <c r="M106" s="50">
        <f t="array" ref="M106">SUM(IF((Tabela_GM_PEDIDOS_2017_FIM[MOEDA]=$E106)*(Tabela_GM_PEDIDOS_2017_FIM[FILIAL]=$D$95)*(Tabela_GM_PEDIDOS_2017_FIM[TIPO_GRUPO]=M$10)*(Tabela_GM_PEDIDOS_2017_FIM[PAGO]&lt;&gt;"S"),Tabela_GM_PEDIDOS_2017_FIM[VL_PEDIDO_COMPRA]))*M102/1000</f>
        <v>0</v>
      </c>
      <c r="N106" s="50">
        <f t="array" ref="N106">SUM(IF((Tabela_GM_PEDIDOS_2017_FIM[MOEDA]=$E106)*(Tabela_GM_PEDIDOS_2017_FIM[FILIAL]=$D$95)*(Tabela_GM_PEDIDOS_2017_FIM[TIPO_GRUPO]=N$10)*(Tabela_GM_PEDIDOS_2017_FIM[PAGO]&lt;&gt;"S"),Tabela_GM_PEDIDOS_2017_FIM[VL_PEDIDO_COMPRA]))*N102/1000</f>
        <v>0</v>
      </c>
      <c r="O106" s="50">
        <f t="array" ref="O106">SUM(IF((Tabela_GM_PEDIDOS_2017_FIM[MOEDA]=$E106)*(Tabela_GM_PEDIDOS_2017_FIM[FILIAL]=$D$95)*(Tabela_GM_PEDIDOS_2017_FIM[TIPO_GRUPO]=O$10)*(Tabela_GM_PEDIDOS_2017_FIM[PAGO]&lt;&gt;"S"),Tabela_GM_PEDIDOS_2017_FIM[VL_PEDIDO_COMPRA]))*O102/1000</f>
        <v>0</v>
      </c>
      <c r="P106" s="50">
        <f>SUM(F106:O106)</f>
        <v>53.903118000000006</v>
      </c>
      <c r="Q106" s="48"/>
    </row>
    <row r="107" spans="1:17" ht="15.75" collapsed="1" thickBot="1" x14ac:dyDescent="0.3">
      <c r="A107" s="27"/>
      <c r="B107" s="320"/>
      <c r="C107" s="35"/>
      <c r="D107" s="4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5"/>
    </row>
    <row r="108" spans="1:17" ht="15.75" thickBot="1" x14ac:dyDescent="0.3">
      <c r="A108" s="27"/>
      <c r="B108" s="320"/>
      <c r="C108" s="35"/>
      <c r="D108" s="39" t="s">
        <v>7786</v>
      </c>
      <c r="E108" s="40"/>
      <c r="F108" s="41">
        <v>0</v>
      </c>
      <c r="G108" s="41">
        <v>0</v>
      </c>
      <c r="H108" s="41">
        <f t="array" ref="H108">SUM(IF((ProjecaoAreas!$H$6:$H$46=ResumoCusto!$D$95)*(ProjecaoAreas!$I$6:$I$46=ResumoCusto!$D109),ProjecaoAreas!$L$6:$L$46))</f>
        <v>0.35185853482497292</v>
      </c>
      <c r="I108" s="41">
        <v>0</v>
      </c>
      <c r="J108" s="41">
        <f t="array" ref="J108">SUM(IF((ProjecaoAreas!$H$6:$H$46=ResumoCusto!$D$95)*(ProjecaoAreas!$I$6:$I$46=ResumoCusto!$D109),ProjecaoAreas!$L$6:$L$46))</f>
        <v>0.35185853482497292</v>
      </c>
      <c r="K108" s="41">
        <f t="array" ref="K108">SUM(IF((ProjecaoAreas!$H$6:$H$46=ResumoCusto!$D$95)*(ProjecaoAreas!$I$6:$I$46=ResumoCusto!$D109),ProjecaoAreas!$L$6:$L$46))</f>
        <v>0.35185853482497292</v>
      </c>
      <c r="L108" s="41">
        <v>0</v>
      </c>
      <c r="M108" s="41">
        <f t="array" ref="M108">SUM(IF((ProjecaoAreas!$H$6:$H$46=ResumoCusto!$D$95)*(ProjecaoAreas!$I$6:$I$46=ResumoCusto!$D109),ProjecaoAreas!$L$6:$L$46))</f>
        <v>0.35185853482497292</v>
      </c>
      <c r="N108" s="41">
        <f t="array" ref="N108">SUM(IF((ProjecaoAreas!$H$6:$H$46=ResumoCusto!$D$95)*(ProjecaoAreas!$I$6:$I$46=ResumoCusto!$D109),ProjecaoAreas!$L$6:$L$46))</f>
        <v>0.35185853482497292</v>
      </c>
      <c r="O108" s="41">
        <f t="array" ref="O108">SUM(IF((ProjecaoAreas!$H$6:$H$46=ResumoCusto!$D$95)*(ProjecaoAreas!$I$6:$I$46=ResumoCusto!$D109),ProjecaoAreas!$L$6:$L$46))</f>
        <v>0.35185853482497292</v>
      </c>
      <c r="P108" s="40"/>
      <c r="Q108" s="42"/>
    </row>
    <row r="109" spans="1:17" ht="15.75" thickBot="1" x14ac:dyDescent="0.3">
      <c r="A109" s="27"/>
      <c r="B109" s="320"/>
      <c r="C109" s="35"/>
      <c r="D109" s="43" t="s">
        <v>7669</v>
      </c>
      <c r="E109" s="44">
        <f t="array" ref="E109">SUM(IF((ProjecaoAreas!$H$6:$H$46=ResumoCusto!$D$95)*(ProjecaoAreas!$I$6:$I$46=ResumoCusto!$D109),ProjecaoAreas!$J$6:$J$46))</f>
        <v>390</v>
      </c>
      <c r="F109" s="44">
        <f t="array" ref="F109">F$95*F108</f>
        <v>0</v>
      </c>
      <c r="G109" s="44">
        <f t="array" ref="G109">G$95*G108</f>
        <v>0</v>
      </c>
      <c r="H109" s="44">
        <f t="array" ref="H109">H$95*H108</f>
        <v>175.92926741248647</v>
      </c>
      <c r="I109" s="44">
        <f t="array" ref="I109">I$95*I108</f>
        <v>0</v>
      </c>
      <c r="J109" s="44">
        <f t="array" ref="J109">J$95*J108</f>
        <v>147.78058462648863</v>
      </c>
      <c r="K109" s="44">
        <f t="array" ref="K109">K$95*K108</f>
        <v>154.83446860339228</v>
      </c>
      <c r="L109" s="44">
        <f t="array" ref="L109">L$95*L108</f>
        <v>0</v>
      </c>
      <c r="M109" s="44">
        <f t="array" ref="M109">M$95*M108</f>
        <v>76.005665824612052</v>
      </c>
      <c r="N109" s="44">
        <f t="array" ref="N109">N$95*N108</f>
        <v>9.8520389750992425</v>
      </c>
      <c r="O109" s="44">
        <f t="array" ref="O109">O$95*O108</f>
        <v>0</v>
      </c>
      <c r="P109" s="44">
        <f>SUM(F109:O109)</f>
        <v>564.40202544207875</v>
      </c>
      <c r="Q109" s="45">
        <f>P109/E109*1000</f>
        <v>1447.1846806207147</v>
      </c>
    </row>
    <row r="110" spans="1:17" ht="15.75" hidden="1" outlineLevel="1" thickBot="1" x14ac:dyDescent="0.3">
      <c r="A110" s="27"/>
      <c r="B110" s="320"/>
      <c r="C110" s="35"/>
      <c r="D110" s="46" t="s">
        <v>7686</v>
      </c>
      <c r="E110" s="47" t="s">
        <v>27</v>
      </c>
      <c r="F110" s="47">
        <f t="array" ref="F110">SUM(IF((Tabela_GM_PEDIDOS_2017_FIM[MOEDA]=$E110)*(Tabela_GM_PEDIDOS_2017_FIM[FILIAL]=$D$95)*(Tabela_GM_PEDIDOS_2017_FIM[TIPO_GRUPO]=F$10),Tabela_GM_PEDIDOS_2017_FIM[VALOR_PAGAR]+Tabela_GM_PEDIDOS_2017_FIM[VC_FINANCEIRA]))*F108/1000</f>
        <v>0</v>
      </c>
      <c r="G110" s="47">
        <f t="array" ref="G110">SUM(IF((Tabela_GM_PEDIDOS_2017_FIM[MOEDA]=$E110)*(Tabela_GM_PEDIDOS_2017_FIM[FILIAL]=$D$95)*(Tabela_GM_PEDIDOS_2017_FIM[TIPO_GRUPO]=G$10),Tabela_GM_PEDIDOS_2017_FIM[VALOR_PAGAR]+Tabela_GM_PEDIDOS_2017_FIM[VC_FINANCEIRA]))*G108/1000</f>
        <v>0</v>
      </c>
      <c r="H110" s="47">
        <f t="array" ref="H110">SUM(IF((Tabela_GM_PEDIDOS_2017_FIM[MOEDA]=$E110)*(Tabela_GM_PEDIDOS_2017_FIM[FILIAL]=$D$95)*(Tabela_GM_PEDIDOS_2017_FIM[TIPO_GRUPO]=H$10),Tabela_GM_PEDIDOS_2017_FIM[VALOR_PAGAR]+Tabela_GM_PEDIDOS_2017_FIM[VC_FINANCEIRA]))*H108/1000</f>
        <v>0</v>
      </c>
      <c r="I110" s="47">
        <f t="array" ref="I110">SUM(IF((Tabela_GM_PEDIDOS_2017_FIM[MOEDA]=$E110)*(Tabela_GM_PEDIDOS_2017_FIM[FILIAL]=$D$95)*(Tabela_GM_PEDIDOS_2017_FIM[TIPO_GRUPO]=I$10),Tabela_GM_PEDIDOS_2017_FIM[VALOR_PAGAR]+Tabela_GM_PEDIDOS_2017_FIM[VC_FINANCEIRA]))*I108/1000</f>
        <v>0</v>
      </c>
      <c r="J110" s="47">
        <f t="array" ref="J110">SUM(IF((Tabela_GM_PEDIDOS_2017_FIM[MOEDA]=$E110)*(Tabela_GM_PEDIDOS_2017_FIM[FILIAL]=$D$95)*(Tabela_GM_PEDIDOS_2017_FIM[TIPO_GRUPO]=J$10),Tabela_GM_PEDIDOS_2017_FIM[VALOR_PAGAR]+Tabela_GM_PEDIDOS_2017_FIM[VC_FINANCEIRA]))*J108/1000</f>
        <v>0</v>
      </c>
      <c r="K110" s="47">
        <f t="array" ref="K110">SUM(IF((Tabela_GM_PEDIDOS_2017_FIM[MOEDA]=$E110)*(Tabela_GM_PEDIDOS_2017_FIM[FILIAL]=$D$95)*(Tabela_GM_PEDIDOS_2017_FIM[TIPO_GRUPO]=K$10),Tabela_GM_PEDIDOS_2017_FIM[VALOR_PAGAR]+Tabela_GM_PEDIDOS_2017_FIM[VC_FINANCEIRA]))*K108/1000</f>
        <v>1.7760059545290507</v>
      </c>
      <c r="L110" s="47">
        <f t="array" ref="L110">SUM(IF((Tabela_GM_PEDIDOS_2017_FIM[MOEDA]=$E110)*(Tabela_GM_PEDIDOS_2017_FIM[FILIAL]=$D$95)*(Tabela_GM_PEDIDOS_2017_FIM[TIPO_GRUPO]=L$10),Tabela_GM_PEDIDOS_2017_FIM[VALOR_PAGAR]+Tabela_GM_PEDIDOS_2017_FIM[VC_FINANCEIRA]))*L108/1000</f>
        <v>0</v>
      </c>
      <c r="M110" s="47">
        <f t="array" ref="M110">SUM(IF((Tabela_GM_PEDIDOS_2017_FIM[MOEDA]=$E110)*(Tabela_GM_PEDIDOS_2017_FIM[FILIAL]=$D$95)*(Tabela_GM_PEDIDOS_2017_FIM[TIPO_GRUPO]=M$10),Tabela_GM_PEDIDOS_2017_FIM[VALOR_PAGAR]+Tabela_GM_PEDIDOS_2017_FIM[VC_FINANCEIRA]))*M108/1000</f>
        <v>4.2223024178996748E-3</v>
      </c>
      <c r="N110" s="47">
        <f t="array" ref="N110">SUM(IF((Tabela_GM_PEDIDOS_2017_FIM[MOEDA]=$E110)*(Tabela_GM_PEDIDOS_2017_FIM[FILIAL]=$D$95)*(Tabela_GM_PEDIDOS_2017_FIM[TIPO_GRUPO]=N$10),Tabela_GM_PEDIDOS_2017_FIM[VALOR_PAGAR]+Tabela_GM_PEDIDOS_2017_FIM[VC_FINANCEIRA]))*N108/1000</f>
        <v>9.8520389750992425</v>
      </c>
      <c r="O110" s="47">
        <f t="array" ref="O110">SUM(IF((Tabela_GM_PEDIDOS_2017_FIM[MOEDA]=$E110)*(Tabela_GM_PEDIDOS_2017_FIM[FILIAL]=$D$95)*(Tabela_GM_PEDIDOS_2017_FIM[TIPO_GRUPO]=O$10),Tabela_GM_PEDIDOS_2017_FIM[VALOR_PAGAR]+Tabela_GM_PEDIDOS_2017_FIM[VC_FINANCEIRA]))*O108/1000</f>
        <v>0</v>
      </c>
      <c r="P110" s="47">
        <f t="array" ref="P110">SUM(F110:O110)</f>
        <v>11.632267232046193</v>
      </c>
      <c r="Q110" s="48"/>
    </row>
    <row r="111" spans="1:17" ht="15.75" hidden="1" outlineLevel="1" thickBot="1" x14ac:dyDescent="0.3">
      <c r="A111" s="27"/>
      <c r="B111" s="320"/>
      <c r="C111" s="35"/>
      <c r="D111" s="46" t="s">
        <v>7687</v>
      </c>
      <c r="E111" s="47" t="s">
        <v>16</v>
      </c>
      <c r="F111" s="47">
        <f t="array" ref="F111">SUM(IF((Tabela_GM_PEDIDOS_2017_FIM[MOEDA]=$E111)*(Tabela_GM_PEDIDOS_2017_FIM[FILIAL]=$D$95)*(Tabela_GM_PEDIDOS_2017_FIM[TIPO_GRUPO]=F$10)*(Tabela_GM_PEDIDOS_2017_FIM[PAGO]="S"),Tabela_GM_PEDIDOS_2017_FIM[VALOR_PAGAR]+Tabela_GM_PEDIDOS_2017_FIM[VC_FINANCEIRA]))*F108/1000</f>
        <v>0</v>
      </c>
      <c r="G111" s="47">
        <f t="array" ref="G111">SUM(IF((Tabela_GM_PEDIDOS_2017_FIM[MOEDA]=$E111)*(Tabela_GM_PEDIDOS_2017_FIM[FILIAL]=$D$95)*(Tabela_GM_PEDIDOS_2017_FIM[TIPO_GRUPO]=G$10)*(Tabela_GM_PEDIDOS_2017_FIM[PAGO]="S"),Tabela_GM_PEDIDOS_2017_FIM[VALOR_PAGAR]+Tabela_GM_PEDIDOS_2017_FIM[VC_FINANCEIRA]))*G108/1000</f>
        <v>0</v>
      </c>
      <c r="H111" s="47">
        <f t="array" ref="H111">SUM(IF((Tabela_GM_PEDIDOS_2017_FIM[MOEDA]=$E111)*(Tabela_GM_PEDIDOS_2017_FIM[FILIAL]=$D$95)*(Tabela_GM_PEDIDOS_2017_FIM[TIPO_GRUPO]=H$10)*(Tabela_GM_PEDIDOS_2017_FIM[PAGO]="S"),Tabela_GM_PEDIDOS_2017_FIM[VALOR_PAGAR]+Tabela_GM_PEDIDOS_2017_FIM[VC_FINANCEIRA]))*H108/1000</f>
        <v>0</v>
      </c>
      <c r="I111" s="47">
        <f t="array" ref="I111">SUM(IF((Tabela_GM_PEDIDOS_2017_FIM[MOEDA]=$E111)*(Tabela_GM_PEDIDOS_2017_FIM[FILIAL]=$D$95)*(Tabela_GM_PEDIDOS_2017_FIM[TIPO_GRUPO]=I$10)*(Tabela_GM_PEDIDOS_2017_FIM[PAGO]="S"),Tabela_GM_PEDIDOS_2017_FIM[VALOR_PAGAR]+Tabela_GM_PEDIDOS_2017_FIM[VC_FINANCEIRA]))*I108/1000</f>
        <v>0</v>
      </c>
      <c r="J111" s="47">
        <f t="array" ref="J111">SUM(IF((Tabela_GM_PEDIDOS_2017_FIM[MOEDA]=$E111)*(Tabela_GM_PEDIDOS_2017_FIM[FILIAL]=$D$95)*(Tabela_GM_PEDIDOS_2017_FIM[TIPO_GRUPO]=J$10)*(Tabela_GM_PEDIDOS_2017_FIM[PAGO]="S"),Tabela_GM_PEDIDOS_2017_FIM[VALOR_PAGAR]+Tabela_GM_PEDIDOS_2017_FIM[VC_FINANCEIRA]))*J108/1000</f>
        <v>0</v>
      </c>
      <c r="K111" s="47">
        <f t="array" ref="K111">SUM(IF((Tabela_GM_PEDIDOS_2017_FIM[MOEDA]=$E111)*(Tabela_GM_PEDIDOS_2017_FIM[FILIAL]=$D$95)*(Tabela_GM_PEDIDOS_2017_FIM[TIPO_GRUPO]=K$10)*(Tabela_GM_PEDIDOS_2017_FIM[PAGO]="S"),Tabela_GM_PEDIDOS_2017_FIM[VALOR_PAGAR]+Tabela_GM_PEDIDOS_2017_FIM[VC_FINANCEIRA]))*K108/1000</f>
        <v>0</v>
      </c>
      <c r="L111" s="47">
        <f t="array" ref="L111">SUM(IF((Tabela_GM_PEDIDOS_2017_FIM[MOEDA]=$E111)*(Tabela_GM_PEDIDOS_2017_FIM[FILIAL]=$D$95)*(Tabela_GM_PEDIDOS_2017_FIM[TIPO_GRUPO]=L$10)*(Tabela_GM_PEDIDOS_2017_FIM[PAGO]="S"),Tabela_GM_PEDIDOS_2017_FIM[VALOR_PAGAR]+Tabela_GM_PEDIDOS_2017_FIM[VC_FINANCEIRA]))*L108/1000</f>
        <v>0</v>
      </c>
      <c r="M111" s="47">
        <f t="array" ref="M111">SUM(IF((Tabela_GM_PEDIDOS_2017_FIM[MOEDA]=$E111)*(Tabela_GM_PEDIDOS_2017_FIM[FILIAL]=$D$95)*(Tabela_GM_PEDIDOS_2017_FIM[TIPO_GRUPO]=M$10)*(Tabela_GM_PEDIDOS_2017_FIM[PAGO]="S"),Tabela_GM_PEDIDOS_2017_FIM[VALOR_PAGAR]+Tabela_GM_PEDIDOS_2017_FIM[VC_FINANCEIRA]))*M108/1000</f>
        <v>0</v>
      </c>
      <c r="N111" s="47">
        <f t="array" ref="N111">SUM(IF((Tabela_GM_PEDIDOS_2017_FIM[MOEDA]=$E111)*(Tabela_GM_PEDIDOS_2017_FIM[FILIAL]=$D$95)*(Tabela_GM_PEDIDOS_2017_FIM[TIPO_GRUPO]=N$10)*(Tabela_GM_PEDIDOS_2017_FIM[PAGO]="S"),Tabela_GM_PEDIDOS_2017_FIM[VALOR_PAGAR]+Tabela_GM_PEDIDOS_2017_FIM[VC_FINANCEIRA]))*N108/1000</f>
        <v>0</v>
      </c>
      <c r="O111" s="47">
        <f t="array" ref="O111">SUM(IF((Tabela_GM_PEDIDOS_2017_FIM[MOEDA]=$E111)*(Tabela_GM_PEDIDOS_2017_FIM[FILIAL]=$D$95)*(Tabela_GM_PEDIDOS_2017_FIM[TIPO_GRUPO]=O$10)*(Tabela_GM_PEDIDOS_2017_FIM[PAGO]="S"),Tabela_GM_PEDIDOS_2017_FIM[VALOR_PAGAR]+Tabela_GM_PEDIDOS_2017_FIM[VC_FINANCEIRA]))*O108/1000</f>
        <v>0</v>
      </c>
      <c r="P111" s="47">
        <f t="array" ref="P111">SUM(F111:O111)</f>
        <v>0</v>
      </c>
      <c r="Q111" s="49"/>
    </row>
    <row r="112" spans="1:17" ht="15.75" hidden="1" outlineLevel="1" thickBot="1" x14ac:dyDescent="0.3">
      <c r="A112" s="27"/>
      <c r="B112" s="320"/>
      <c r="C112" s="35"/>
      <c r="D112" s="46" t="s">
        <v>7688</v>
      </c>
      <c r="E112" s="47" t="s">
        <v>16</v>
      </c>
      <c r="F112" s="50">
        <f t="array" ref="F112">SUM(IF((Tabela_GM_PEDIDOS_2017_FIM[MOEDA]=$E112)*(Tabela_GM_PEDIDOS_2017_FIM[FILIAL]=$D$95)*(Tabela_GM_PEDIDOS_2017_FIM[TIPO_GRUPO]=F$10)*(Tabela_GM_PEDIDOS_2017_FIM[PAGO]&lt;&gt;"S"),Tabela_GM_PEDIDOS_2017_FIM[VL_PEDIDO_COMPRA]))*F108/1000</f>
        <v>0</v>
      </c>
      <c r="G112" s="50">
        <f t="array" ref="G112">SUM(IF((Tabela_GM_PEDIDOS_2017_FIM[MOEDA]=$E112)*(Tabela_GM_PEDIDOS_2017_FIM[FILIAL]=$D$95)*(Tabela_GM_PEDIDOS_2017_FIM[TIPO_GRUPO]=G$10)*(Tabela_GM_PEDIDOS_2017_FIM[PAGO]&lt;&gt;"S"),Tabela_GM_PEDIDOS_2017_FIM[VL_PEDIDO_COMPRA]))*G108/1000</f>
        <v>0</v>
      </c>
      <c r="H112" s="50">
        <f t="array" ref="H112">SUM(IF((Tabela_GM_PEDIDOS_2017_FIM[MOEDA]=$E112)*(Tabela_GM_PEDIDOS_2017_FIM[FILIAL]=$D$95)*(Tabela_GM_PEDIDOS_2017_FIM[TIPO_GRUPO]=H$10)*(Tabela_GM_PEDIDOS_2017_FIM[PAGO]&lt;&gt;"S"),Tabela_GM_PEDIDOS_2017_FIM[VL_PEDIDO_COMPRA]))*H108/1000</f>
        <v>0</v>
      </c>
      <c r="I112" s="50">
        <f t="array" ref="I112">SUM(IF((Tabela_GM_PEDIDOS_2017_FIM[MOEDA]=$E112)*(Tabela_GM_PEDIDOS_2017_FIM[FILIAL]=$D$95)*(Tabela_GM_PEDIDOS_2017_FIM[TIPO_GRUPO]=I$10)*(Tabela_GM_PEDIDOS_2017_FIM[PAGO]&lt;&gt;"S"),Tabela_GM_PEDIDOS_2017_FIM[VL_PEDIDO_COMPRA]))*I108/1000</f>
        <v>0</v>
      </c>
      <c r="J112" s="50">
        <f t="array" ref="J112">SUM(IF((Tabela_GM_PEDIDOS_2017_FIM[MOEDA]=$E112)*(Tabela_GM_PEDIDOS_2017_FIM[FILIAL]=$D$95)*(Tabela_GM_PEDIDOS_2017_FIM[TIPO_GRUPO]=J$10)*(Tabela_GM_PEDIDOS_2017_FIM[PAGO]&lt;&gt;"S"),Tabela_GM_PEDIDOS_2017_FIM[VL_PEDIDO_COMPRA]))*J108/1000</f>
        <v>0</v>
      </c>
      <c r="K112" s="50">
        <f t="array" ref="K112">SUM(IF((Tabela_GM_PEDIDOS_2017_FIM[MOEDA]=$E112)*(Tabela_GM_PEDIDOS_2017_FIM[FILIAL]=$D$95)*(Tabela_GM_PEDIDOS_2017_FIM[TIPO_GRUPO]=K$10)*(Tabela_GM_PEDIDOS_2017_FIM[PAGO]&lt;&gt;"S"),Tabela_GM_PEDIDOS_2017_FIM[VL_PEDIDO_COMPRA]))*K108/1000</f>
        <v>0</v>
      </c>
      <c r="L112" s="50">
        <f t="array" ref="L112">SUM(IF((Tabela_GM_PEDIDOS_2017_FIM[MOEDA]=$E112)*(Tabela_GM_PEDIDOS_2017_FIM[FILIAL]=$D$95)*(Tabela_GM_PEDIDOS_2017_FIM[TIPO_GRUPO]=L$10)*(Tabela_GM_PEDIDOS_2017_FIM[PAGO]&lt;&gt;"S"),Tabela_GM_PEDIDOS_2017_FIM[VL_PEDIDO_COMPRA]))*L108/1000</f>
        <v>0</v>
      </c>
      <c r="M112" s="50">
        <f t="array" ref="M112">SUM(IF((Tabela_GM_PEDIDOS_2017_FIM[MOEDA]=$E112)*(Tabela_GM_PEDIDOS_2017_FIM[FILIAL]=$D$95)*(Tabela_GM_PEDIDOS_2017_FIM[TIPO_GRUPO]=M$10)*(Tabela_GM_PEDIDOS_2017_FIM[PAGO]&lt;&gt;"S"),Tabela_GM_PEDIDOS_2017_FIM[VL_PEDIDO_COMPRA]))*M108/1000</f>
        <v>0</v>
      </c>
      <c r="N112" s="50">
        <f t="array" ref="N112">SUM(IF((Tabela_GM_PEDIDOS_2017_FIM[MOEDA]=$E112)*(Tabela_GM_PEDIDOS_2017_FIM[FILIAL]=$D$95)*(Tabela_GM_PEDIDOS_2017_FIM[TIPO_GRUPO]=N$10)*(Tabela_GM_PEDIDOS_2017_FIM[PAGO]&lt;&gt;"S"),Tabela_GM_PEDIDOS_2017_FIM[VL_PEDIDO_COMPRA]))*N108/1000</f>
        <v>0</v>
      </c>
      <c r="O112" s="50">
        <f t="array" ref="O112">SUM(IF((Tabela_GM_PEDIDOS_2017_FIM[MOEDA]=$E112)*(Tabela_GM_PEDIDOS_2017_FIM[FILIAL]=$D$95)*(Tabela_GM_PEDIDOS_2017_FIM[TIPO_GRUPO]=O$10)*(Tabela_GM_PEDIDOS_2017_FIM[PAGO]&lt;&gt;"S"),Tabela_GM_PEDIDOS_2017_FIM[VL_PEDIDO_COMPRA]))*O108/1000</f>
        <v>0</v>
      </c>
      <c r="P112" s="50">
        <f>SUM(F112:O112)</f>
        <v>0</v>
      </c>
      <c r="Q112" s="48"/>
    </row>
    <row r="113" spans="1:17" ht="15.75" collapsed="1" thickBot="1" x14ac:dyDescent="0.3">
      <c r="A113" s="27"/>
      <c r="B113" s="320"/>
      <c r="C113" s="35"/>
      <c r="D113" s="4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5"/>
    </row>
    <row r="114" spans="1:17" ht="15.75" thickBot="1" x14ac:dyDescent="0.3">
      <c r="A114" s="27"/>
      <c r="B114" s="320"/>
      <c r="C114" s="35"/>
      <c r="D114" s="22"/>
      <c r="E114" s="23" t="s">
        <v>7684</v>
      </c>
      <c r="F114" s="24">
        <v>350</v>
      </c>
      <c r="G114" s="24">
        <v>0</v>
      </c>
      <c r="H114" s="24">
        <v>160</v>
      </c>
      <c r="I114" s="24">
        <v>0</v>
      </c>
      <c r="J114" s="24">
        <v>540</v>
      </c>
      <c r="K114" s="24">
        <v>114</v>
      </c>
      <c r="L114" s="24">
        <v>100</v>
      </c>
      <c r="M114" s="24">
        <v>65</v>
      </c>
      <c r="N114" s="24">
        <v>29</v>
      </c>
      <c r="O114" s="24">
        <v>112</v>
      </c>
      <c r="P114" s="25"/>
      <c r="Q114" s="26"/>
    </row>
    <row r="115" spans="1:17" ht="15.75" thickBot="1" x14ac:dyDescent="0.3">
      <c r="A115" s="27"/>
      <c r="B115" s="320"/>
      <c r="C115" s="35"/>
      <c r="D115" s="30"/>
      <c r="E115" s="31"/>
      <c r="F115" s="32"/>
      <c r="G115" s="32"/>
      <c r="H115" s="32"/>
      <c r="I115" s="32" t="s">
        <v>7785</v>
      </c>
      <c r="J115" s="32" t="s">
        <v>7785</v>
      </c>
      <c r="K115" s="32"/>
      <c r="L115" s="32"/>
      <c r="M115" s="32"/>
      <c r="N115" s="32"/>
      <c r="O115" s="33" t="s">
        <v>7784</v>
      </c>
      <c r="P115" s="32"/>
      <c r="Q115" s="34"/>
    </row>
    <row r="116" spans="1:17" ht="15.75" thickBot="1" x14ac:dyDescent="0.3">
      <c r="A116" s="27"/>
      <c r="B116" s="320"/>
      <c r="C116" s="35"/>
      <c r="D116" s="36" t="s">
        <v>60</v>
      </c>
      <c r="E116" s="37">
        <f t="array" ref="E116">SUM(IF((ProjecaoAreas!$B$28:$B$38=ResumoCusto!D116),ProjecaoAreas!$D$28:$D$38))</f>
        <v>1290</v>
      </c>
      <c r="F116" s="37">
        <f t="array" ref="F116">(SUM(IF((Tabela_GM_PEDIDOS_2017_FIM[TIPO_GRUPO]=ResumoCusto!F$10)*(Tabela_GM_PEDIDOS_2017_FIM[FILIAL]=ResumoCusto!$D116),Tabela_GM_PEDIDOS_2017_FIM[VALOR_PAGAR]+Tabela_GM_PEDIDOS_2017_FIM[VC_FINANCEIRA]))/1000)+F114</f>
        <v>790.53657351599986</v>
      </c>
      <c r="G116" s="37">
        <f t="array" ref="G116">(SUM(IF((Tabela_GM_PEDIDOS_2017_FIM[TIPO_GRUPO]=ResumoCusto!G$10)*(Tabela_GM_PEDIDOS_2017_FIM[FILIAL]=ResumoCusto!$D116),Tabela_GM_PEDIDOS_2017_FIM[VALOR_PAGAR]+Tabela_GM_PEDIDOS_2017_FIM[VC_FINANCEIRA]))/1000)+G114</f>
        <v>654.49282679999999</v>
      </c>
      <c r="H116" s="37">
        <f t="array" ref="H116">(SUM(IF((Tabela_GM_PEDIDOS_2017_FIM[TIPO_GRUPO]=ResumoCusto!H$10)*(Tabela_GM_PEDIDOS_2017_FIM[FILIAL]=ResumoCusto!$D116),Tabela_GM_PEDIDOS_2017_FIM[VALOR_PAGAR]+Tabela_GM_PEDIDOS_2017_FIM[VC_FINANCEIRA]))/1000)+H114</f>
        <v>160</v>
      </c>
      <c r="I116" s="37">
        <f>Frete!C12/1000</f>
        <v>62.555717345511141</v>
      </c>
      <c r="J116" s="37">
        <f t="array" ref="J116">(SUM(IF((Tabela_GM_PEDIDOS_2017_FIM[TIPO_GRUPO]=ResumoCusto!J$10)*(Tabela_GM_PEDIDOS_2017_FIM[FILIAL]=ResumoCusto!$D116),Tabela_GM_PEDIDOS_2017_FIM[VALOR_PAGAR]+Tabela_GM_PEDIDOS_2017_FIM[VC_FINANCEIRA]))/1000)+J114</f>
        <v>540</v>
      </c>
      <c r="K116" s="37">
        <f t="array" ref="K116">(SUM(IF((Tabela_GM_PEDIDOS_2017_FIM[TIPO_GRUPO]=ResumoCusto!K$10)*(Tabela_GM_PEDIDOS_2017_FIM[FILIAL]=ResumoCusto!$D116),Tabela_GM_PEDIDOS_2017_FIM[VALOR_PAGAR]+Tabela_GM_PEDIDOS_2017_FIM[VC_FINANCEIRA]))/1000)+K114</f>
        <v>114</v>
      </c>
      <c r="L116" s="37">
        <f t="array" ref="L116">(SUM(IF((Tabela_GM_PEDIDOS_2017_FIM[TIPO_GRUPO]=ResumoCusto!L$10)*(Tabela_GM_PEDIDOS_2017_FIM[FILIAL]=ResumoCusto!$D116),Tabela_GM_PEDIDOS_2017_FIM[VALOR_PAGAR]+Tabela_GM_PEDIDOS_2017_FIM[VC_FINANCEIRA]))/1000)+L114</f>
        <v>100</v>
      </c>
      <c r="M116" s="37">
        <f t="array" ref="M116">(SUM(IF((Tabela_GM_PEDIDOS_2017_FIM[TIPO_GRUPO]=ResumoCusto!M$10)*(Tabela_GM_PEDIDOS_2017_FIM[FILIAL]=ResumoCusto!$D116),Tabela_GM_PEDIDOS_2017_FIM[VALOR_PAGAR]+Tabela_GM_PEDIDOS_2017_FIM[VC_FINANCEIRA]))/1000)+M114</f>
        <v>65</v>
      </c>
      <c r="N116" s="37">
        <f t="array" ref="N116">(SUM(IF((Tabela_GM_PEDIDOS_2017_FIM[TIPO_GRUPO]=ResumoCusto!N$10)*(Tabela_GM_PEDIDOS_2017_FIM[FILIAL]=ResumoCusto!$D116),Tabela_GM_PEDIDOS_2017_FIM[VALOR_PAGAR]+Tabela_GM_PEDIDOS_2017_FIM[VC_FINANCEIRA]))/1000)+N114</f>
        <v>29</v>
      </c>
      <c r="O116" s="37">
        <f t="array" ref="O116">(SUM(IF((Tabela_GM_PEDIDOS_2017_FIM[TIPO_GRUPO]=ResumoCusto!O$10)*(Tabela_GM_PEDIDOS_2017_FIM[FILIAL]=ResumoCusto!$D116),Tabela_GM_PEDIDOS_2017_FIM[VALOR_PAGAR]+Tabela_GM_PEDIDOS_2017_FIM[VC_FINANCEIRA]))/1000)+O114</f>
        <v>112</v>
      </c>
      <c r="P116" s="37">
        <f>SUM(F116:O116)</f>
        <v>2627.5851176615106</v>
      </c>
      <c r="Q116" s="38">
        <f>P116/E116*1000</f>
        <v>2036.8876881096983</v>
      </c>
    </row>
    <row r="117" spans="1:17" ht="15.75" thickBot="1" x14ac:dyDescent="0.3">
      <c r="A117" s="27"/>
      <c r="B117" s="320"/>
      <c r="C117" s="35"/>
      <c r="D117" s="39" t="s">
        <v>7786</v>
      </c>
      <c r="E117" s="40"/>
      <c r="F117" s="41">
        <f t="array" ref="F117">SUM(IF((ProjecaoAreas!$H$6:$H$46=ResumoCusto!$D$116)*(ProjecaoAreas!$I$6:$I$46=ResumoCusto!$D118),ProjecaoAreas!$L$6:$L$46))</f>
        <v>0.67796610169491522</v>
      </c>
      <c r="G117" s="41">
        <f t="array" ref="G117">SUM(IF((ProjecaoAreas!$H$6:$H$46=ResumoCusto!$D$116)*(ProjecaoAreas!$I$6:$I$46=ResumoCusto!$D118),ProjecaoAreas!$L$6:$L$46))</f>
        <v>0.67796610169491522</v>
      </c>
      <c r="H117" s="41">
        <f t="array" ref="H117">SUM(IF((ProjecaoAreas!$H$6:$H$46=ResumoCusto!$D$116)*(ProjecaoAreas!$I$6:$I$46=ResumoCusto!$D118),ProjecaoAreas!$L$6:$L$46))</f>
        <v>0.67796610169491522</v>
      </c>
      <c r="I117" s="41">
        <f t="array" ref="I117">SUM(IF((ProjecaoAreas!$H$6:$H$46=ResumoCusto!$D$116)*(ProjecaoAreas!$I$6:$I$46=ResumoCusto!$D118),ProjecaoAreas!$L$6:$L$46))</f>
        <v>0.67796610169491522</v>
      </c>
      <c r="J117" s="41">
        <f t="array" ref="J117">SUM(IF((ProjecaoAreas!$H$6:$H$46=ResumoCusto!$D$116)*(ProjecaoAreas!$I$6:$I$46=ResumoCusto!$D118),ProjecaoAreas!$L$6:$L$46))</f>
        <v>0.67796610169491522</v>
      </c>
      <c r="K117" s="41">
        <f t="array" ref="K117">SUM(IF((ProjecaoAreas!$H$6:$H$46=ResumoCusto!$D$116)*(ProjecaoAreas!$I$6:$I$46=ResumoCusto!$D118),ProjecaoAreas!$L$6:$L$46))</f>
        <v>0.67796610169491522</v>
      </c>
      <c r="L117" s="41">
        <f t="array" ref="L117">SUM(IF((ProjecaoAreas!$H$6:$H$46=ResumoCusto!$D$116)*(ProjecaoAreas!$I$6:$I$46=ResumoCusto!$D118),ProjecaoAreas!$L$6:$L$46))</f>
        <v>0.67796610169491522</v>
      </c>
      <c r="M117" s="41">
        <f t="array" ref="M117">SUM(IF((ProjecaoAreas!$H$6:$H$46=ResumoCusto!$D$116)*(ProjecaoAreas!$I$6:$I$46=ResumoCusto!$D118),ProjecaoAreas!$L$6:$L$46))</f>
        <v>0.67796610169491522</v>
      </c>
      <c r="N117" s="41">
        <f t="array" ref="N117">SUM(IF((ProjecaoAreas!$H$6:$H$46=ResumoCusto!$D$116)*(ProjecaoAreas!$I$6:$I$46=ResumoCusto!$D118),ProjecaoAreas!$L$6:$L$46))</f>
        <v>0.67796610169491522</v>
      </c>
      <c r="O117" s="41">
        <f t="array" ref="O117">SUM(IF((ProjecaoAreas!$H$6:$H$46=ResumoCusto!$D$116)*(ProjecaoAreas!$I$6:$I$46=ResumoCusto!$D118),ProjecaoAreas!$L$6:$L$46))</f>
        <v>0.67796610169491522</v>
      </c>
      <c r="P117" s="40"/>
      <c r="Q117" s="42"/>
    </row>
    <row r="118" spans="1:17" ht="15.75" thickBot="1" x14ac:dyDescent="0.3">
      <c r="A118" s="27"/>
      <c r="B118" s="320"/>
      <c r="C118" s="35"/>
      <c r="D118" s="43" t="s">
        <v>7660</v>
      </c>
      <c r="E118" s="44">
        <f t="array" ref="E118">SUM(IF((ProjecaoAreas!$H$6:$H$46=ResumoCusto!$D$116)*(ProjecaoAreas!$I$6:$I$46=ResumoCusto!$D118),ProjecaoAreas!$J$6:$J$46))</f>
        <v>720</v>
      </c>
      <c r="F118" s="44">
        <f>F$116*F117</f>
        <v>535.9569989938982</v>
      </c>
      <c r="G118" s="44">
        <f t="shared" ref="G118:O118" si="56">G$116*G117</f>
        <v>443.72395037288135</v>
      </c>
      <c r="H118" s="44">
        <f t="shared" si="56"/>
        <v>108.47457627118644</v>
      </c>
      <c r="I118" s="44">
        <f t="shared" si="56"/>
        <v>42.410655827465177</v>
      </c>
      <c r="J118" s="44">
        <f t="shared" si="56"/>
        <v>366.1016949152542</v>
      </c>
      <c r="K118" s="44">
        <f t="shared" si="56"/>
        <v>77.288135593220332</v>
      </c>
      <c r="L118" s="44">
        <f t="shared" si="56"/>
        <v>67.796610169491515</v>
      </c>
      <c r="M118" s="44">
        <f t="shared" si="56"/>
        <v>44.067796610169488</v>
      </c>
      <c r="N118" s="44">
        <f t="shared" si="56"/>
        <v>19.66101694915254</v>
      </c>
      <c r="O118" s="44">
        <f t="shared" si="56"/>
        <v>75.932203389830505</v>
      </c>
      <c r="P118" s="44">
        <f>SUM(F118:O118)</f>
        <v>1781.4136390925498</v>
      </c>
      <c r="Q118" s="45">
        <f>P118/E118*1000</f>
        <v>2474.1856098507637</v>
      </c>
    </row>
    <row r="119" spans="1:17" ht="15.75" hidden="1" outlineLevel="1" thickBot="1" x14ac:dyDescent="0.3">
      <c r="A119" s="27"/>
      <c r="B119" s="320"/>
      <c r="C119" s="35"/>
      <c r="D119" s="46" t="s">
        <v>7686</v>
      </c>
      <c r="E119" s="47" t="s">
        <v>27</v>
      </c>
      <c r="F119" s="47">
        <f t="array" ref="F119">SUM(IF((Tabela_GM_PEDIDOS_2017_FIM[MOEDA]=$E119)*(Tabela_GM_PEDIDOS_2017_FIM[FILIAL]=$D$116)*(Tabela_GM_PEDIDOS_2017_FIM[TIPO_GRUPO]=F$10),Tabela_GM_PEDIDOS_2017_FIM[VALOR_PAGAR]+Tabela_GM_PEDIDOS_2017_FIM[VC_FINANCEIRA]))*F117/1000</f>
        <v>0</v>
      </c>
      <c r="G119" s="47">
        <f t="array" ref="G119">SUM(IF((Tabela_GM_PEDIDOS_2017_FIM[MOEDA]=$E119)*(Tabela_GM_PEDIDOS_2017_FIM[FILIAL]=$D$116)*(Tabela_GM_PEDIDOS_2017_FIM[TIPO_GRUPO]=G$10),Tabela_GM_PEDIDOS_2017_FIM[VALOR_PAGAR]+Tabela_GM_PEDIDOS_2017_FIM[VC_FINANCEIRA]))*G117/1000</f>
        <v>0</v>
      </c>
      <c r="H119" s="47">
        <f t="array" ref="H119">SUM(IF((Tabela_GM_PEDIDOS_2017_FIM[MOEDA]=$E119)*(Tabela_GM_PEDIDOS_2017_FIM[FILIAL]=$D$116)*(Tabela_GM_PEDIDOS_2017_FIM[TIPO_GRUPO]=H$10),Tabela_GM_PEDIDOS_2017_FIM[VALOR_PAGAR]+Tabela_GM_PEDIDOS_2017_FIM[VC_FINANCEIRA]))*H117/1000</f>
        <v>0</v>
      </c>
      <c r="I119" s="47">
        <f t="array" ref="I119">SUM(IF((Tabela_GM_PEDIDOS_2017_FIM[MOEDA]=$E119)*(Tabela_GM_PEDIDOS_2017_FIM[FILIAL]=$D$116)*(Tabela_GM_PEDIDOS_2017_FIM[TIPO_GRUPO]=I$10),Tabela_GM_PEDIDOS_2017_FIM[VALOR_PAGAR]+Tabela_GM_PEDIDOS_2017_FIM[VC_FINANCEIRA]))*I117/1000</f>
        <v>0</v>
      </c>
      <c r="J119" s="47">
        <f t="array" ref="J119">SUM(IF((Tabela_GM_PEDIDOS_2017_FIM[MOEDA]=$E119)*(Tabela_GM_PEDIDOS_2017_FIM[FILIAL]=$D$116)*(Tabela_GM_PEDIDOS_2017_FIM[TIPO_GRUPO]=J$10),Tabela_GM_PEDIDOS_2017_FIM[VALOR_PAGAR]+Tabela_GM_PEDIDOS_2017_FIM[VC_FINANCEIRA]))*J117/1000</f>
        <v>0</v>
      </c>
      <c r="K119" s="47">
        <f t="array" ref="K119">SUM(IF((Tabela_GM_PEDIDOS_2017_FIM[MOEDA]=$E119)*(Tabela_GM_PEDIDOS_2017_FIM[FILIAL]=$D$116)*(Tabela_GM_PEDIDOS_2017_FIM[TIPO_GRUPO]=K$10),Tabela_GM_PEDIDOS_2017_FIM[VALOR_PAGAR]+Tabela_GM_PEDIDOS_2017_FIM[VC_FINANCEIRA]))*K117/1000</f>
        <v>0</v>
      </c>
      <c r="L119" s="47">
        <f t="array" ref="L119">SUM(IF((Tabela_GM_PEDIDOS_2017_FIM[MOEDA]=$E119)*(Tabela_GM_PEDIDOS_2017_FIM[FILIAL]=$D$116)*(Tabela_GM_PEDIDOS_2017_FIM[TIPO_GRUPO]=L$10),Tabela_GM_PEDIDOS_2017_FIM[VALOR_PAGAR]+Tabela_GM_PEDIDOS_2017_FIM[VC_FINANCEIRA]))*L117/1000</f>
        <v>0</v>
      </c>
      <c r="M119" s="47">
        <f t="array" ref="M119">SUM(IF((Tabela_GM_PEDIDOS_2017_FIM[MOEDA]=$E119)*(Tabela_GM_PEDIDOS_2017_FIM[FILIAL]=$D$116)*(Tabela_GM_PEDIDOS_2017_FIM[TIPO_GRUPO]=M$10),Tabela_GM_PEDIDOS_2017_FIM[VALOR_PAGAR]+Tabela_GM_PEDIDOS_2017_FIM[VC_FINANCEIRA]))*M117/1000</f>
        <v>0</v>
      </c>
      <c r="N119" s="47">
        <f t="array" ref="N119">SUM(IF((Tabela_GM_PEDIDOS_2017_FIM[MOEDA]=$E119)*(Tabela_GM_PEDIDOS_2017_FIM[FILIAL]=$D$116)*(Tabela_GM_PEDIDOS_2017_FIM[TIPO_GRUPO]=N$10),Tabela_GM_PEDIDOS_2017_FIM[VALOR_PAGAR]+Tabela_GM_PEDIDOS_2017_FIM[VC_FINANCEIRA]))*N117/1000</f>
        <v>0</v>
      </c>
      <c r="O119" s="47">
        <f t="array" ref="O119">SUM(IF((Tabela_GM_PEDIDOS_2017_FIM[MOEDA]=$E119)*(Tabela_GM_PEDIDOS_2017_FIM[FILIAL]=$D$116)*(Tabela_GM_PEDIDOS_2017_FIM[TIPO_GRUPO]=O$10),Tabela_GM_PEDIDOS_2017_FIM[VALOR_PAGAR]+Tabela_GM_PEDIDOS_2017_FIM[VC_FINANCEIRA]))*O117/1000</f>
        <v>0</v>
      </c>
      <c r="P119" s="47">
        <f t="array" ref="P119">SUM(F119:O119)</f>
        <v>0</v>
      </c>
      <c r="Q119" s="48"/>
    </row>
    <row r="120" spans="1:17" ht="15.75" hidden="1" outlineLevel="1" thickBot="1" x14ac:dyDescent="0.3">
      <c r="A120" s="27"/>
      <c r="B120" s="320"/>
      <c r="C120" s="35"/>
      <c r="D120" s="46" t="s">
        <v>7687</v>
      </c>
      <c r="E120" s="47" t="s">
        <v>16</v>
      </c>
      <c r="F120" s="47">
        <f t="array" ref="F120">SUM(IF((Tabela_GM_PEDIDOS_2017_FIM[MOEDA]=$E120)*(Tabela_GM_PEDIDOS_2017_FIM[FILIAL]=$D$116)*(Tabela_GM_PEDIDOS_2017_FIM[TIPO_GRUPO]=F$10)*(Tabela_GM_PEDIDOS_2017_FIM[PAGO]="S"),Tabela_GM_PEDIDOS_2017_FIM[VALOR_PAGAR]+Tabela_GM_PEDIDOS_2017_FIM[VC_FINANCEIRA]))*F117/1000</f>
        <v>0</v>
      </c>
      <c r="G120" s="47">
        <f t="array" ref="G120">SUM(IF((Tabela_GM_PEDIDOS_2017_FIM[MOEDA]=$E120)*(Tabela_GM_PEDIDOS_2017_FIM[FILIAL]=$D$116)*(Tabela_GM_PEDIDOS_2017_FIM[TIPO_GRUPO]=G$10)*(Tabela_GM_PEDIDOS_2017_FIM[PAGO]="S"),Tabela_GM_PEDIDOS_2017_FIM[VALOR_PAGAR]+Tabela_GM_PEDIDOS_2017_FIM[VC_FINANCEIRA]))*G117/1000</f>
        <v>133.71864406779662</v>
      </c>
      <c r="H120" s="47">
        <f t="array" ref="H120">SUM(IF((Tabela_GM_PEDIDOS_2017_FIM[MOEDA]=$E120)*(Tabela_GM_PEDIDOS_2017_FIM[FILIAL]=$D$116)*(Tabela_GM_PEDIDOS_2017_FIM[TIPO_GRUPO]=H$10)*(Tabela_GM_PEDIDOS_2017_FIM[PAGO]="S"),Tabela_GM_PEDIDOS_2017_FIM[VALOR_PAGAR]+Tabela_GM_PEDIDOS_2017_FIM[VC_FINANCEIRA]))*H117/1000</f>
        <v>0</v>
      </c>
      <c r="I120" s="47">
        <f t="array" ref="I120">SUM(IF((Tabela_GM_PEDIDOS_2017_FIM[MOEDA]=$E120)*(Tabela_GM_PEDIDOS_2017_FIM[FILIAL]=$D$116)*(Tabela_GM_PEDIDOS_2017_FIM[TIPO_GRUPO]=I$10)*(Tabela_GM_PEDIDOS_2017_FIM[PAGO]="S"),Tabela_GM_PEDIDOS_2017_FIM[VALOR_PAGAR]+Tabela_GM_PEDIDOS_2017_FIM[VC_FINANCEIRA]))*I117/1000</f>
        <v>0</v>
      </c>
      <c r="J120" s="47">
        <f t="array" ref="J120">SUM(IF((Tabela_GM_PEDIDOS_2017_FIM[MOEDA]=$E120)*(Tabela_GM_PEDIDOS_2017_FIM[FILIAL]=$D$116)*(Tabela_GM_PEDIDOS_2017_FIM[TIPO_GRUPO]=J$10)*(Tabela_GM_PEDIDOS_2017_FIM[PAGO]="S"),Tabela_GM_PEDIDOS_2017_FIM[VALOR_PAGAR]+Tabela_GM_PEDIDOS_2017_FIM[VC_FINANCEIRA]))*J117/1000</f>
        <v>0</v>
      </c>
      <c r="K120" s="47">
        <f t="array" ref="K120">SUM(IF((Tabela_GM_PEDIDOS_2017_FIM[MOEDA]=$E120)*(Tabela_GM_PEDIDOS_2017_FIM[FILIAL]=$D$116)*(Tabela_GM_PEDIDOS_2017_FIM[TIPO_GRUPO]=K$10)*(Tabela_GM_PEDIDOS_2017_FIM[PAGO]="S"),Tabela_GM_PEDIDOS_2017_FIM[VALOR_PAGAR]+Tabela_GM_PEDIDOS_2017_FIM[VC_FINANCEIRA]))*K117/1000</f>
        <v>0</v>
      </c>
      <c r="L120" s="47">
        <f t="array" ref="L120">SUM(IF((Tabela_GM_PEDIDOS_2017_FIM[MOEDA]=$E120)*(Tabela_GM_PEDIDOS_2017_FIM[FILIAL]=$D$116)*(Tabela_GM_PEDIDOS_2017_FIM[TIPO_GRUPO]=L$10)*(Tabela_GM_PEDIDOS_2017_FIM[PAGO]="S"),Tabela_GM_PEDIDOS_2017_FIM[VALOR_PAGAR]+Tabela_GM_PEDIDOS_2017_FIM[VC_FINANCEIRA]))*L117/1000</f>
        <v>0</v>
      </c>
      <c r="M120" s="47">
        <f t="array" ref="M120">SUM(IF((Tabela_GM_PEDIDOS_2017_FIM[MOEDA]=$E120)*(Tabela_GM_PEDIDOS_2017_FIM[FILIAL]=$D$116)*(Tabela_GM_PEDIDOS_2017_FIM[TIPO_GRUPO]=M$10)*(Tabela_GM_PEDIDOS_2017_FIM[PAGO]="S"),Tabela_GM_PEDIDOS_2017_FIM[VALOR_PAGAR]+Tabela_GM_PEDIDOS_2017_FIM[VC_FINANCEIRA]))*M117/1000</f>
        <v>0</v>
      </c>
      <c r="N120" s="47">
        <f t="array" ref="N120">SUM(IF((Tabela_GM_PEDIDOS_2017_FIM[MOEDA]=$E120)*(Tabela_GM_PEDIDOS_2017_FIM[FILIAL]=$D$116)*(Tabela_GM_PEDIDOS_2017_FIM[TIPO_GRUPO]=N$10)*(Tabela_GM_PEDIDOS_2017_FIM[PAGO]="S"),Tabela_GM_PEDIDOS_2017_FIM[VALOR_PAGAR]+Tabela_GM_PEDIDOS_2017_FIM[VC_FINANCEIRA]))*N117/1000</f>
        <v>0</v>
      </c>
      <c r="O120" s="47">
        <f t="array" ref="O120">SUM(IF((Tabela_GM_PEDIDOS_2017_FIM[MOEDA]=$E120)*(Tabela_GM_PEDIDOS_2017_FIM[FILIAL]=$D$116)*(Tabela_GM_PEDIDOS_2017_FIM[TIPO_GRUPO]=O$10)*(Tabela_GM_PEDIDOS_2017_FIM[PAGO]="S"),Tabela_GM_PEDIDOS_2017_FIM[VALOR_PAGAR]+Tabela_GM_PEDIDOS_2017_FIM[VC_FINANCEIRA]))*O117/1000</f>
        <v>0</v>
      </c>
      <c r="P120" s="47">
        <f t="array" ref="P120">SUM(F120:O120)</f>
        <v>133.71864406779662</v>
      </c>
      <c r="Q120" s="49"/>
    </row>
    <row r="121" spans="1:17" ht="15.75" hidden="1" outlineLevel="1" thickBot="1" x14ac:dyDescent="0.3">
      <c r="A121" s="27"/>
      <c r="B121" s="320"/>
      <c r="C121" s="35"/>
      <c r="D121" s="46" t="s">
        <v>7688</v>
      </c>
      <c r="E121" s="47" t="s">
        <v>16</v>
      </c>
      <c r="F121" s="50">
        <f t="array" ref="F121">SUM(IF((Tabela_GM_PEDIDOS_2017_FIM[MOEDA]=$E121)*(Tabela_GM_PEDIDOS_2017_FIM[FILIAL]=$D$116)*(Tabela_GM_PEDIDOS_2017_FIM[TIPO_GRUPO]=F$10)*(Tabela_GM_PEDIDOS_2017_FIM[PAGO]&lt;&gt;"S"),Tabela_GM_PEDIDOS_2017_FIM[VL_PEDIDO_COMPRA]))*F117/1000</f>
        <v>88.651715254237274</v>
      </c>
      <c r="G121" s="50">
        <f t="array" ref="G121">SUM(IF((Tabela_GM_PEDIDOS_2017_FIM[MOEDA]=$E121)*(Tabela_GM_PEDIDOS_2017_FIM[FILIAL]=$D$116)*(Tabela_GM_PEDIDOS_2017_FIM[TIPO_GRUPO]=G$10)*(Tabela_GM_PEDIDOS_2017_FIM[PAGO]&lt;&gt;"S"),Tabela_GM_PEDIDOS_2017_FIM[VL_PEDIDO_COMPRA]))*G117/1000</f>
        <v>78.410169491525423</v>
      </c>
      <c r="H121" s="50">
        <f t="array" ref="H121">SUM(IF((Tabela_GM_PEDIDOS_2017_FIM[MOEDA]=$E121)*(Tabela_GM_PEDIDOS_2017_FIM[FILIAL]=$D$116)*(Tabela_GM_PEDIDOS_2017_FIM[TIPO_GRUPO]=H$10)*(Tabela_GM_PEDIDOS_2017_FIM[PAGO]&lt;&gt;"S"),Tabela_GM_PEDIDOS_2017_FIM[VL_PEDIDO_COMPRA]))*H117/1000</f>
        <v>0</v>
      </c>
      <c r="I121" s="50">
        <f t="array" ref="I121">SUM(IF((Tabela_GM_PEDIDOS_2017_FIM[MOEDA]=$E121)*(Tabela_GM_PEDIDOS_2017_FIM[FILIAL]=$D$116)*(Tabela_GM_PEDIDOS_2017_FIM[TIPO_GRUPO]=I$10)*(Tabela_GM_PEDIDOS_2017_FIM[PAGO]&lt;&gt;"S"),Tabela_GM_PEDIDOS_2017_FIM[VL_PEDIDO_COMPRA]))*I117/1000</f>
        <v>0</v>
      </c>
      <c r="J121" s="50">
        <f t="array" ref="J121">SUM(IF((Tabela_GM_PEDIDOS_2017_FIM[MOEDA]=$E121)*(Tabela_GM_PEDIDOS_2017_FIM[FILIAL]=$D$116)*(Tabela_GM_PEDIDOS_2017_FIM[TIPO_GRUPO]=J$10)*(Tabela_GM_PEDIDOS_2017_FIM[PAGO]&lt;&gt;"S"),Tabela_GM_PEDIDOS_2017_FIM[VL_PEDIDO_COMPRA]))*J117/1000</f>
        <v>0</v>
      </c>
      <c r="K121" s="50">
        <f t="array" ref="K121">SUM(IF((Tabela_GM_PEDIDOS_2017_FIM[MOEDA]=$E121)*(Tabela_GM_PEDIDOS_2017_FIM[FILIAL]=$D$116)*(Tabela_GM_PEDIDOS_2017_FIM[TIPO_GRUPO]=K$10)*(Tabela_GM_PEDIDOS_2017_FIM[PAGO]&lt;&gt;"S"),Tabela_GM_PEDIDOS_2017_FIM[VL_PEDIDO_COMPRA]))*K117/1000</f>
        <v>0</v>
      </c>
      <c r="L121" s="50">
        <f t="array" ref="L121">SUM(IF((Tabela_GM_PEDIDOS_2017_FIM[MOEDA]=$E121)*(Tabela_GM_PEDIDOS_2017_FIM[FILIAL]=$D$116)*(Tabela_GM_PEDIDOS_2017_FIM[TIPO_GRUPO]=L$10)*(Tabela_GM_PEDIDOS_2017_FIM[PAGO]&lt;&gt;"S"),Tabela_GM_PEDIDOS_2017_FIM[VL_PEDIDO_COMPRA]))*L117/1000</f>
        <v>0</v>
      </c>
      <c r="M121" s="50">
        <f t="array" ref="M121">SUM(IF((Tabela_GM_PEDIDOS_2017_FIM[MOEDA]=$E121)*(Tabela_GM_PEDIDOS_2017_FIM[FILIAL]=$D$116)*(Tabela_GM_PEDIDOS_2017_FIM[TIPO_GRUPO]=M$10)*(Tabela_GM_PEDIDOS_2017_FIM[PAGO]&lt;&gt;"S"),Tabela_GM_PEDIDOS_2017_FIM[VL_PEDIDO_COMPRA]))*M117/1000</f>
        <v>0</v>
      </c>
      <c r="N121" s="50">
        <f t="array" ref="N121">SUM(IF((Tabela_GM_PEDIDOS_2017_FIM[MOEDA]=$E121)*(Tabela_GM_PEDIDOS_2017_FIM[FILIAL]=$D$116)*(Tabela_GM_PEDIDOS_2017_FIM[TIPO_GRUPO]=N$10)*(Tabela_GM_PEDIDOS_2017_FIM[PAGO]&lt;&gt;"S"),Tabela_GM_PEDIDOS_2017_FIM[VL_PEDIDO_COMPRA]))*N117/1000</f>
        <v>0</v>
      </c>
      <c r="O121" s="50">
        <f t="array" ref="O121">SUM(IF((Tabela_GM_PEDIDOS_2017_FIM[MOEDA]=$E121)*(Tabela_GM_PEDIDOS_2017_FIM[FILIAL]=$D$116)*(Tabela_GM_PEDIDOS_2017_FIM[TIPO_GRUPO]=O$10)*(Tabela_GM_PEDIDOS_2017_FIM[PAGO]&lt;&gt;"S"),Tabela_GM_PEDIDOS_2017_FIM[VL_PEDIDO_COMPRA]))*O117/1000</f>
        <v>0</v>
      </c>
      <c r="P121" s="50">
        <f>SUM(F121:O121)</f>
        <v>167.06188474576271</v>
      </c>
      <c r="Q121" s="48"/>
    </row>
    <row r="122" spans="1:17" ht="15.75" collapsed="1" thickBot="1" x14ac:dyDescent="0.3">
      <c r="A122" s="27"/>
      <c r="B122" s="320"/>
      <c r="C122" s="35"/>
      <c r="D122" s="43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5"/>
    </row>
    <row r="123" spans="1:17" ht="15.75" thickBot="1" x14ac:dyDescent="0.3">
      <c r="A123" s="27"/>
      <c r="B123" s="320"/>
      <c r="C123" s="35"/>
      <c r="D123" s="39" t="s">
        <v>7786</v>
      </c>
      <c r="E123" s="40"/>
      <c r="F123" s="41">
        <f t="array" ref="F123">SUM(IF((ProjecaoAreas!$H$6:$H$46=ResumoCusto!$D$116)*(ProjecaoAreas!$I$6:$I$46=ResumoCusto!$D124),ProjecaoAreas!$L$6:$L$46))</f>
        <v>0.32203389830508472</v>
      </c>
      <c r="G123" s="41">
        <f t="array" ref="G123">SUM(IF((ProjecaoAreas!$H$6:$H$46=ResumoCusto!$D$116)*(ProjecaoAreas!$I$6:$I$46=ResumoCusto!$D124),ProjecaoAreas!$L$6:$L$46))</f>
        <v>0.32203389830508472</v>
      </c>
      <c r="H123" s="41">
        <f t="array" ref="H123">SUM(IF((ProjecaoAreas!$H$6:$H$46=ResumoCusto!$D$116)*(ProjecaoAreas!$I$6:$I$46=ResumoCusto!$D124),ProjecaoAreas!$L$6:$L$46))</f>
        <v>0.32203389830508472</v>
      </c>
      <c r="I123" s="41">
        <f t="array" ref="I123">SUM(IF((ProjecaoAreas!$H$6:$H$46=ResumoCusto!$D$116)*(ProjecaoAreas!$I$6:$I$46=ResumoCusto!$D124),ProjecaoAreas!$L$6:$L$46))</f>
        <v>0.32203389830508472</v>
      </c>
      <c r="J123" s="41">
        <f t="array" ref="J123">SUM(IF((ProjecaoAreas!$H$6:$H$46=ResumoCusto!$D$116)*(ProjecaoAreas!$I$6:$I$46=ResumoCusto!$D124),ProjecaoAreas!$L$6:$L$46))</f>
        <v>0.32203389830508472</v>
      </c>
      <c r="K123" s="41">
        <f t="array" ref="K123">SUM(IF((ProjecaoAreas!$H$6:$H$46=ResumoCusto!$D$116)*(ProjecaoAreas!$I$6:$I$46=ResumoCusto!$D124),ProjecaoAreas!$L$6:$L$46))</f>
        <v>0.32203389830508472</v>
      </c>
      <c r="L123" s="41">
        <f t="array" ref="L123">SUM(IF((ProjecaoAreas!$H$6:$H$46=ResumoCusto!$D$116)*(ProjecaoAreas!$I$6:$I$46=ResumoCusto!$D124),ProjecaoAreas!$L$6:$L$46))</f>
        <v>0.32203389830508472</v>
      </c>
      <c r="M123" s="41">
        <f t="array" ref="M123">SUM(IF((ProjecaoAreas!$H$6:$H$46=ResumoCusto!$D$116)*(ProjecaoAreas!$I$6:$I$46=ResumoCusto!$D124),ProjecaoAreas!$L$6:$L$46))</f>
        <v>0.32203389830508472</v>
      </c>
      <c r="N123" s="41">
        <f t="array" ref="N123">SUM(IF((ProjecaoAreas!$H$6:$H$46=ResumoCusto!$D$116)*(ProjecaoAreas!$I$6:$I$46=ResumoCusto!$D124),ProjecaoAreas!$L$6:$L$46))</f>
        <v>0.32203389830508472</v>
      </c>
      <c r="O123" s="41">
        <f t="array" ref="O123">SUM(IF((ProjecaoAreas!$H$6:$H$46=ResumoCusto!$D$116)*(ProjecaoAreas!$I$6:$I$46=ResumoCusto!$D124),ProjecaoAreas!$L$6:$L$46))</f>
        <v>0.32203389830508472</v>
      </c>
      <c r="P123" s="40"/>
      <c r="Q123" s="42"/>
    </row>
    <row r="124" spans="1:17" ht="15.75" thickBot="1" x14ac:dyDescent="0.3">
      <c r="A124" s="27"/>
      <c r="B124" s="320"/>
      <c r="C124" s="35"/>
      <c r="D124" s="43" t="s">
        <v>7663</v>
      </c>
      <c r="E124" s="44">
        <f t="array" ref="E124">SUM(IF((ProjecaoAreas!$H$6:$H$46=ResumoCusto!$D$116)*(ProjecaoAreas!$I$6:$I$46=ResumoCusto!$D124),ProjecaoAreas!$J$6:$J$46))</f>
        <v>570</v>
      </c>
      <c r="F124" s="44">
        <f>F$116*F123</f>
        <v>254.57957452210164</v>
      </c>
      <c r="G124" s="44">
        <f t="shared" ref="G124" si="57">G$116*G123</f>
        <v>210.76887642711861</v>
      </c>
      <c r="H124" s="44">
        <f t="shared" ref="H124" si="58">H$116*H123</f>
        <v>51.525423728813557</v>
      </c>
      <c r="I124" s="44">
        <f t="shared" ref="I124" si="59">I$116*I123</f>
        <v>20.14506151804596</v>
      </c>
      <c r="J124" s="44">
        <f t="shared" ref="J124" si="60">J$116*J123</f>
        <v>173.89830508474574</v>
      </c>
      <c r="K124" s="44">
        <f t="shared" ref="K124" si="61">K$116*K123</f>
        <v>36.711864406779661</v>
      </c>
      <c r="L124" s="44">
        <f t="shared" ref="L124" si="62">L$116*L123</f>
        <v>32.20338983050847</v>
      </c>
      <c r="M124" s="44">
        <f t="shared" ref="M124" si="63">M$116*M123</f>
        <v>20.932203389830505</v>
      </c>
      <c r="N124" s="44">
        <f t="shared" ref="N124" si="64">N$116*N123</f>
        <v>9.3389830508474567</v>
      </c>
      <c r="O124" s="44">
        <f t="shared" ref="O124" si="65">O$116*O123</f>
        <v>36.067796610169488</v>
      </c>
      <c r="P124" s="44">
        <f>SUM(F124:O124)</f>
        <v>846.17147856896111</v>
      </c>
      <c r="Q124" s="45">
        <f>P124/E124*1000</f>
        <v>1484.5113659104582</v>
      </c>
    </row>
    <row r="125" spans="1:17" ht="15.75" hidden="1" outlineLevel="1" thickBot="1" x14ac:dyDescent="0.3">
      <c r="A125" s="27"/>
      <c r="B125" s="320"/>
      <c r="C125" s="35"/>
      <c r="D125" s="46" t="s">
        <v>7686</v>
      </c>
      <c r="E125" s="47" t="s">
        <v>27</v>
      </c>
      <c r="F125" s="47">
        <f t="array" ref="F125">SUM(IF((Tabela_GM_PEDIDOS_2017_FIM[MOEDA]=$E125)*(Tabela_GM_PEDIDOS_2017_FIM[FILIAL]=$D$116)*(Tabela_GM_PEDIDOS_2017_FIM[TIPO_GRUPO]=F$10),Tabela_GM_PEDIDOS_2017_FIM[VALOR_PAGAR]+Tabela_GM_PEDIDOS_2017_FIM[VC_FINANCEIRA]))*F123/1000</f>
        <v>0</v>
      </c>
      <c r="G125" s="47">
        <f t="array" ref="G125">SUM(IF((Tabela_GM_PEDIDOS_2017_FIM[MOEDA]=$E125)*(Tabela_GM_PEDIDOS_2017_FIM[FILIAL]=$D$116)*(Tabela_GM_PEDIDOS_2017_FIM[TIPO_GRUPO]=G$10),Tabela_GM_PEDIDOS_2017_FIM[VALOR_PAGAR]+Tabela_GM_PEDIDOS_2017_FIM[VC_FINANCEIRA]))*G123/1000</f>
        <v>0</v>
      </c>
      <c r="H125" s="47">
        <f t="array" ref="H125">SUM(IF((Tabela_GM_PEDIDOS_2017_FIM[MOEDA]=$E125)*(Tabela_GM_PEDIDOS_2017_FIM[FILIAL]=$D$116)*(Tabela_GM_PEDIDOS_2017_FIM[TIPO_GRUPO]=H$10),Tabela_GM_PEDIDOS_2017_FIM[VALOR_PAGAR]+Tabela_GM_PEDIDOS_2017_FIM[VC_FINANCEIRA]))*H123/1000</f>
        <v>0</v>
      </c>
      <c r="I125" s="47">
        <f t="array" ref="I125">SUM(IF((Tabela_GM_PEDIDOS_2017_FIM[MOEDA]=$E125)*(Tabela_GM_PEDIDOS_2017_FIM[FILIAL]=$D$116)*(Tabela_GM_PEDIDOS_2017_FIM[TIPO_GRUPO]=I$10),Tabela_GM_PEDIDOS_2017_FIM[VALOR_PAGAR]+Tabela_GM_PEDIDOS_2017_FIM[VC_FINANCEIRA]))*I123/1000</f>
        <v>0</v>
      </c>
      <c r="J125" s="47">
        <f t="array" ref="J125">SUM(IF((Tabela_GM_PEDIDOS_2017_FIM[MOEDA]=$E125)*(Tabela_GM_PEDIDOS_2017_FIM[FILIAL]=$D$116)*(Tabela_GM_PEDIDOS_2017_FIM[TIPO_GRUPO]=J$10),Tabela_GM_PEDIDOS_2017_FIM[VALOR_PAGAR]+Tabela_GM_PEDIDOS_2017_FIM[VC_FINANCEIRA]))*J123/1000</f>
        <v>0</v>
      </c>
      <c r="K125" s="47">
        <f t="array" ref="K125">SUM(IF((Tabela_GM_PEDIDOS_2017_FIM[MOEDA]=$E125)*(Tabela_GM_PEDIDOS_2017_FIM[FILIAL]=$D$116)*(Tabela_GM_PEDIDOS_2017_FIM[TIPO_GRUPO]=K$10),Tabela_GM_PEDIDOS_2017_FIM[VALOR_PAGAR]+Tabela_GM_PEDIDOS_2017_FIM[VC_FINANCEIRA]))*K123/1000</f>
        <v>0</v>
      </c>
      <c r="L125" s="47">
        <f t="array" ref="L125">SUM(IF((Tabela_GM_PEDIDOS_2017_FIM[MOEDA]=$E125)*(Tabela_GM_PEDIDOS_2017_FIM[FILIAL]=$D$116)*(Tabela_GM_PEDIDOS_2017_FIM[TIPO_GRUPO]=L$10),Tabela_GM_PEDIDOS_2017_FIM[VALOR_PAGAR]+Tabela_GM_PEDIDOS_2017_FIM[VC_FINANCEIRA]))*L123/1000</f>
        <v>0</v>
      </c>
      <c r="M125" s="47">
        <f t="array" ref="M125">SUM(IF((Tabela_GM_PEDIDOS_2017_FIM[MOEDA]=$E125)*(Tabela_GM_PEDIDOS_2017_FIM[FILIAL]=$D$116)*(Tabela_GM_PEDIDOS_2017_FIM[TIPO_GRUPO]=M$10),Tabela_GM_PEDIDOS_2017_FIM[VALOR_PAGAR]+Tabela_GM_PEDIDOS_2017_FIM[VC_FINANCEIRA]))*M123/1000</f>
        <v>0</v>
      </c>
      <c r="N125" s="47">
        <f t="array" ref="N125">SUM(IF((Tabela_GM_PEDIDOS_2017_FIM[MOEDA]=$E125)*(Tabela_GM_PEDIDOS_2017_FIM[FILIAL]=$D$116)*(Tabela_GM_PEDIDOS_2017_FIM[TIPO_GRUPO]=N$10),Tabela_GM_PEDIDOS_2017_FIM[VALOR_PAGAR]+Tabela_GM_PEDIDOS_2017_FIM[VC_FINANCEIRA]))*N123/1000</f>
        <v>0</v>
      </c>
      <c r="O125" s="47">
        <f t="array" ref="O125">SUM(IF((Tabela_GM_PEDIDOS_2017_FIM[MOEDA]=$E125)*(Tabela_GM_PEDIDOS_2017_FIM[FILIAL]=$D$116)*(Tabela_GM_PEDIDOS_2017_FIM[TIPO_GRUPO]=O$10),Tabela_GM_PEDIDOS_2017_FIM[VALOR_PAGAR]+Tabela_GM_PEDIDOS_2017_FIM[VC_FINANCEIRA]))*O123/1000</f>
        <v>0</v>
      </c>
      <c r="P125" s="47">
        <f t="array" ref="P125">SUM(F125:O125)</f>
        <v>0</v>
      </c>
      <c r="Q125" s="48"/>
    </row>
    <row r="126" spans="1:17" ht="15.75" hidden="1" outlineLevel="1" thickBot="1" x14ac:dyDescent="0.3">
      <c r="A126" s="27"/>
      <c r="B126" s="320"/>
      <c r="C126" s="35"/>
      <c r="D126" s="46" t="s">
        <v>7687</v>
      </c>
      <c r="E126" s="47" t="s">
        <v>16</v>
      </c>
      <c r="F126" s="47">
        <f t="array" ref="F126">SUM(IF((Tabela_GM_PEDIDOS_2017_FIM[MOEDA]=$E126)*(Tabela_GM_PEDIDOS_2017_FIM[FILIAL]=$D$116)*(Tabela_GM_PEDIDOS_2017_FIM[TIPO_GRUPO]=F$10)*(Tabela_GM_PEDIDOS_2017_FIM[PAGO]="S"),Tabela_GM_PEDIDOS_2017_FIM[VALOR_PAGAR]+Tabela_GM_PEDIDOS_2017_FIM[VC_FINANCEIRA]))*F123/1000</f>
        <v>0</v>
      </c>
      <c r="G126" s="47">
        <f t="array" ref="G126">SUM(IF((Tabela_GM_PEDIDOS_2017_FIM[MOEDA]=$E126)*(Tabela_GM_PEDIDOS_2017_FIM[FILIAL]=$D$116)*(Tabela_GM_PEDIDOS_2017_FIM[TIPO_GRUPO]=G$10)*(Tabela_GM_PEDIDOS_2017_FIM[PAGO]="S"),Tabela_GM_PEDIDOS_2017_FIM[VALOR_PAGAR]+Tabela_GM_PEDIDOS_2017_FIM[VC_FINANCEIRA]))*G123/1000</f>
        <v>63.516355932203382</v>
      </c>
      <c r="H126" s="47">
        <f t="array" ref="H126">SUM(IF((Tabela_GM_PEDIDOS_2017_FIM[MOEDA]=$E126)*(Tabela_GM_PEDIDOS_2017_FIM[FILIAL]=$D$116)*(Tabela_GM_PEDIDOS_2017_FIM[TIPO_GRUPO]=H$10)*(Tabela_GM_PEDIDOS_2017_FIM[PAGO]="S"),Tabela_GM_PEDIDOS_2017_FIM[VALOR_PAGAR]+Tabela_GM_PEDIDOS_2017_FIM[VC_FINANCEIRA]))*H123/1000</f>
        <v>0</v>
      </c>
      <c r="I126" s="47">
        <f t="array" ref="I126">SUM(IF((Tabela_GM_PEDIDOS_2017_FIM[MOEDA]=$E126)*(Tabela_GM_PEDIDOS_2017_FIM[FILIAL]=$D$116)*(Tabela_GM_PEDIDOS_2017_FIM[TIPO_GRUPO]=I$10)*(Tabela_GM_PEDIDOS_2017_FIM[PAGO]="S"),Tabela_GM_PEDIDOS_2017_FIM[VALOR_PAGAR]+Tabela_GM_PEDIDOS_2017_FIM[VC_FINANCEIRA]))*I123/1000</f>
        <v>0</v>
      </c>
      <c r="J126" s="47">
        <f t="array" ref="J126">SUM(IF((Tabela_GM_PEDIDOS_2017_FIM[MOEDA]=$E126)*(Tabela_GM_PEDIDOS_2017_FIM[FILIAL]=$D$116)*(Tabela_GM_PEDIDOS_2017_FIM[TIPO_GRUPO]=J$10)*(Tabela_GM_PEDIDOS_2017_FIM[PAGO]="S"),Tabela_GM_PEDIDOS_2017_FIM[VALOR_PAGAR]+Tabela_GM_PEDIDOS_2017_FIM[VC_FINANCEIRA]))*J123/1000</f>
        <v>0</v>
      </c>
      <c r="K126" s="47">
        <f t="array" ref="K126">SUM(IF((Tabela_GM_PEDIDOS_2017_FIM[MOEDA]=$E126)*(Tabela_GM_PEDIDOS_2017_FIM[FILIAL]=$D$116)*(Tabela_GM_PEDIDOS_2017_FIM[TIPO_GRUPO]=K$10)*(Tabela_GM_PEDIDOS_2017_FIM[PAGO]="S"),Tabela_GM_PEDIDOS_2017_FIM[VALOR_PAGAR]+Tabela_GM_PEDIDOS_2017_FIM[VC_FINANCEIRA]))*K123/1000</f>
        <v>0</v>
      </c>
      <c r="L126" s="47">
        <f t="array" ref="L126">SUM(IF((Tabela_GM_PEDIDOS_2017_FIM[MOEDA]=$E126)*(Tabela_GM_PEDIDOS_2017_FIM[FILIAL]=$D$116)*(Tabela_GM_PEDIDOS_2017_FIM[TIPO_GRUPO]=L$10)*(Tabela_GM_PEDIDOS_2017_FIM[PAGO]="S"),Tabela_GM_PEDIDOS_2017_FIM[VALOR_PAGAR]+Tabela_GM_PEDIDOS_2017_FIM[VC_FINANCEIRA]))*L123/1000</f>
        <v>0</v>
      </c>
      <c r="M126" s="47">
        <f t="array" ref="M126">SUM(IF((Tabela_GM_PEDIDOS_2017_FIM[MOEDA]=$E126)*(Tabela_GM_PEDIDOS_2017_FIM[FILIAL]=$D$116)*(Tabela_GM_PEDIDOS_2017_FIM[TIPO_GRUPO]=M$10)*(Tabela_GM_PEDIDOS_2017_FIM[PAGO]="S"),Tabela_GM_PEDIDOS_2017_FIM[VALOR_PAGAR]+Tabela_GM_PEDIDOS_2017_FIM[VC_FINANCEIRA]))*M123/1000</f>
        <v>0</v>
      </c>
      <c r="N126" s="47">
        <f t="array" ref="N126">SUM(IF((Tabela_GM_PEDIDOS_2017_FIM[MOEDA]=$E126)*(Tabela_GM_PEDIDOS_2017_FIM[FILIAL]=$D$116)*(Tabela_GM_PEDIDOS_2017_FIM[TIPO_GRUPO]=N$10)*(Tabela_GM_PEDIDOS_2017_FIM[PAGO]="S"),Tabela_GM_PEDIDOS_2017_FIM[VALOR_PAGAR]+Tabela_GM_PEDIDOS_2017_FIM[VC_FINANCEIRA]))*N123/1000</f>
        <v>0</v>
      </c>
      <c r="O126" s="47">
        <f t="array" ref="O126">SUM(IF((Tabela_GM_PEDIDOS_2017_FIM[MOEDA]=$E126)*(Tabela_GM_PEDIDOS_2017_FIM[FILIAL]=$D$116)*(Tabela_GM_PEDIDOS_2017_FIM[TIPO_GRUPO]=O$10)*(Tabela_GM_PEDIDOS_2017_FIM[PAGO]="S"),Tabela_GM_PEDIDOS_2017_FIM[VALOR_PAGAR]+Tabela_GM_PEDIDOS_2017_FIM[VC_FINANCEIRA]))*O123/1000</f>
        <v>0</v>
      </c>
      <c r="P126" s="47">
        <f t="array" ref="P126">SUM(F126:O126)</f>
        <v>63.516355932203382</v>
      </c>
      <c r="Q126" s="49"/>
    </row>
    <row r="127" spans="1:17" ht="15.75" hidden="1" outlineLevel="1" thickBot="1" x14ac:dyDescent="0.3">
      <c r="A127" s="27"/>
      <c r="B127" s="320"/>
      <c r="C127" s="35"/>
      <c r="D127" s="46" t="s">
        <v>7688</v>
      </c>
      <c r="E127" s="47" t="s">
        <v>16</v>
      </c>
      <c r="F127" s="50">
        <f t="array" ref="F127">SUM(IF((Tabela_GM_PEDIDOS_2017_FIM[MOEDA]=$E127)*(Tabela_GM_PEDIDOS_2017_FIM[FILIAL]=$D$116)*(Tabela_GM_PEDIDOS_2017_FIM[TIPO_GRUPO]=F$10)*(Tabela_GM_PEDIDOS_2017_FIM[PAGO]&lt;&gt;"S"),Tabela_GM_PEDIDOS_2017_FIM[VL_PEDIDO_COMPRA]))*F123/1000</f>
        <v>42.109564745762704</v>
      </c>
      <c r="G127" s="50">
        <f t="array" ref="G127">SUM(IF((Tabela_GM_PEDIDOS_2017_FIM[MOEDA]=$E127)*(Tabela_GM_PEDIDOS_2017_FIM[FILIAL]=$D$116)*(Tabela_GM_PEDIDOS_2017_FIM[TIPO_GRUPO]=G$10)*(Tabela_GM_PEDIDOS_2017_FIM[PAGO]&lt;&gt;"S"),Tabela_GM_PEDIDOS_2017_FIM[VL_PEDIDO_COMPRA]))*G123/1000</f>
        <v>37.244830508474571</v>
      </c>
      <c r="H127" s="50">
        <f t="array" ref="H127">SUM(IF((Tabela_GM_PEDIDOS_2017_FIM[MOEDA]=$E127)*(Tabela_GM_PEDIDOS_2017_FIM[FILIAL]=$D$116)*(Tabela_GM_PEDIDOS_2017_FIM[TIPO_GRUPO]=H$10)*(Tabela_GM_PEDIDOS_2017_FIM[PAGO]&lt;&gt;"S"),Tabela_GM_PEDIDOS_2017_FIM[VL_PEDIDO_COMPRA]))*H123/1000</f>
        <v>0</v>
      </c>
      <c r="I127" s="50">
        <f t="array" ref="I127">SUM(IF((Tabela_GM_PEDIDOS_2017_FIM[MOEDA]=$E127)*(Tabela_GM_PEDIDOS_2017_FIM[FILIAL]=$D$116)*(Tabela_GM_PEDIDOS_2017_FIM[TIPO_GRUPO]=I$10)*(Tabela_GM_PEDIDOS_2017_FIM[PAGO]&lt;&gt;"S"),Tabela_GM_PEDIDOS_2017_FIM[VL_PEDIDO_COMPRA]))*I123/1000</f>
        <v>0</v>
      </c>
      <c r="J127" s="50">
        <f t="array" ref="J127">SUM(IF((Tabela_GM_PEDIDOS_2017_FIM[MOEDA]=$E127)*(Tabela_GM_PEDIDOS_2017_FIM[FILIAL]=$D$116)*(Tabela_GM_PEDIDOS_2017_FIM[TIPO_GRUPO]=J$10)*(Tabela_GM_PEDIDOS_2017_FIM[PAGO]&lt;&gt;"S"),Tabela_GM_PEDIDOS_2017_FIM[VL_PEDIDO_COMPRA]))*J123/1000</f>
        <v>0</v>
      </c>
      <c r="K127" s="50">
        <f t="array" ref="K127">SUM(IF((Tabela_GM_PEDIDOS_2017_FIM[MOEDA]=$E127)*(Tabela_GM_PEDIDOS_2017_FIM[FILIAL]=$D$116)*(Tabela_GM_PEDIDOS_2017_FIM[TIPO_GRUPO]=K$10)*(Tabela_GM_PEDIDOS_2017_FIM[PAGO]&lt;&gt;"S"),Tabela_GM_PEDIDOS_2017_FIM[VL_PEDIDO_COMPRA]))*K123/1000</f>
        <v>0</v>
      </c>
      <c r="L127" s="50">
        <f t="array" ref="L127">SUM(IF((Tabela_GM_PEDIDOS_2017_FIM[MOEDA]=$E127)*(Tabela_GM_PEDIDOS_2017_FIM[FILIAL]=$D$116)*(Tabela_GM_PEDIDOS_2017_FIM[TIPO_GRUPO]=L$10)*(Tabela_GM_PEDIDOS_2017_FIM[PAGO]&lt;&gt;"S"),Tabela_GM_PEDIDOS_2017_FIM[VL_PEDIDO_COMPRA]))*L123/1000</f>
        <v>0</v>
      </c>
      <c r="M127" s="50">
        <f t="array" ref="M127">SUM(IF((Tabela_GM_PEDIDOS_2017_FIM[MOEDA]=$E127)*(Tabela_GM_PEDIDOS_2017_FIM[FILIAL]=$D$116)*(Tabela_GM_PEDIDOS_2017_FIM[TIPO_GRUPO]=M$10)*(Tabela_GM_PEDIDOS_2017_FIM[PAGO]&lt;&gt;"S"),Tabela_GM_PEDIDOS_2017_FIM[VL_PEDIDO_COMPRA]))*M123/1000</f>
        <v>0</v>
      </c>
      <c r="N127" s="50">
        <f t="array" ref="N127">SUM(IF((Tabela_GM_PEDIDOS_2017_FIM[MOEDA]=$E127)*(Tabela_GM_PEDIDOS_2017_FIM[FILIAL]=$D$116)*(Tabela_GM_PEDIDOS_2017_FIM[TIPO_GRUPO]=N$10)*(Tabela_GM_PEDIDOS_2017_FIM[PAGO]&lt;&gt;"S"),Tabela_GM_PEDIDOS_2017_FIM[VL_PEDIDO_COMPRA]))*N123/1000</f>
        <v>0</v>
      </c>
      <c r="O127" s="50">
        <f t="array" ref="O127">SUM(IF((Tabela_GM_PEDIDOS_2017_FIM[MOEDA]=$E127)*(Tabela_GM_PEDIDOS_2017_FIM[FILIAL]=$D$116)*(Tabela_GM_PEDIDOS_2017_FIM[TIPO_GRUPO]=O$10)*(Tabela_GM_PEDIDOS_2017_FIM[PAGO]&lt;&gt;"S"),Tabela_GM_PEDIDOS_2017_FIM[VL_PEDIDO_COMPRA]))*O123/1000</f>
        <v>0</v>
      </c>
      <c r="P127" s="50">
        <f>SUM(F127:O127)</f>
        <v>79.354395254237275</v>
      </c>
      <c r="Q127" s="48"/>
    </row>
    <row r="128" spans="1:17" ht="15.75" collapsed="1" thickBot="1" x14ac:dyDescent="0.3">
      <c r="A128" s="27"/>
      <c r="B128" s="320"/>
      <c r="C128" s="35"/>
      <c r="D128" s="43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5"/>
    </row>
    <row r="129" spans="1:17" ht="15.75" thickBot="1" x14ac:dyDescent="0.3">
      <c r="A129" s="27"/>
      <c r="B129" s="320"/>
      <c r="C129" s="35"/>
      <c r="D129" s="22"/>
      <c r="E129" s="23" t="s">
        <v>7684</v>
      </c>
      <c r="F129" s="24">
        <v>300</v>
      </c>
      <c r="G129" s="24">
        <v>0</v>
      </c>
      <c r="H129" s="24">
        <v>140</v>
      </c>
      <c r="I129" s="24"/>
      <c r="J129" s="24">
        <v>600</v>
      </c>
      <c r="K129" s="24">
        <v>114</v>
      </c>
      <c r="L129" s="24">
        <v>0</v>
      </c>
      <c r="M129" s="24">
        <v>0</v>
      </c>
      <c r="N129" s="24">
        <v>90</v>
      </c>
      <c r="O129" s="24">
        <v>0</v>
      </c>
      <c r="P129" s="25"/>
      <c r="Q129" s="26"/>
    </row>
    <row r="130" spans="1:17" ht="15.75" thickBot="1" x14ac:dyDescent="0.3">
      <c r="A130" s="27"/>
      <c r="B130" s="320"/>
      <c r="C130" s="35"/>
      <c r="D130" s="30"/>
      <c r="E130" s="31"/>
      <c r="F130" s="32"/>
      <c r="G130" s="32"/>
      <c r="H130" s="32"/>
      <c r="I130" s="32" t="s">
        <v>7785</v>
      </c>
      <c r="J130" s="32" t="s">
        <v>7785</v>
      </c>
      <c r="K130" s="32"/>
      <c r="L130" s="32"/>
      <c r="M130" s="32"/>
      <c r="N130" s="32"/>
      <c r="O130" s="33" t="s">
        <v>7784</v>
      </c>
      <c r="P130" s="32"/>
      <c r="Q130" s="34"/>
    </row>
    <row r="131" spans="1:17" ht="15.75" thickBot="1" x14ac:dyDescent="0.3">
      <c r="A131" s="27"/>
      <c r="B131" s="320"/>
      <c r="C131" s="35"/>
      <c r="D131" s="36" t="s">
        <v>17</v>
      </c>
      <c r="E131" s="37">
        <f t="array" ref="E131">SUM(IF((ProjecaoAreas!$B$28:$B$38=ResumoCusto!D131),ProjecaoAreas!$D$28:$D$38))</f>
        <v>1220</v>
      </c>
      <c r="F131" s="37">
        <f t="array" ref="F131">(SUM(IF((Tabela_GM_PEDIDOS_2017_FIM[TIPO_GRUPO]=ResumoCusto!F$10)*(Tabela_GM_PEDIDOS_2017_FIM[FILIAL]=ResumoCusto!$D131),Tabela_GM_PEDIDOS_2017_FIM[VALOR_PAGAR]+Tabela_GM_PEDIDOS_2017_FIM[VC_FINANCEIRA]))/1000)+F129</f>
        <v>740.48171124400005</v>
      </c>
      <c r="G131" s="37">
        <f t="array" ref="G131">(SUM(IF((Tabela_GM_PEDIDOS_2017_FIM[TIPO_GRUPO]=ResumoCusto!G$10)*(Tabela_GM_PEDIDOS_2017_FIM[FILIAL]=ResumoCusto!$D131),Tabela_GM_PEDIDOS_2017_FIM[VALOR_PAGAR]+Tabela_GM_PEDIDOS_2017_FIM[VC_FINANCEIRA]))/1000)+G129</f>
        <v>595.37041307999993</v>
      </c>
      <c r="H131" s="37">
        <f t="array" ref="H131">(SUM(IF((Tabela_GM_PEDIDOS_2017_FIM[TIPO_GRUPO]=ResumoCusto!H$10)*(Tabela_GM_PEDIDOS_2017_FIM[FILIAL]=ResumoCusto!$D131),Tabela_GM_PEDIDOS_2017_FIM[VALOR_PAGAR]+Tabela_GM_PEDIDOS_2017_FIM[VC_FINANCEIRA]))/1000)+H129</f>
        <v>140</v>
      </c>
      <c r="I131" s="37">
        <f>Frete!C13/1000</f>
        <v>59.161221055444635</v>
      </c>
      <c r="J131" s="37">
        <f t="array" ref="J131">(SUM(IF((Tabela_GM_PEDIDOS_2017_FIM[TIPO_GRUPO]=ResumoCusto!J$10)*(Tabela_GM_PEDIDOS_2017_FIM[FILIAL]=ResumoCusto!$D131),Tabela_GM_PEDIDOS_2017_FIM[VALOR_PAGAR]+Tabela_GM_PEDIDOS_2017_FIM[VC_FINANCEIRA]))/1000)+J129</f>
        <v>600</v>
      </c>
      <c r="K131" s="37">
        <f t="array" ref="K131">(SUM(IF((Tabela_GM_PEDIDOS_2017_FIM[TIPO_GRUPO]=ResumoCusto!K$10)*(Tabela_GM_PEDIDOS_2017_FIM[FILIAL]=ResumoCusto!$D131),Tabela_GM_PEDIDOS_2017_FIM[VALOR_PAGAR]+Tabela_GM_PEDIDOS_2017_FIM[VC_FINANCEIRA]))/1000)+K129</f>
        <v>114</v>
      </c>
      <c r="L131" s="37">
        <f t="array" ref="L131">(SUM(IF((Tabela_GM_PEDIDOS_2017_FIM[TIPO_GRUPO]=ResumoCusto!L$10)*(Tabela_GM_PEDIDOS_2017_FIM[FILIAL]=ResumoCusto!$D131),Tabela_GM_PEDIDOS_2017_FIM[VALOR_PAGAR]+Tabela_GM_PEDIDOS_2017_FIM[VC_FINANCEIRA]))/1000)+L129</f>
        <v>0</v>
      </c>
      <c r="M131" s="37">
        <f t="array" ref="M131">(SUM(IF((Tabela_GM_PEDIDOS_2017_FIM[TIPO_GRUPO]=ResumoCusto!M$10)*(Tabela_GM_PEDIDOS_2017_FIM[FILIAL]=ResumoCusto!$D131),Tabela_GM_PEDIDOS_2017_FIM[VALOR_PAGAR]+Tabela_GM_PEDIDOS_2017_FIM[VC_FINANCEIRA]))/1000)+M129</f>
        <v>0</v>
      </c>
      <c r="N131" s="37">
        <f t="array" ref="N131">(SUM(IF((Tabela_GM_PEDIDOS_2017_FIM[TIPO_GRUPO]=ResumoCusto!N$10)*(Tabela_GM_PEDIDOS_2017_FIM[FILIAL]=ResumoCusto!$D131),Tabela_GM_PEDIDOS_2017_FIM[VALOR_PAGAR]+Tabela_GM_PEDIDOS_2017_FIM[VC_FINANCEIRA]))/1000)+N129</f>
        <v>90</v>
      </c>
      <c r="O131" s="37">
        <f t="array" ref="O131">(SUM(IF((Tabela_GM_PEDIDOS_2017_FIM[TIPO_GRUPO]=ResumoCusto!O$10)*(Tabela_GM_PEDIDOS_2017_FIM[FILIAL]=ResumoCusto!$D131),Tabela_GM_PEDIDOS_2017_FIM[VALOR_PAGAR]+Tabela_GM_PEDIDOS_2017_FIM[VC_FINANCEIRA]))/1000)+O129</f>
        <v>0</v>
      </c>
      <c r="P131" s="37">
        <f>SUM(F131:O131)</f>
        <v>2339.0133453794447</v>
      </c>
      <c r="Q131" s="38">
        <f>P131/E131*1000</f>
        <v>1917.2240535897088</v>
      </c>
    </row>
    <row r="132" spans="1:17" ht="15.75" thickBot="1" x14ac:dyDescent="0.3">
      <c r="A132" s="27"/>
      <c r="B132" s="320"/>
      <c r="C132" s="35"/>
      <c r="D132" s="39" t="s">
        <v>7786</v>
      </c>
      <c r="E132" s="40"/>
      <c r="F132" s="41">
        <f t="array" ref="F132">SUM(IF((ProjecaoAreas!$H$6:$H$46=ResumoCusto!$D$131)*(ProjecaoAreas!$I$6:$I$46=ResumoCusto!$D133),ProjecaoAreas!$L$6:$L$46))</f>
        <v>0.66265060240963858</v>
      </c>
      <c r="G132" s="41">
        <f t="array" ref="G132">SUM(IF((ProjecaoAreas!$H$6:$H$46=ResumoCusto!$D$131)*(ProjecaoAreas!$I$6:$I$46=ResumoCusto!$D133),ProjecaoAreas!$L$6:$L$46))</f>
        <v>0.66265060240963858</v>
      </c>
      <c r="H132" s="41">
        <f t="array" ref="H132">SUM(IF((ProjecaoAreas!$H$6:$H$46=ResumoCusto!$D$131)*(ProjecaoAreas!$I$6:$I$46=ResumoCusto!$D133),ProjecaoAreas!$L$6:$L$46))</f>
        <v>0.66265060240963858</v>
      </c>
      <c r="I132" s="41">
        <f t="array" ref="I132">SUM(IF((ProjecaoAreas!$H$6:$H$46=ResumoCusto!$D$131)*(ProjecaoAreas!$I$6:$I$46=ResumoCusto!$D133),ProjecaoAreas!$L$6:$L$46))</f>
        <v>0.66265060240963858</v>
      </c>
      <c r="J132" s="41">
        <f t="array" ref="J132">SUM(IF((ProjecaoAreas!$H$6:$H$46=ResumoCusto!$D$131)*(ProjecaoAreas!$I$6:$I$46=ResumoCusto!$D133),ProjecaoAreas!$L$6:$L$46))</f>
        <v>0.66265060240963858</v>
      </c>
      <c r="K132" s="41">
        <f t="array" ref="K132">SUM(IF((ProjecaoAreas!$H$6:$H$46=ResumoCusto!$D$131)*(ProjecaoAreas!$I$6:$I$46=ResumoCusto!$D133),ProjecaoAreas!$L$6:$L$46))</f>
        <v>0.66265060240963858</v>
      </c>
      <c r="L132" s="41">
        <f t="array" ref="L132">SUM(IF((ProjecaoAreas!$H$6:$H$46=ResumoCusto!$D$131)*(ProjecaoAreas!$I$6:$I$46=ResumoCusto!$D133),ProjecaoAreas!$L$6:$L$46))</f>
        <v>0.66265060240963858</v>
      </c>
      <c r="M132" s="41">
        <f t="array" ref="M132">SUM(IF((ProjecaoAreas!$H$6:$H$46=ResumoCusto!$D$131)*(ProjecaoAreas!$I$6:$I$46=ResumoCusto!$D133),ProjecaoAreas!$L$6:$L$46))</f>
        <v>0.66265060240963858</v>
      </c>
      <c r="N132" s="41">
        <f t="array" ref="N132">SUM(IF((ProjecaoAreas!$H$6:$H$46=ResumoCusto!$D$131)*(ProjecaoAreas!$I$6:$I$46=ResumoCusto!$D133),ProjecaoAreas!$L$6:$L$46))</f>
        <v>0.66265060240963858</v>
      </c>
      <c r="O132" s="41">
        <f t="array" ref="O132">SUM(IF((ProjecaoAreas!$H$6:$H$46=ResumoCusto!$D$131)*(ProjecaoAreas!$I$6:$I$46=ResumoCusto!$D133),ProjecaoAreas!$L$6:$L$46))</f>
        <v>0.66265060240963858</v>
      </c>
      <c r="P132" s="40"/>
      <c r="Q132" s="42"/>
    </row>
    <row r="133" spans="1:17" ht="15.75" thickBot="1" x14ac:dyDescent="0.3">
      <c r="A133" s="27"/>
      <c r="B133" s="320"/>
      <c r="C133" s="35"/>
      <c r="D133" s="43" t="s">
        <v>7660</v>
      </c>
      <c r="E133" s="44">
        <f t="array" ref="E133">SUM(IF((ProjecaoAreas!$H$6:$H$46=ResumoCusto!$D$131)*(ProjecaoAreas!$I$6:$I$46=ResumoCusto!$D133),ProjecaoAreas!$J$6:$J$46))</f>
        <v>660</v>
      </c>
      <c r="F133" s="44">
        <f t="array" ref="F133">F$131*F132</f>
        <v>490.6806520291567</v>
      </c>
      <c r="G133" s="44">
        <f t="array" ref="G133">G$131*G132</f>
        <v>394.52256288433733</v>
      </c>
      <c r="H133" s="44">
        <f t="array" ref="H133">H$131*H132</f>
        <v>92.771084337349407</v>
      </c>
      <c r="I133" s="44">
        <f t="array" ref="I133">I$131*I132</f>
        <v>39.203218771680184</v>
      </c>
      <c r="J133" s="44">
        <f t="array" ref="J133">J$131*J132</f>
        <v>397.59036144578317</v>
      </c>
      <c r="K133" s="44">
        <f t="array" ref="K133">K$131*K132</f>
        <v>75.5421686746988</v>
      </c>
      <c r="L133" s="44">
        <f t="array" ref="L133">L$131*L132</f>
        <v>0</v>
      </c>
      <c r="M133" s="44">
        <f t="array" ref="M133">M$131*M132</f>
        <v>0</v>
      </c>
      <c r="N133" s="44">
        <f t="array" ref="N133">N$131*N132</f>
        <v>59.638554216867469</v>
      </c>
      <c r="O133" s="44">
        <f t="array" ref="O133">O$131*O132</f>
        <v>0</v>
      </c>
      <c r="P133" s="44">
        <f>SUM(F133:O133)</f>
        <v>1549.9486023598733</v>
      </c>
      <c r="Q133" s="45">
        <f>P133/E133*1000</f>
        <v>2348.4069732725352</v>
      </c>
    </row>
    <row r="134" spans="1:17" ht="15.75" hidden="1" outlineLevel="1" thickBot="1" x14ac:dyDescent="0.3">
      <c r="A134" s="27"/>
      <c r="B134" s="320"/>
      <c r="C134" s="35"/>
      <c r="D134" s="46" t="s">
        <v>7686</v>
      </c>
      <c r="E134" s="47" t="s">
        <v>27</v>
      </c>
      <c r="F134" s="47">
        <f t="array" ref="F134">SUM(IF((Tabela_GM_PEDIDOS_2017_FIM[MOEDA]=$E134)*(Tabela_GM_PEDIDOS_2017_FIM[FILIAL]=$D$131)*(Tabela_GM_PEDIDOS_2017_FIM[TIPO_GRUPO]=F$10),Tabela_GM_PEDIDOS_2017_FIM[VALOR_PAGAR]+Tabela_GM_PEDIDOS_2017_FIM[VC_FINANCEIRA]))*F132/1000</f>
        <v>0</v>
      </c>
      <c r="G134" s="47">
        <f t="array" ref="G134">SUM(IF((Tabela_GM_PEDIDOS_2017_FIM[MOEDA]=$E134)*(Tabela_GM_PEDIDOS_2017_FIM[FILIAL]=$D$131)*(Tabela_GM_PEDIDOS_2017_FIM[TIPO_GRUPO]=G$10),Tabela_GM_PEDIDOS_2017_FIM[VALOR_PAGAR]+Tabela_GM_PEDIDOS_2017_FIM[VC_FINANCEIRA]))*G132/1000</f>
        <v>0</v>
      </c>
      <c r="H134" s="47">
        <f t="array" ref="H134">SUM(IF((Tabela_GM_PEDIDOS_2017_FIM[MOEDA]=$E134)*(Tabela_GM_PEDIDOS_2017_FIM[FILIAL]=$D$131)*(Tabela_GM_PEDIDOS_2017_FIM[TIPO_GRUPO]=H$10),Tabela_GM_PEDIDOS_2017_FIM[VALOR_PAGAR]+Tabela_GM_PEDIDOS_2017_FIM[VC_FINANCEIRA]))*H132/1000</f>
        <v>0</v>
      </c>
      <c r="I134" s="47">
        <f t="array" ref="I134">SUM(IF((Tabela_GM_PEDIDOS_2017_FIM[MOEDA]=$E134)*(Tabela_GM_PEDIDOS_2017_FIM[FILIAL]=$D$131)*(Tabela_GM_PEDIDOS_2017_FIM[TIPO_GRUPO]=I$10),Tabela_GM_PEDIDOS_2017_FIM[VALOR_PAGAR]+Tabela_GM_PEDIDOS_2017_FIM[VC_FINANCEIRA]))*I132/1000</f>
        <v>0</v>
      </c>
      <c r="J134" s="47">
        <f t="array" ref="J134">SUM(IF((Tabela_GM_PEDIDOS_2017_FIM[MOEDA]=$E134)*(Tabela_GM_PEDIDOS_2017_FIM[FILIAL]=$D$131)*(Tabela_GM_PEDIDOS_2017_FIM[TIPO_GRUPO]=J$10),Tabela_GM_PEDIDOS_2017_FIM[VALOR_PAGAR]+Tabela_GM_PEDIDOS_2017_FIM[VC_FINANCEIRA]))*J132/1000</f>
        <v>0</v>
      </c>
      <c r="K134" s="47">
        <f t="array" ref="K134">SUM(IF((Tabela_GM_PEDIDOS_2017_FIM[MOEDA]=$E134)*(Tabela_GM_PEDIDOS_2017_FIM[FILIAL]=$D$131)*(Tabela_GM_PEDIDOS_2017_FIM[TIPO_GRUPO]=K$10),Tabela_GM_PEDIDOS_2017_FIM[VALOR_PAGAR]+Tabela_GM_PEDIDOS_2017_FIM[VC_FINANCEIRA]))*K132/1000</f>
        <v>0</v>
      </c>
      <c r="L134" s="47">
        <f t="array" ref="L134">SUM(IF((Tabela_GM_PEDIDOS_2017_FIM[MOEDA]=$E134)*(Tabela_GM_PEDIDOS_2017_FIM[FILIAL]=$D$131)*(Tabela_GM_PEDIDOS_2017_FIM[TIPO_GRUPO]=L$10),Tabela_GM_PEDIDOS_2017_FIM[VALOR_PAGAR]+Tabela_GM_PEDIDOS_2017_FIM[VC_FINANCEIRA]))*L132/1000</f>
        <v>0</v>
      </c>
      <c r="M134" s="47">
        <f t="array" ref="M134">SUM(IF((Tabela_GM_PEDIDOS_2017_FIM[MOEDA]=$E134)*(Tabela_GM_PEDIDOS_2017_FIM[FILIAL]=$D$131)*(Tabela_GM_PEDIDOS_2017_FIM[TIPO_GRUPO]=M$10),Tabela_GM_PEDIDOS_2017_FIM[VALOR_PAGAR]+Tabela_GM_PEDIDOS_2017_FIM[VC_FINANCEIRA]))*M132/1000</f>
        <v>0</v>
      </c>
      <c r="N134" s="47">
        <f t="array" ref="N134">SUM(IF((Tabela_GM_PEDIDOS_2017_FIM[MOEDA]=$E134)*(Tabela_GM_PEDIDOS_2017_FIM[FILIAL]=$D$131)*(Tabela_GM_PEDIDOS_2017_FIM[TIPO_GRUPO]=N$10),Tabela_GM_PEDIDOS_2017_FIM[VALOR_PAGAR]+Tabela_GM_PEDIDOS_2017_FIM[VC_FINANCEIRA]))*N132/1000</f>
        <v>0</v>
      </c>
      <c r="O134" s="47">
        <f t="array" ref="O134">SUM(IF((Tabela_GM_PEDIDOS_2017_FIM[MOEDA]=$E134)*(Tabela_GM_PEDIDOS_2017_FIM[FILIAL]=$D$131)*(Tabela_GM_PEDIDOS_2017_FIM[TIPO_GRUPO]=O$10),Tabela_GM_PEDIDOS_2017_FIM[VALOR_PAGAR]+Tabela_GM_PEDIDOS_2017_FIM[VC_FINANCEIRA]))*O132/1000</f>
        <v>0</v>
      </c>
      <c r="P134" s="47">
        <f t="array" ref="P134">SUM(F134:O134)</f>
        <v>0</v>
      </c>
      <c r="Q134" s="48"/>
    </row>
    <row r="135" spans="1:17" ht="15.75" hidden="1" outlineLevel="1" thickBot="1" x14ac:dyDescent="0.3">
      <c r="A135" s="27"/>
      <c r="B135" s="320"/>
      <c r="C135" s="35"/>
      <c r="D135" s="46" t="s">
        <v>7687</v>
      </c>
      <c r="E135" s="47" t="s">
        <v>16</v>
      </c>
      <c r="F135" s="47">
        <f t="array" ref="F135">SUM(IF((Tabela_GM_PEDIDOS_2017_FIM[MOEDA]=$E135)*(Tabela_GM_PEDIDOS_2017_FIM[FILIAL]=$D$131)*(Tabela_GM_PEDIDOS_2017_FIM[TIPO_GRUPO]=F$10)*(Tabela_GM_PEDIDOS_2017_FIM[PAGO]="S"),Tabela_GM_PEDIDOS_2017_FIM[VALOR_PAGAR]+Tabela_GM_PEDIDOS_2017_FIM[VC_FINANCEIRA]))*F132/1000</f>
        <v>0</v>
      </c>
      <c r="G135" s="47">
        <f t="array" ref="G135">SUM(IF((Tabela_GM_PEDIDOS_2017_FIM[MOEDA]=$E135)*(Tabela_GM_PEDIDOS_2017_FIM[FILIAL]=$D$131)*(Tabela_GM_PEDIDOS_2017_FIM[TIPO_GRUPO]=G$10)*(Tabela_GM_PEDIDOS_2017_FIM[PAGO]="S"),Tabela_GM_PEDIDOS_2017_FIM[VALOR_PAGAR]+Tabela_GM_PEDIDOS_2017_FIM[VC_FINANCEIRA]))*G132/1000</f>
        <v>130.69789156626507</v>
      </c>
      <c r="H135" s="47">
        <f t="array" ref="H135">SUM(IF((Tabela_GM_PEDIDOS_2017_FIM[MOEDA]=$E135)*(Tabela_GM_PEDIDOS_2017_FIM[FILIAL]=$D$131)*(Tabela_GM_PEDIDOS_2017_FIM[TIPO_GRUPO]=H$10)*(Tabela_GM_PEDIDOS_2017_FIM[PAGO]="S"),Tabela_GM_PEDIDOS_2017_FIM[VALOR_PAGAR]+Tabela_GM_PEDIDOS_2017_FIM[VC_FINANCEIRA]))*H132/1000</f>
        <v>0</v>
      </c>
      <c r="I135" s="47">
        <f t="array" ref="I135">SUM(IF((Tabela_GM_PEDIDOS_2017_FIM[MOEDA]=$E135)*(Tabela_GM_PEDIDOS_2017_FIM[FILIAL]=$D$131)*(Tabela_GM_PEDIDOS_2017_FIM[TIPO_GRUPO]=I$10)*(Tabela_GM_PEDIDOS_2017_FIM[PAGO]="S"),Tabela_GM_PEDIDOS_2017_FIM[VALOR_PAGAR]+Tabela_GM_PEDIDOS_2017_FIM[VC_FINANCEIRA]))*I132/1000</f>
        <v>0</v>
      </c>
      <c r="J135" s="47">
        <f t="array" ref="J135">SUM(IF((Tabela_GM_PEDIDOS_2017_FIM[MOEDA]=$E135)*(Tabela_GM_PEDIDOS_2017_FIM[FILIAL]=$D$131)*(Tabela_GM_PEDIDOS_2017_FIM[TIPO_GRUPO]=J$10)*(Tabela_GM_PEDIDOS_2017_FIM[PAGO]="S"),Tabela_GM_PEDIDOS_2017_FIM[VALOR_PAGAR]+Tabela_GM_PEDIDOS_2017_FIM[VC_FINANCEIRA]))*J132/1000</f>
        <v>0</v>
      </c>
      <c r="K135" s="47">
        <f t="array" ref="K135">SUM(IF((Tabela_GM_PEDIDOS_2017_FIM[MOEDA]=$E135)*(Tabela_GM_PEDIDOS_2017_FIM[FILIAL]=$D$131)*(Tabela_GM_PEDIDOS_2017_FIM[TIPO_GRUPO]=K$10)*(Tabela_GM_PEDIDOS_2017_FIM[PAGO]="S"),Tabela_GM_PEDIDOS_2017_FIM[VALOR_PAGAR]+Tabela_GM_PEDIDOS_2017_FIM[VC_FINANCEIRA]))*K132/1000</f>
        <v>0</v>
      </c>
      <c r="L135" s="47">
        <f t="array" ref="L135">SUM(IF((Tabela_GM_PEDIDOS_2017_FIM[MOEDA]=$E135)*(Tabela_GM_PEDIDOS_2017_FIM[FILIAL]=$D$131)*(Tabela_GM_PEDIDOS_2017_FIM[TIPO_GRUPO]=L$10)*(Tabela_GM_PEDIDOS_2017_FIM[PAGO]="S"),Tabela_GM_PEDIDOS_2017_FIM[VALOR_PAGAR]+Tabela_GM_PEDIDOS_2017_FIM[VC_FINANCEIRA]))*L132/1000</f>
        <v>0</v>
      </c>
      <c r="M135" s="47">
        <f t="array" ref="M135">SUM(IF((Tabela_GM_PEDIDOS_2017_FIM[MOEDA]=$E135)*(Tabela_GM_PEDIDOS_2017_FIM[FILIAL]=$D$131)*(Tabela_GM_PEDIDOS_2017_FIM[TIPO_GRUPO]=M$10)*(Tabela_GM_PEDIDOS_2017_FIM[PAGO]="S"),Tabela_GM_PEDIDOS_2017_FIM[VALOR_PAGAR]+Tabela_GM_PEDIDOS_2017_FIM[VC_FINANCEIRA]))*M132/1000</f>
        <v>0</v>
      </c>
      <c r="N135" s="47">
        <f t="array" ref="N135">SUM(IF((Tabela_GM_PEDIDOS_2017_FIM[MOEDA]=$E135)*(Tabela_GM_PEDIDOS_2017_FIM[FILIAL]=$D$131)*(Tabela_GM_PEDIDOS_2017_FIM[TIPO_GRUPO]=N$10)*(Tabela_GM_PEDIDOS_2017_FIM[PAGO]="S"),Tabela_GM_PEDIDOS_2017_FIM[VALOR_PAGAR]+Tabela_GM_PEDIDOS_2017_FIM[VC_FINANCEIRA]))*N132/1000</f>
        <v>0</v>
      </c>
      <c r="O135" s="47">
        <f t="array" ref="O135">SUM(IF((Tabela_GM_PEDIDOS_2017_FIM[MOEDA]=$E135)*(Tabela_GM_PEDIDOS_2017_FIM[FILIAL]=$D$131)*(Tabela_GM_PEDIDOS_2017_FIM[TIPO_GRUPO]=O$10)*(Tabela_GM_PEDIDOS_2017_FIM[PAGO]="S"),Tabela_GM_PEDIDOS_2017_FIM[VALOR_PAGAR]+Tabela_GM_PEDIDOS_2017_FIM[VC_FINANCEIRA]))*O132/1000</f>
        <v>0</v>
      </c>
      <c r="P135" s="47">
        <f t="array" ref="P135">SUM(F135:O135)</f>
        <v>130.69789156626507</v>
      </c>
      <c r="Q135" s="49"/>
    </row>
    <row r="136" spans="1:17" ht="15.75" hidden="1" outlineLevel="1" thickBot="1" x14ac:dyDescent="0.3">
      <c r="A136" s="27"/>
      <c r="B136" s="320"/>
      <c r="C136" s="35"/>
      <c r="D136" s="46" t="s">
        <v>7688</v>
      </c>
      <c r="E136" s="47" t="s">
        <v>16</v>
      </c>
      <c r="F136" s="50">
        <f t="array" ref="F136">SUM(IF((Tabela_GM_PEDIDOS_2017_FIM[MOEDA]=$E136)*(Tabela_GM_PEDIDOS_2017_FIM[FILIAL]=$D$131)*(Tabela_GM_PEDIDOS_2017_FIM[TIPO_GRUPO]=F$10)*(Tabela_GM_PEDIDOS_2017_FIM[PAGO]&lt;&gt;"S"),Tabela_GM_PEDIDOS_2017_FIM[VL_PEDIDO_COMPRA]))*F132/1000</f>
        <v>86.637590361445788</v>
      </c>
      <c r="G136" s="50">
        <f t="array" ref="G136">SUM(IF((Tabela_GM_PEDIDOS_2017_FIM[MOEDA]=$E136)*(Tabela_GM_PEDIDOS_2017_FIM[FILIAL]=$D$131)*(Tabela_GM_PEDIDOS_2017_FIM[TIPO_GRUPO]=G$10)*(Tabela_GM_PEDIDOS_2017_FIM[PAGO]&lt;&gt;"S"),Tabela_GM_PEDIDOS_2017_FIM[VL_PEDIDO_COMPRA]))*G132/1000</f>
        <v>66.766487951807221</v>
      </c>
      <c r="H136" s="50">
        <f t="array" ref="H136">SUM(IF((Tabela_GM_PEDIDOS_2017_FIM[MOEDA]=$E136)*(Tabela_GM_PEDIDOS_2017_FIM[FILIAL]=$D$131)*(Tabela_GM_PEDIDOS_2017_FIM[TIPO_GRUPO]=H$10)*(Tabela_GM_PEDIDOS_2017_FIM[PAGO]&lt;&gt;"S"),Tabela_GM_PEDIDOS_2017_FIM[VL_PEDIDO_COMPRA]))*H132/1000</f>
        <v>0</v>
      </c>
      <c r="I136" s="50">
        <f t="array" ref="I136">SUM(IF((Tabela_GM_PEDIDOS_2017_FIM[MOEDA]=$E136)*(Tabela_GM_PEDIDOS_2017_FIM[FILIAL]=$D$131)*(Tabela_GM_PEDIDOS_2017_FIM[TIPO_GRUPO]=I$10)*(Tabela_GM_PEDIDOS_2017_FIM[PAGO]&lt;&gt;"S"),Tabela_GM_PEDIDOS_2017_FIM[VL_PEDIDO_COMPRA]))*I132/1000</f>
        <v>0</v>
      </c>
      <c r="J136" s="50">
        <f t="array" ref="J136">SUM(IF((Tabela_GM_PEDIDOS_2017_FIM[MOEDA]=$E136)*(Tabela_GM_PEDIDOS_2017_FIM[FILIAL]=$D$131)*(Tabela_GM_PEDIDOS_2017_FIM[TIPO_GRUPO]=J$10)*(Tabela_GM_PEDIDOS_2017_FIM[PAGO]&lt;&gt;"S"),Tabela_GM_PEDIDOS_2017_FIM[VL_PEDIDO_COMPRA]))*J132/1000</f>
        <v>0</v>
      </c>
      <c r="K136" s="50">
        <f t="array" ref="K136">SUM(IF((Tabela_GM_PEDIDOS_2017_FIM[MOEDA]=$E136)*(Tabela_GM_PEDIDOS_2017_FIM[FILIAL]=$D$131)*(Tabela_GM_PEDIDOS_2017_FIM[TIPO_GRUPO]=K$10)*(Tabela_GM_PEDIDOS_2017_FIM[PAGO]&lt;&gt;"S"),Tabela_GM_PEDIDOS_2017_FIM[VL_PEDIDO_COMPRA]))*K132/1000</f>
        <v>0</v>
      </c>
      <c r="L136" s="50">
        <f t="array" ref="L136">SUM(IF((Tabela_GM_PEDIDOS_2017_FIM[MOEDA]=$E136)*(Tabela_GM_PEDIDOS_2017_FIM[FILIAL]=$D$131)*(Tabela_GM_PEDIDOS_2017_FIM[TIPO_GRUPO]=L$10)*(Tabela_GM_PEDIDOS_2017_FIM[PAGO]&lt;&gt;"S"),Tabela_GM_PEDIDOS_2017_FIM[VL_PEDIDO_COMPRA]))*L132/1000</f>
        <v>0</v>
      </c>
      <c r="M136" s="50">
        <f t="array" ref="M136">SUM(IF((Tabela_GM_PEDIDOS_2017_FIM[MOEDA]=$E136)*(Tabela_GM_PEDIDOS_2017_FIM[FILIAL]=$D$131)*(Tabela_GM_PEDIDOS_2017_FIM[TIPO_GRUPO]=M$10)*(Tabela_GM_PEDIDOS_2017_FIM[PAGO]&lt;&gt;"S"),Tabela_GM_PEDIDOS_2017_FIM[VL_PEDIDO_COMPRA]))*M132/1000</f>
        <v>0</v>
      </c>
      <c r="N136" s="50">
        <f t="array" ref="N136">SUM(IF((Tabela_GM_PEDIDOS_2017_FIM[MOEDA]=$E136)*(Tabela_GM_PEDIDOS_2017_FIM[FILIAL]=$D$131)*(Tabela_GM_PEDIDOS_2017_FIM[TIPO_GRUPO]=N$10)*(Tabela_GM_PEDIDOS_2017_FIM[PAGO]&lt;&gt;"S"),Tabela_GM_PEDIDOS_2017_FIM[VL_PEDIDO_COMPRA]))*N132/1000</f>
        <v>0</v>
      </c>
      <c r="O136" s="50">
        <f t="array" ref="O136">SUM(IF((Tabela_GM_PEDIDOS_2017_FIM[MOEDA]=$E136)*(Tabela_GM_PEDIDOS_2017_FIM[FILIAL]=$D$131)*(Tabela_GM_PEDIDOS_2017_FIM[TIPO_GRUPO]=O$10)*(Tabela_GM_PEDIDOS_2017_FIM[PAGO]&lt;&gt;"S"),Tabela_GM_PEDIDOS_2017_FIM[VL_PEDIDO_COMPRA]))*O132/1000</f>
        <v>0</v>
      </c>
      <c r="P136" s="50">
        <f>SUM(F136:O136)</f>
        <v>153.40407831325302</v>
      </c>
      <c r="Q136" s="48"/>
    </row>
    <row r="137" spans="1:17" ht="15.75" collapsed="1" thickBot="1" x14ac:dyDescent="0.3">
      <c r="A137" s="27"/>
      <c r="B137" s="320"/>
      <c r="C137" s="35"/>
      <c r="D137" s="43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5"/>
    </row>
    <row r="138" spans="1:17" ht="15.75" thickBot="1" x14ac:dyDescent="0.3">
      <c r="A138" s="27"/>
      <c r="B138" s="320"/>
      <c r="C138" s="35"/>
      <c r="D138" s="39" t="s">
        <v>7786</v>
      </c>
      <c r="E138" s="40"/>
      <c r="F138" s="41">
        <f t="array" ref="F138">SUM(IF((ProjecaoAreas!$H$6:$H$46=ResumoCusto!$D$131)*(ProjecaoAreas!$I$6:$I$46=ResumoCusto!$D139),ProjecaoAreas!$L$6:$L$46))</f>
        <v>0.33734939759036142</v>
      </c>
      <c r="G138" s="41">
        <f t="array" ref="G138">SUM(IF((ProjecaoAreas!$H$6:$H$46=ResumoCusto!$D$131)*(ProjecaoAreas!$I$6:$I$46=ResumoCusto!$D139),ProjecaoAreas!$L$6:$L$46))</f>
        <v>0.33734939759036142</v>
      </c>
      <c r="H138" s="41">
        <f t="array" ref="H138">SUM(IF((ProjecaoAreas!$H$6:$H$46=ResumoCusto!$D$131)*(ProjecaoAreas!$I$6:$I$46=ResumoCusto!$D139),ProjecaoAreas!$L$6:$L$46))</f>
        <v>0.33734939759036142</v>
      </c>
      <c r="I138" s="41">
        <f t="array" ref="I138">SUM(IF((ProjecaoAreas!$H$6:$H$46=ResumoCusto!$D$131)*(ProjecaoAreas!$I$6:$I$46=ResumoCusto!$D139),ProjecaoAreas!$L$6:$L$46))</f>
        <v>0.33734939759036142</v>
      </c>
      <c r="J138" s="41">
        <f t="array" ref="J138">SUM(IF((ProjecaoAreas!$H$6:$H$46=ResumoCusto!$D$131)*(ProjecaoAreas!$I$6:$I$46=ResumoCusto!$D139),ProjecaoAreas!$L$6:$L$46))</f>
        <v>0.33734939759036142</v>
      </c>
      <c r="K138" s="41">
        <f t="array" ref="K138">SUM(IF((ProjecaoAreas!$H$6:$H$46=ResumoCusto!$D$131)*(ProjecaoAreas!$I$6:$I$46=ResumoCusto!$D139),ProjecaoAreas!$L$6:$L$46))</f>
        <v>0.33734939759036142</v>
      </c>
      <c r="L138" s="41">
        <f t="array" ref="L138">SUM(IF((ProjecaoAreas!$H$6:$H$46=ResumoCusto!$D$131)*(ProjecaoAreas!$I$6:$I$46=ResumoCusto!$D139),ProjecaoAreas!$L$6:$L$46))</f>
        <v>0.33734939759036142</v>
      </c>
      <c r="M138" s="41">
        <f t="array" ref="M138">SUM(IF((ProjecaoAreas!$H$6:$H$46=ResumoCusto!$D$131)*(ProjecaoAreas!$I$6:$I$46=ResumoCusto!$D139),ProjecaoAreas!$L$6:$L$46))</f>
        <v>0.33734939759036142</v>
      </c>
      <c r="N138" s="41">
        <f t="array" ref="N138">SUM(IF((ProjecaoAreas!$H$6:$H$46=ResumoCusto!$D$131)*(ProjecaoAreas!$I$6:$I$46=ResumoCusto!$D139),ProjecaoAreas!$L$6:$L$46))</f>
        <v>0.33734939759036142</v>
      </c>
      <c r="O138" s="41">
        <f t="array" ref="O138">SUM(IF((ProjecaoAreas!$H$6:$H$46=ResumoCusto!$D$131)*(ProjecaoAreas!$I$6:$I$46=ResumoCusto!$D139),ProjecaoAreas!$L$6:$L$46))</f>
        <v>0.33734939759036142</v>
      </c>
      <c r="P138" s="40"/>
      <c r="Q138" s="42"/>
    </row>
    <row r="139" spans="1:17" ht="15.75" thickBot="1" x14ac:dyDescent="0.3">
      <c r="A139" s="27"/>
      <c r="B139" s="320"/>
      <c r="C139" s="35"/>
      <c r="D139" s="43" t="s">
        <v>7663</v>
      </c>
      <c r="E139" s="44">
        <f t="array" ref="E139">SUM(IF((ProjecaoAreas!$H$6:$H$46=ResumoCusto!$D$131)*(ProjecaoAreas!$I$6:$I$46=ResumoCusto!$D139),ProjecaoAreas!$J$6:$J$46))</f>
        <v>560</v>
      </c>
      <c r="F139" s="44">
        <f t="array" ref="F139">F$131*F138</f>
        <v>249.80105921484338</v>
      </c>
      <c r="G139" s="44">
        <f t="array" ref="G139">G$131*G138</f>
        <v>200.8478501956626</v>
      </c>
      <c r="H139" s="44">
        <f t="array" ref="H139">H$131*H138</f>
        <v>47.2289156626506</v>
      </c>
      <c r="I139" s="44">
        <f t="array" ref="I139">I$131*I138</f>
        <v>19.958002283764454</v>
      </c>
      <c r="J139" s="44">
        <f t="array" ref="J139">J$131*J138</f>
        <v>202.40963855421685</v>
      </c>
      <c r="K139" s="44">
        <f t="array" ref="K139">K$131*K138</f>
        <v>38.4578313253012</v>
      </c>
      <c r="L139" s="44">
        <f t="array" ref="L139">L$131*L138</f>
        <v>0</v>
      </c>
      <c r="M139" s="44">
        <f t="array" ref="M139">M$131*M138</f>
        <v>0</v>
      </c>
      <c r="N139" s="44">
        <f t="array" ref="N139">N$131*N138</f>
        <v>30.361445783132528</v>
      </c>
      <c r="O139" s="44">
        <f t="array" ref="O139">O$131*O138</f>
        <v>0</v>
      </c>
      <c r="P139" s="44">
        <f>SUM(F139:O139)</f>
        <v>789.06474301957167</v>
      </c>
      <c r="Q139" s="45">
        <f>P139/E139*1000</f>
        <v>1409.0441839635209</v>
      </c>
    </row>
    <row r="140" spans="1:17" ht="15.75" hidden="1" outlineLevel="1" thickBot="1" x14ac:dyDescent="0.3">
      <c r="A140" s="27"/>
      <c r="B140" s="320"/>
      <c r="C140" s="35"/>
      <c r="D140" s="46" t="s">
        <v>7686</v>
      </c>
      <c r="E140" s="47" t="s">
        <v>27</v>
      </c>
      <c r="F140" s="47">
        <f t="array" ref="F140">SUM(IF((Tabela_GM_PEDIDOS_2017_FIM[MOEDA]=$E140)*(Tabela_GM_PEDIDOS_2017_FIM[FILIAL]=$D$131)*(Tabela_GM_PEDIDOS_2017_FIM[TIPO_GRUPO]=F$10),Tabela_GM_PEDIDOS_2017_FIM[VALOR_PAGAR]+Tabela_GM_PEDIDOS_2017_FIM[VC_FINANCEIRA]))*F138/1000</f>
        <v>0</v>
      </c>
      <c r="G140" s="47">
        <f t="array" ref="G140">SUM(IF((Tabela_GM_PEDIDOS_2017_FIM[MOEDA]=$E140)*(Tabela_GM_PEDIDOS_2017_FIM[FILIAL]=$D$131)*(Tabela_GM_PEDIDOS_2017_FIM[TIPO_GRUPO]=G$10),Tabela_GM_PEDIDOS_2017_FIM[VALOR_PAGAR]+Tabela_GM_PEDIDOS_2017_FIM[VC_FINANCEIRA]))*G138/1000</f>
        <v>0</v>
      </c>
      <c r="H140" s="47">
        <f t="array" ref="H140">SUM(IF((Tabela_GM_PEDIDOS_2017_FIM[MOEDA]=$E140)*(Tabela_GM_PEDIDOS_2017_FIM[FILIAL]=$D$131)*(Tabela_GM_PEDIDOS_2017_FIM[TIPO_GRUPO]=H$10),Tabela_GM_PEDIDOS_2017_FIM[VALOR_PAGAR]+Tabela_GM_PEDIDOS_2017_FIM[VC_FINANCEIRA]))*H138/1000</f>
        <v>0</v>
      </c>
      <c r="I140" s="47">
        <f t="array" ref="I140">SUM(IF((Tabela_GM_PEDIDOS_2017_FIM[MOEDA]=$E140)*(Tabela_GM_PEDIDOS_2017_FIM[FILIAL]=$D$131)*(Tabela_GM_PEDIDOS_2017_FIM[TIPO_GRUPO]=I$10),Tabela_GM_PEDIDOS_2017_FIM[VALOR_PAGAR]+Tabela_GM_PEDIDOS_2017_FIM[VC_FINANCEIRA]))*I138/1000</f>
        <v>0</v>
      </c>
      <c r="J140" s="47">
        <f t="array" ref="J140">SUM(IF((Tabela_GM_PEDIDOS_2017_FIM[MOEDA]=$E140)*(Tabela_GM_PEDIDOS_2017_FIM[FILIAL]=$D$131)*(Tabela_GM_PEDIDOS_2017_FIM[TIPO_GRUPO]=J$10),Tabela_GM_PEDIDOS_2017_FIM[VALOR_PAGAR]+Tabela_GM_PEDIDOS_2017_FIM[VC_FINANCEIRA]))*J138/1000</f>
        <v>0</v>
      </c>
      <c r="K140" s="47">
        <f t="array" ref="K140">SUM(IF((Tabela_GM_PEDIDOS_2017_FIM[MOEDA]=$E140)*(Tabela_GM_PEDIDOS_2017_FIM[FILIAL]=$D$131)*(Tabela_GM_PEDIDOS_2017_FIM[TIPO_GRUPO]=K$10),Tabela_GM_PEDIDOS_2017_FIM[VALOR_PAGAR]+Tabela_GM_PEDIDOS_2017_FIM[VC_FINANCEIRA]))*K138/1000</f>
        <v>0</v>
      </c>
      <c r="L140" s="47">
        <f t="array" ref="L140">SUM(IF((Tabela_GM_PEDIDOS_2017_FIM[MOEDA]=$E140)*(Tabela_GM_PEDIDOS_2017_FIM[FILIAL]=$D$131)*(Tabela_GM_PEDIDOS_2017_FIM[TIPO_GRUPO]=L$10),Tabela_GM_PEDIDOS_2017_FIM[VALOR_PAGAR]+Tabela_GM_PEDIDOS_2017_FIM[VC_FINANCEIRA]))*L138/1000</f>
        <v>0</v>
      </c>
      <c r="M140" s="47">
        <f t="array" ref="M140">SUM(IF((Tabela_GM_PEDIDOS_2017_FIM[MOEDA]=$E140)*(Tabela_GM_PEDIDOS_2017_FIM[FILIAL]=$D$131)*(Tabela_GM_PEDIDOS_2017_FIM[TIPO_GRUPO]=M$10),Tabela_GM_PEDIDOS_2017_FIM[VALOR_PAGAR]+Tabela_GM_PEDIDOS_2017_FIM[VC_FINANCEIRA]))*M138/1000</f>
        <v>0</v>
      </c>
      <c r="N140" s="47">
        <f t="array" ref="N140">SUM(IF((Tabela_GM_PEDIDOS_2017_FIM[MOEDA]=$E140)*(Tabela_GM_PEDIDOS_2017_FIM[FILIAL]=$D$131)*(Tabela_GM_PEDIDOS_2017_FIM[TIPO_GRUPO]=N$10),Tabela_GM_PEDIDOS_2017_FIM[VALOR_PAGAR]+Tabela_GM_PEDIDOS_2017_FIM[VC_FINANCEIRA]))*N138/1000</f>
        <v>0</v>
      </c>
      <c r="O140" s="47">
        <f t="array" ref="O140">SUM(IF((Tabela_GM_PEDIDOS_2017_FIM[MOEDA]=$E140)*(Tabela_GM_PEDIDOS_2017_FIM[FILIAL]=$D$131)*(Tabela_GM_PEDIDOS_2017_FIM[TIPO_GRUPO]=O$10),Tabela_GM_PEDIDOS_2017_FIM[VALOR_PAGAR]+Tabela_GM_PEDIDOS_2017_FIM[VC_FINANCEIRA]))*O138/1000</f>
        <v>0</v>
      </c>
      <c r="P140" s="47">
        <f t="array" ref="P140">SUM(F140:O140)</f>
        <v>0</v>
      </c>
      <c r="Q140" s="48"/>
    </row>
    <row r="141" spans="1:17" ht="15.75" hidden="1" outlineLevel="1" thickBot="1" x14ac:dyDescent="0.3">
      <c r="A141" s="27"/>
      <c r="B141" s="320"/>
      <c r="C141" s="35"/>
      <c r="D141" s="46" t="s">
        <v>7687</v>
      </c>
      <c r="E141" s="47" t="s">
        <v>16</v>
      </c>
      <c r="F141" s="47">
        <f t="array" ref="F141">SUM(IF((Tabela_GM_PEDIDOS_2017_FIM[MOEDA]=$E141)*(Tabela_GM_PEDIDOS_2017_FIM[FILIAL]=$D$131)*(Tabela_GM_PEDIDOS_2017_FIM[TIPO_GRUPO]=F$10)*(Tabela_GM_PEDIDOS_2017_FIM[PAGO]="S"),Tabela_GM_PEDIDOS_2017_FIM[VALOR_PAGAR]+Tabela_GM_PEDIDOS_2017_FIM[VC_FINANCEIRA]))*F138/1000</f>
        <v>0</v>
      </c>
      <c r="G141" s="47">
        <f t="array" ref="G141">SUM(IF((Tabela_GM_PEDIDOS_2017_FIM[MOEDA]=$E141)*(Tabela_GM_PEDIDOS_2017_FIM[FILIAL]=$D$131)*(Tabela_GM_PEDIDOS_2017_FIM[TIPO_GRUPO]=G$10)*(Tabela_GM_PEDIDOS_2017_FIM[PAGO]="S"),Tabela_GM_PEDIDOS_2017_FIM[VALOR_PAGAR]+Tabela_GM_PEDIDOS_2017_FIM[VC_FINANCEIRA]))*G138/1000</f>
        <v>66.537108433734929</v>
      </c>
      <c r="H141" s="47">
        <f t="array" ref="H141">SUM(IF((Tabela_GM_PEDIDOS_2017_FIM[MOEDA]=$E141)*(Tabela_GM_PEDIDOS_2017_FIM[FILIAL]=$D$131)*(Tabela_GM_PEDIDOS_2017_FIM[TIPO_GRUPO]=H$10)*(Tabela_GM_PEDIDOS_2017_FIM[PAGO]="S"),Tabela_GM_PEDIDOS_2017_FIM[VALOR_PAGAR]+Tabela_GM_PEDIDOS_2017_FIM[VC_FINANCEIRA]))*H138/1000</f>
        <v>0</v>
      </c>
      <c r="I141" s="47">
        <f t="array" ref="I141">SUM(IF((Tabela_GM_PEDIDOS_2017_FIM[MOEDA]=$E141)*(Tabela_GM_PEDIDOS_2017_FIM[FILIAL]=$D$131)*(Tabela_GM_PEDIDOS_2017_FIM[TIPO_GRUPO]=I$10)*(Tabela_GM_PEDIDOS_2017_FIM[PAGO]="S"),Tabela_GM_PEDIDOS_2017_FIM[VALOR_PAGAR]+Tabela_GM_PEDIDOS_2017_FIM[VC_FINANCEIRA]))*I138/1000</f>
        <v>0</v>
      </c>
      <c r="J141" s="47">
        <f t="array" ref="J141">SUM(IF((Tabela_GM_PEDIDOS_2017_FIM[MOEDA]=$E141)*(Tabela_GM_PEDIDOS_2017_FIM[FILIAL]=$D$131)*(Tabela_GM_PEDIDOS_2017_FIM[TIPO_GRUPO]=J$10)*(Tabela_GM_PEDIDOS_2017_FIM[PAGO]="S"),Tabela_GM_PEDIDOS_2017_FIM[VALOR_PAGAR]+Tabela_GM_PEDIDOS_2017_FIM[VC_FINANCEIRA]))*J138/1000</f>
        <v>0</v>
      </c>
      <c r="K141" s="47">
        <f t="array" ref="K141">SUM(IF((Tabela_GM_PEDIDOS_2017_FIM[MOEDA]=$E141)*(Tabela_GM_PEDIDOS_2017_FIM[FILIAL]=$D$131)*(Tabela_GM_PEDIDOS_2017_FIM[TIPO_GRUPO]=K$10)*(Tabela_GM_PEDIDOS_2017_FIM[PAGO]="S"),Tabela_GM_PEDIDOS_2017_FIM[VALOR_PAGAR]+Tabela_GM_PEDIDOS_2017_FIM[VC_FINANCEIRA]))*K138/1000</f>
        <v>0</v>
      </c>
      <c r="L141" s="47">
        <f t="array" ref="L141">SUM(IF((Tabela_GM_PEDIDOS_2017_FIM[MOEDA]=$E141)*(Tabela_GM_PEDIDOS_2017_FIM[FILIAL]=$D$131)*(Tabela_GM_PEDIDOS_2017_FIM[TIPO_GRUPO]=L$10)*(Tabela_GM_PEDIDOS_2017_FIM[PAGO]="S"),Tabela_GM_PEDIDOS_2017_FIM[VALOR_PAGAR]+Tabela_GM_PEDIDOS_2017_FIM[VC_FINANCEIRA]))*L138/1000</f>
        <v>0</v>
      </c>
      <c r="M141" s="47">
        <f t="array" ref="M141">SUM(IF((Tabela_GM_PEDIDOS_2017_FIM[MOEDA]=$E141)*(Tabela_GM_PEDIDOS_2017_FIM[FILIAL]=$D$131)*(Tabela_GM_PEDIDOS_2017_FIM[TIPO_GRUPO]=M$10)*(Tabela_GM_PEDIDOS_2017_FIM[PAGO]="S"),Tabela_GM_PEDIDOS_2017_FIM[VALOR_PAGAR]+Tabela_GM_PEDIDOS_2017_FIM[VC_FINANCEIRA]))*M138/1000</f>
        <v>0</v>
      </c>
      <c r="N141" s="47">
        <f t="array" ref="N141">SUM(IF((Tabela_GM_PEDIDOS_2017_FIM[MOEDA]=$E141)*(Tabela_GM_PEDIDOS_2017_FIM[FILIAL]=$D$131)*(Tabela_GM_PEDIDOS_2017_FIM[TIPO_GRUPO]=N$10)*(Tabela_GM_PEDIDOS_2017_FIM[PAGO]="S"),Tabela_GM_PEDIDOS_2017_FIM[VALOR_PAGAR]+Tabela_GM_PEDIDOS_2017_FIM[VC_FINANCEIRA]))*N138/1000</f>
        <v>0</v>
      </c>
      <c r="O141" s="47">
        <f t="array" ref="O141">SUM(IF((Tabela_GM_PEDIDOS_2017_FIM[MOEDA]=$E141)*(Tabela_GM_PEDIDOS_2017_FIM[FILIAL]=$D$131)*(Tabela_GM_PEDIDOS_2017_FIM[TIPO_GRUPO]=O$10)*(Tabela_GM_PEDIDOS_2017_FIM[PAGO]="S"),Tabela_GM_PEDIDOS_2017_FIM[VALOR_PAGAR]+Tabela_GM_PEDIDOS_2017_FIM[VC_FINANCEIRA]))*O138/1000</f>
        <v>0</v>
      </c>
      <c r="P141" s="47">
        <f t="array" ref="P141">SUM(F141:O141)</f>
        <v>66.537108433734929</v>
      </c>
      <c r="Q141" s="49"/>
    </row>
    <row r="142" spans="1:17" ht="15.75" hidden="1" outlineLevel="1" thickBot="1" x14ac:dyDescent="0.3">
      <c r="A142" s="27"/>
      <c r="B142" s="320"/>
      <c r="C142" s="35"/>
      <c r="D142" s="46" t="s">
        <v>7688</v>
      </c>
      <c r="E142" s="47" t="s">
        <v>16</v>
      </c>
      <c r="F142" s="50">
        <f t="array" ref="F142">SUM(IF((Tabela_GM_PEDIDOS_2017_FIM[MOEDA]=$E142)*(Tabela_GM_PEDIDOS_2017_FIM[FILIAL]=$D$131)*(Tabela_GM_PEDIDOS_2017_FIM[TIPO_GRUPO]=F$10)*(Tabela_GM_PEDIDOS_2017_FIM[PAGO]&lt;&gt;"S"),Tabela_GM_PEDIDOS_2017_FIM[VL_PEDIDO_COMPRA]))*F138/1000</f>
        <v>44.106409638554211</v>
      </c>
      <c r="G142" s="50">
        <f t="array" ref="G142">SUM(IF((Tabela_GM_PEDIDOS_2017_FIM[MOEDA]=$E142)*(Tabela_GM_PEDIDOS_2017_FIM[FILIAL]=$D$131)*(Tabela_GM_PEDIDOS_2017_FIM[TIPO_GRUPO]=G$10)*(Tabela_GM_PEDIDOS_2017_FIM[PAGO]&lt;&gt;"S"),Tabela_GM_PEDIDOS_2017_FIM[VL_PEDIDO_COMPRA]))*G138/1000</f>
        <v>33.990212048192774</v>
      </c>
      <c r="H142" s="50">
        <f t="array" ref="H142">SUM(IF((Tabela_GM_PEDIDOS_2017_FIM[MOEDA]=$E142)*(Tabela_GM_PEDIDOS_2017_FIM[FILIAL]=$D$131)*(Tabela_GM_PEDIDOS_2017_FIM[TIPO_GRUPO]=H$10)*(Tabela_GM_PEDIDOS_2017_FIM[PAGO]&lt;&gt;"S"),Tabela_GM_PEDIDOS_2017_FIM[VL_PEDIDO_COMPRA]))*H138/1000</f>
        <v>0</v>
      </c>
      <c r="I142" s="50">
        <f t="array" ref="I142">SUM(IF((Tabela_GM_PEDIDOS_2017_FIM[MOEDA]=$E142)*(Tabela_GM_PEDIDOS_2017_FIM[FILIAL]=$D$131)*(Tabela_GM_PEDIDOS_2017_FIM[TIPO_GRUPO]=I$10)*(Tabela_GM_PEDIDOS_2017_FIM[PAGO]&lt;&gt;"S"),Tabela_GM_PEDIDOS_2017_FIM[VL_PEDIDO_COMPRA]))*I138/1000</f>
        <v>0</v>
      </c>
      <c r="J142" s="50">
        <f t="array" ref="J142">SUM(IF((Tabela_GM_PEDIDOS_2017_FIM[MOEDA]=$E142)*(Tabela_GM_PEDIDOS_2017_FIM[FILIAL]=$D$131)*(Tabela_GM_PEDIDOS_2017_FIM[TIPO_GRUPO]=J$10)*(Tabela_GM_PEDIDOS_2017_FIM[PAGO]&lt;&gt;"S"),Tabela_GM_PEDIDOS_2017_FIM[VL_PEDIDO_COMPRA]))*J138/1000</f>
        <v>0</v>
      </c>
      <c r="K142" s="50">
        <f t="array" ref="K142">SUM(IF((Tabela_GM_PEDIDOS_2017_FIM[MOEDA]=$E142)*(Tabela_GM_PEDIDOS_2017_FIM[FILIAL]=$D$131)*(Tabela_GM_PEDIDOS_2017_FIM[TIPO_GRUPO]=K$10)*(Tabela_GM_PEDIDOS_2017_FIM[PAGO]&lt;&gt;"S"),Tabela_GM_PEDIDOS_2017_FIM[VL_PEDIDO_COMPRA]))*K138/1000</f>
        <v>0</v>
      </c>
      <c r="L142" s="50">
        <f t="array" ref="L142">SUM(IF((Tabela_GM_PEDIDOS_2017_FIM[MOEDA]=$E142)*(Tabela_GM_PEDIDOS_2017_FIM[FILIAL]=$D$131)*(Tabela_GM_PEDIDOS_2017_FIM[TIPO_GRUPO]=L$10)*(Tabela_GM_PEDIDOS_2017_FIM[PAGO]&lt;&gt;"S"),Tabela_GM_PEDIDOS_2017_FIM[VL_PEDIDO_COMPRA]))*L138/1000</f>
        <v>0</v>
      </c>
      <c r="M142" s="50">
        <f t="array" ref="M142">SUM(IF((Tabela_GM_PEDIDOS_2017_FIM[MOEDA]=$E142)*(Tabela_GM_PEDIDOS_2017_FIM[FILIAL]=$D$131)*(Tabela_GM_PEDIDOS_2017_FIM[TIPO_GRUPO]=M$10)*(Tabela_GM_PEDIDOS_2017_FIM[PAGO]&lt;&gt;"S"),Tabela_GM_PEDIDOS_2017_FIM[VL_PEDIDO_COMPRA]))*M138/1000</f>
        <v>0</v>
      </c>
      <c r="N142" s="50">
        <f t="array" ref="N142">SUM(IF((Tabela_GM_PEDIDOS_2017_FIM[MOEDA]=$E142)*(Tabela_GM_PEDIDOS_2017_FIM[FILIAL]=$D$131)*(Tabela_GM_PEDIDOS_2017_FIM[TIPO_GRUPO]=N$10)*(Tabela_GM_PEDIDOS_2017_FIM[PAGO]&lt;&gt;"S"),Tabela_GM_PEDIDOS_2017_FIM[VL_PEDIDO_COMPRA]))*N138/1000</f>
        <v>0</v>
      </c>
      <c r="O142" s="50">
        <f t="array" ref="O142">SUM(IF((Tabela_GM_PEDIDOS_2017_FIM[MOEDA]=$E142)*(Tabela_GM_PEDIDOS_2017_FIM[FILIAL]=$D$131)*(Tabela_GM_PEDIDOS_2017_FIM[TIPO_GRUPO]=O$10)*(Tabela_GM_PEDIDOS_2017_FIM[PAGO]&lt;&gt;"S"),Tabela_GM_PEDIDOS_2017_FIM[VL_PEDIDO_COMPRA]))*O138/1000</f>
        <v>0</v>
      </c>
      <c r="P142" s="50">
        <f>SUM(F142:O142)</f>
        <v>78.096621686746985</v>
      </c>
      <c r="Q142" s="48"/>
    </row>
    <row r="143" spans="1:17" ht="15.75" collapsed="1" thickBot="1" x14ac:dyDescent="0.3">
      <c r="A143" s="27"/>
      <c r="B143" s="320"/>
      <c r="C143" s="35"/>
      <c r="D143" s="43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5"/>
    </row>
    <row r="144" spans="1:17" ht="15.75" thickBot="1" x14ac:dyDescent="0.3">
      <c r="A144" s="27"/>
      <c r="B144" s="320"/>
      <c r="C144" s="35"/>
      <c r="D144" s="22"/>
      <c r="E144" s="23" t="s">
        <v>7684</v>
      </c>
      <c r="F144" s="24">
        <v>0</v>
      </c>
      <c r="G144" s="24">
        <v>0</v>
      </c>
      <c r="H144" s="24">
        <v>600</v>
      </c>
      <c r="I144" s="24">
        <v>0</v>
      </c>
      <c r="J144" s="24">
        <v>2000</v>
      </c>
      <c r="K144" s="24">
        <v>600</v>
      </c>
      <c r="L144" s="24">
        <v>80</v>
      </c>
      <c r="M144" s="24">
        <v>240</v>
      </c>
      <c r="N144" s="24">
        <v>0</v>
      </c>
      <c r="O144" s="24">
        <v>400</v>
      </c>
      <c r="P144" s="25"/>
      <c r="Q144" s="26"/>
    </row>
    <row r="145" spans="1:17" ht="15.75" thickBot="1" x14ac:dyDescent="0.3">
      <c r="A145" s="27"/>
      <c r="B145" s="320"/>
      <c r="C145" s="35"/>
      <c r="D145" s="30"/>
      <c r="E145" s="31"/>
      <c r="F145" s="32"/>
      <c r="G145" s="32"/>
      <c r="H145" s="32"/>
      <c r="I145" s="32" t="s">
        <v>7785</v>
      </c>
      <c r="J145" s="32" t="s">
        <v>7785</v>
      </c>
      <c r="K145" s="32"/>
      <c r="L145" s="32"/>
      <c r="M145" s="32"/>
      <c r="N145" s="32"/>
      <c r="O145" s="33" t="s">
        <v>7784</v>
      </c>
      <c r="P145" s="32"/>
      <c r="Q145" s="34"/>
    </row>
    <row r="146" spans="1:17" ht="15.75" thickBot="1" x14ac:dyDescent="0.3">
      <c r="A146" s="27"/>
      <c r="B146" s="320"/>
      <c r="C146" s="35"/>
      <c r="D146" s="36" t="s">
        <v>28</v>
      </c>
      <c r="E146" s="37">
        <f t="array" ref="E146">SUM(IF((ProjecaoAreas!$B$28:$B$38=ResumoCusto!D146),ProjecaoAreas!$D$28:$D$38))</f>
        <v>3950</v>
      </c>
      <c r="F146" s="37">
        <f t="array" ref="F146">(SUM(IF((Tabela_GM_PEDIDOS_2017_FIM[TIPO_GRUPO]=ResumoCusto!F$10)*(Tabela_GM_PEDIDOS_2017_FIM[FILIAL]=ResumoCusto!$D146),Tabela_GM_PEDIDOS_2017_FIM[VALOR_PAGAR]+Tabela_GM_PEDIDOS_2017_FIM[VC_FINANCEIRA]))/1000)+F144</f>
        <v>2699.0369043760002</v>
      </c>
      <c r="G146" s="37">
        <f t="array" ref="G146">(SUM(IF((Tabela_GM_PEDIDOS_2017_FIM[TIPO_GRUPO]=ResumoCusto!G$10)*(Tabela_GM_PEDIDOS_2017_FIM[FILIAL]=ResumoCusto!$D146),Tabela_GM_PEDIDOS_2017_FIM[VALOR_PAGAR]+Tabela_GM_PEDIDOS_2017_FIM[VC_FINANCEIRA]))/1000)+G144</f>
        <v>3322.8203665729998</v>
      </c>
      <c r="H146" s="37">
        <f t="array" ref="H146">(SUM(IF((Tabela_GM_PEDIDOS_2017_FIM[TIPO_GRUPO]=ResumoCusto!H$10)*(Tabela_GM_PEDIDOS_2017_FIM[FILIAL]=ResumoCusto!$D146),Tabela_GM_PEDIDOS_2017_FIM[VALOR_PAGAR]+Tabela_GM_PEDIDOS_2017_FIM[VC_FINANCEIRA]))/1000)+H144</f>
        <v>600</v>
      </c>
      <c r="I146" s="37">
        <f>Frete!C17/1000</f>
        <v>196.55017429613443</v>
      </c>
      <c r="J146" s="37">
        <f t="array" ref="J146">(SUM(IF((Tabela_GM_PEDIDOS_2017_FIM[TIPO_GRUPO]=ResumoCusto!J$10)*(Tabela_GM_PEDIDOS_2017_FIM[FILIAL]=ResumoCusto!$D146),Tabela_GM_PEDIDOS_2017_FIM[VALOR_PAGAR]+Tabela_GM_PEDIDOS_2017_FIM[VC_FINANCEIRA]))/1000)+J144</f>
        <v>2000</v>
      </c>
      <c r="K146" s="37">
        <f t="array" ref="K146">(SUM(IF((Tabela_GM_PEDIDOS_2017_FIM[TIPO_GRUPO]=ResumoCusto!K$10)*(Tabela_GM_PEDIDOS_2017_FIM[FILIAL]=ResumoCusto!$D146),Tabela_GM_PEDIDOS_2017_FIM[VALOR_PAGAR]+Tabela_GM_PEDIDOS_2017_FIM[VC_FINANCEIRA]))/1000)+K144</f>
        <v>600</v>
      </c>
      <c r="L146" s="37">
        <f t="array" ref="L146">(SUM(IF((Tabela_GM_PEDIDOS_2017_FIM[TIPO_GRUPO]=ResumoCusto!L$10)*(Tabela_GM_PEDIDOS_2017_FIM[FILIAL]=ResumoCusto!$D146),Tabela_GM_PEDIDOS_2017_FIM[VALOR_PAGAR]+Tabela_GM_PEDIDOS_2017_FIM[VC_FINANCEIRA]))/1000)+L144</f>
        <v>80</v>
      </c>
      <c r="M146" s="37">
        <f t="array" ref="M146">(SUM(IF((Tabela_GM_PEDIDOS_2017_FIM[TIPO_GRUPO]=ResumoCusto!M$10)*(Tabela_GM_PEDIDOS_2017_FIM[FILIAL]=ResumoCusto!$D146),Tabela_GM_PEDIDOS_2017_FIM[VALOR_PAGAR]+Tabela_GM_PEDIDOS_2017_FIM[VC_FINANCEIRA]))/1000)+M144</f>
        <v>240</v>
      </c>
      <c r="N146" s="37">
        <f t="array" ref="N146">(SUM(IF((Tabela_GM_PEDIDOS_2017_FIM[TIPO_GRUPO]=ResumoCusto!N$10)*(Tabela_GM_PEDIDOS_2017_FIM[FILIAL]=ResumoCusto!$D146),Tabela_GM_PEDIDOS_2017_FIM[VALOR_PAGAR]+Tabela_GM_PEDIDOS_2017_FIM[VC_FINANCEIRA]))/1000)+N144</f>
        <v>1372</v>
      </c>
      <c r="O146" s="37">
        <f t="array" ref="O146">(SUM(IF((Tabela_GM_PEDIDOS_2017_FIM[TIPO_GRUPO]=ResumoCusto!O$10)*(Tabela_GM_PEDIDOS_2017_FIM[FILIAL]=ResumoCusto!$D146),Tabela_GM_PEDIDOS_2017_FIM[VALOR_PAGAR]+Tabela_GM_PEDIDOS_2017_FIM[VC_FINANCEIRA]))/1000)+O144</f>
        <v>400</v>
      </c>
      <c r="P146" s="37">
        <f>SUM(F146:O146)</f>
        <v>11510.407445245135</v>
      </c>
      <c r="Q146" s="38">
        <f>P146/E146*1000</f>
        <v>2914.0272013278823</v>
      </c>
    </row>
    <row r="147" spans="1:17" ht="15.75" thickBot="1" x14ac:dyDescent="0.3">
      <c r="A147" s="27"/>
      <c r="B147" s="320"/>
      <c r="C147" s="35"/>
      <c r="D147" s="39" t="s">
        <v>7786</v>
      </c>
      <c r="E147" s="40"/>
      <c r="F147" s="41">
        <f t="array" ref="F147">SUM(IF((ProjecaoAreas!$H$6:$H$46=ResumoCusto!$D$146)*(ProjecaoAreas!$I$6:$I$46=ResumoCusto!$D148),ProjecaoAreas!$L$6:$L$46))</f>
        <v>0.42335766423357662</v>
      </c>
      <c r="G147" s="41">
        <f t="array" ref="G147">SUM(IF((ProjecaoAreas!$H$6:$H$46=ResumoCusto!$D$146)*(ProjecaoAreas!$I$6:$I$46=ResumoCusto!$D148),ProjecaoAreas!$L$6:$L$46))</f>
        <v>0.42335766423357662</v>
      </c>
      <c r="H147" s="41">
        <f t="array" ref="H147">SUM(IF((ProjecaoAreas!$H$6:$H$46=ResumoCusto!$D$146)*(ProjecaoAreas!$I$6:$I$46=ResumoCusto!$D148),ProjecaoAreas!$L$6:$L$46))</f>
        <v>0.42335766423357662</v>
      </c>
      <c r="I147" s="41">
        <f t="array" ref="I147">SUM(IF((ProjecaoAreas!$H$6:$H$46=ResumoCusto!$D$146)*(ProjecaoAreas!$I$6:$I$46=ResumoCusto!$D148),ProjecaoAreas!$L$6:$L$46))</f>
        <v>0.42335766423357662</v>
      </c>
      <c r="J147" s="41">
        <f t="array" ref="J147">SUM(IF((ProjecaoAreas!$H$6:$H$46=ResumoCusto!$D$146)*(ProjecaoAreas!$I$6:$I$46=ResumoCusto!$D148),ProjecaoAreas!$L$6:$L$46))</f>
        <v>0.42335766423357662</v>
      </c>
      <c r="K147" s="41">
        <f t="array" ref="K147">SUM(IF((ProjecaoAreas!$H$6:$H$46=ResumoCusto!$D$146)*(ProjecaoAreas!$I$6:$I$46=ResumoCusto!$D148),ProjecaoAreas!$L$6:$L$46))</f>
        <v>0.42335766423357662</v>
      </c>
      <c r="L147" s="41">
        <f t="array" ref="L147">SUM(IF((ProjecaoAreas!$H$6:$H$46=ResumoCusto!$D$146)*(ProjecaoAreas!$I$6:$I$46=ResumoCusto!$D148),ProjecaoAreas!$L$6:$L$46))</f>
        <v>0.42335766423357662</v>
      </c>
      <c r="M147" s="41">
        <f t="array" ref="M147">SUM(IF((ProjecaoAreas!$H$6:$H$46=ResumoCusto!$D$146)*(ProjecaoAreas!$I$6:$I$46=ResumoCusto!$D148),ProjecaoAreas!$L$6:$L$46))</f>
        <v>0.42335766423357662</v>
      </c>
      <c r="N147" s="41">
        <f t="array" ref="N147">SUM(IF((ProjecaoAreas!$H$6:$H$46=ResumoCusto!$D$146)*(ProjecaoAreas!$I$6:$I$46=ResumoCusto!$D148),ProjecaoAreas!$L$6:$L$46))</f>
        <v>0.42335766423357662</v>
      </c>
      <c r="O147" s="41">
        <f t="array" ref="O147">SUM(IF((ProjecaoAreas!$H$6:$H$46=ResumoCusto!$D$146)*(ProjecaoAreas!$I$6:$I$46=ResumoCusto!$D148),ProjecaoAreas!$L$6:$L$46))</f>
        <v>0.42335766423357662</v>
      </c>
      <c r="P147" s="40"/>
      <c r="Q147" s="42"/>
    </row>
    <row r="148" spans="1:17" ht="15.75" thickBot="1" x14ac:dyDescent="0.3">
      <c r="A148" s="27"/>
      <c r="B148" s="320"/>
      <c r="C148" s="35"/>
      <c r="D148" s="43" t="s">
        <v>7660</v>
      </c>
      <c r="E148" s="44">
        <f t="array" ref="E148">SUM(IF((ProjecaoAreas!$H$6:$H$46=ResumoCusto!$D$146)*(ProjecaoAreas!$I$6:$I$46=ResumoCusto!$D148),ProjecaoAreas!$J$6:$J$46))</f>
        <v>1450</v>
      </c>
      <c r="F148" s="44">
        <f t="array" ref="F148">F$146*F147</f>
        <v>1142.6579595168466</v>
      </c>
      <c r="G148" s="44">
        <f t="array" ref="G148">G$146*G147</f>
        <v>1406.741469060102</v>
      </c>
      <c r="H148" s="44">
        <f t="array" ref="H148">H$146*H147</f>
        <v>254.01459854014598</v>
      </c>
      <c r="I148" s="44">
        <f t="array" ref="I148">I$146*I147</f>
        <v>83.211022694713847</v>
      </c>
      <c r="J148" s="44">
        <f t="array" ref="J148">J$146*J147</f>
        <v>846.7153284671532</v>
      </c>
      <c r="K148" s="44">
        <f t="array" ref="K148">K$146*K147</f>
        <v>254.01459854014598</v>
      </c>
      <c r="L148" s="44">
        <f t="array" ref="L148">L$146*L147</f>
        <v>33.868613138686129</v>
      </c>
      <c r="M148" s="44">
        <f t="array" ref="M148">M$146*M147</f>
        <v>101.60583941605839</v>
      </c>
      <c r="N148" s="44">
        <f t="array" ref="N148">N$146*N147</f>
        <v>580.8467153284671</v>
      </c>
      <c r="O148" s="44">
        <f t="array" ref="O148">O$146*O147</f>
        <v>169.34306569343065</v>
      </c>
      <c r="P148" s="44">
        <f>SUM(F148:O148)</f>
        <v>4873.0192103957497</v>
      </c>
      <c r="Q148" s="45">
        <f>P148/E148*1000</f>
        <v>3360.7029037212064</v>
      </c>
    </row>
    <row r="149" spans="1:17" ht="15.75" hidden="1" outlineLevel="1" thickBot="1" x14ac:dyDescent="0.3">
      <c r="A149" s="27"/>
      <c r="B149" s="320"/>
      <c r="C149" s="35"/>
      <c r="D149" s="46" t="s">
        <v>7686</v>
      </c>
      <c r="E149" s="47" t="s">
        <v>27</v>
      </c>
      <c r="F149" s="47">
        <f t="array" ref="F149">SUM(IF((Tabela_GM_PEDIDOS_2017_FIM[MOEDA]=$E149)*(Tabela_GM_PEDIDOS_2017_FIM[FILIAL]=$D$146)*(Tabela_GM_PEDIDOS_2017_FIM[TIPO_GRUPO]=F$10),Tabela_GM_PEDIDOS_2017_FIM[VALOR_PAGAR]+Tabela_GM_PEDIDOS_2017_FIM[VC_FINANCEIRA]))*F147/1000</f>
        <v>0</v>
      </c>
      <c r="G149" s="47">
        <f t="array" ref="G149">SUM(IF((Tabela_GM_PEDIDOS_2017_FIM[MOEDA]=$E149)*(Tabela_GM_PEDIDOS_2017_FIM[FILIAL]=$D$146)*(Tabela_GM_PEDIDOS_2017_FIM[TIPO_GRUPO]=G$10),Tabela_GM_PEDIDOS_2017_FIM[VALOR_PAGAR]+Tabela_GM_PEDIDOS_2017_FIM[VC_FINANCEIRA]))*G147/1000</f>
        <v>0</v>
      </c>
      <c r="H149" s="47">
        <f t="array" ref="H149">SUM(IF((Tabela_GM_PEDIDOS_2017_FIM[MOEDA]=$E149)*(Tabela_GM_PEDIDOS_2017_FIM[FILIAL]=$D$146)*(Tabela_GM_PEDIDOS_2017_FIM[TIPO_GRUPO]=H$10),Tabela_GM_PEDIDOS_2017_FIM[VALOR_PAGAR]+Tabela_GM_PEDIDOS_2017_FIM[VC_FINANCEIRA]))*H147/1000</f>
        <v>0</v>
      </c>
      <c r="I149" s="47">
        <f t="array" ref="I149">SUM(IF((Tabela_GM_PEDIDOS_2017_FIM[MOEDA]=$E149)*(Tabela_GM_PEDIDOS_2017_FIM[FILIAL]=$D$146)*(Tabela_GM_PEDIDOS_2017_FIM[TIPO_GRUPO]=I$10),Tabela_GM_PEDIDOS_2017_FIM[VALOR_PAGAR]+Tabela_GM_PEDIDOS_2017_FIM[VC_FINANCEIRA]))*I147/1000</f>
        <v>0</v>
      </c>
      <c r="J149" s="47">
        <f t="array" ref="J149">SUM(IF((Tabela_GM_PEDIDOS_2017_FIM[MOEDA]=$E149)*(Tabela_GM_PEDIDOS_2017_FIM[FILIAL]=$D$146)*(Tabela_GM_PEDIDOS_2017_FIM[TIPO_GRUPO]=J$10),Tabela_GM_PEDIDOS_2017_FIM[VALOR_PAGAR]+Tabela_GM_PEDIDOS_2017_FIM[VC_FINANCEIRA]))*J147/1000</f>
        <v>0</v>
      </c>
      <c r="K149" s="47">
        <f t="array" ref="K149">SUM(IF((Tabela_GM_PEDIDOS_2017_FIM[MOEDA]=$E149)*(Tabela_GM_PEDIDOS_2017_FIM[FILIAL]=$D$146)*(Tabela_GM_PEDIDOS_2017_FIM[TIPO_GRUPO]=K$10),Tabela_GM_PEDIDOS_2017_FIM[VALOR_PAGAR]+Tabela_GM_PEDIDOS_2017_FIM[VC_FINANCEIRA]))*K147/1000</f>
        <v>0</v>
      </c>
      <c r="L149" s="47">
        <f t="array" ref="L149">SUM(IF((Tabela_GM_PEDIDOS_2017_FIM[MOEDA]=$E149)*(Tabela_GM_PEDIDOS_2017_FIM[FILIAL]=$D$146)*(Tabela_GM_PEDIDOS_2017_FIM[TIPO_GRUPO]=L$10),Tabela_GM_PEDIDOS_2017_FIM[VALOR_PAGAR]+Tabela_GM_PEDIDOS_2017_FIM[VC_FINANCEIRA]))*L147/1000</f>
        <v>0</v>
      </c>
      <c r="M149" s="47">
        <f t="array" ref="M149">SUM(IF((Tabela_GM_PEDIDOS_2017_FIM[MOEDA]=$E149)*(Tabela_GM_PEDIDOS_2017_FIM[FILIAL]=$D$146)*(Tabela_GM_PEDIDOS_2017_FIM[TIPO_GRUPO]=M$10),Tabela_GM_PEDIDOS_2017_FIM[VALOR_PAGAR]+Tabela_GM_PEDIDOS_2017_FIM[VC_FINANCEIRA]))*M147/1000</f>
        <v>0</v>
      </c>
      <c r="N149" s="47">
        <f t="array" ref="N149">SUM(IF((Tabela_GM_PEDIDOS_2017_FIM[MOEDA]=$E149)*(Tabela_GM_PEDIDOS_2017_FIM[FILIAL]=$D$146)*(Tabela_GM_PEDIDOS_2017_FIM[TIPO_GRUPO]=N$10),Tabela_GM_PEDIDOS_2017_FIM[VALOR_PAGAR]+Tabela_GM_PEDIDOS_2017_FIM[VC_FINANCEIRA]))*N147/1000</f>
        <v>580.8467153284671</v>
      </c>
      <c r="O149" s="47">
        <f t="array" ref="O149">SUM(IF((Tabela_GM_PEDIDOS_2017_FIM[MOEDA]=$E149)*(Tabela_GM_PEDIDOS_2017_FIM[FILIAL]=$D$146)*(Tabela_GM_PEDIDOS_2017_FIM[TIPO_GRUPO]=O$10),Tabela_GM_PEDIDOS_2017_FIM[VALOR_PAGAR]+Tabela_GM_PEDIDOS_2017_FIM[VC_FINANCEIRA]))*O147/1000</f>
        <v>0</v>
      </c>
      <c r="P149" s="47">
        <f t="array" ref="P149">SUM(F149:O149)</f>
        <v>580.8467153284671</v>
      </c>
      <c r="Q149" s="48"/>
    </row>
    <row r="150" spans="1:17" ht="15.75" hidden="1" outlineLevel="1" thickBot="1" x14ac:dyDescent="0.3">
      <c r="A150" s="27"/>
      <c r="B150" s="320"/>
      <c r="C150" s="35"/>
      <c r="D150" s="46" t="s">
        <v>7687</v>
      </c>
      <c r="E150" s="47" t="s">
        <v>16</v>
      </c>
      <c r="F150" s="47">
        <f t="array" ref="F150">SUM(IF((Tabela_GM_PEDIDOS_2017_FIM[MOEDA]=$E150)*(Tabela_GM_PEDIDOS_2017_FIM[FILIAL]=$D$146)*(Tabela_GM_PEDIDOS_2017_FIM[TIPO_GRUPO]=F$10)*(Tabela_GM_PEDIDOS_2017_FIM[PAGO]="S"),Tabela_GM_PEDIDOS_2017_FIM[VALOR_PAGAR]+Tabela_GM_PEDIDOS_2017_FIM[VC_FINANCEIRA]))*F147/1000</f>
        <v>0</v>
      </c>
      <c r="G150" s="47">
        <f t="array" ref="G150">SUM(IF((Tabela_GM_PEDIDOS_2017_FIM[MOEDA]=$E150)*(Tabela_GM_PEDIDOS_2017_FIM[FILIAL]=$D$146)*(Tabela_GM_PEDIDOS_2017_FIM[TIPO_GRUPO]=G$10)*(Tabela_GM_PEDIDOS_2017_FIM[PAGO]="S"),Tabela_GM_PEDIDOS_2017_FIM[VALOR_PAGAR]+Tabela_GM_PEDIDOS_2017_FIM[VC_FINANCEIRA]))*G147/1000</f>
        <v>400.10871562043792</v>
      </c>
      <c r="H150" s="47">
        <f t="array" ref="H150">SUM(IF((Tabela_GM_PEDIDOS_2017_FIM[MOEDA]=$E150)*(Tabela_GM_PEDIDOS_2017_FIM[FILIAL]=$D$146)*(Tabela_GM_PEDIDOS_2017_FIM[TIPO_GRUPO]=H$10)*(Tabela_GM_PEDIDOS_2017_FIM[PAGO]="S"),Tabela_GM_PEDIDOS_2017_FIM[VALOR_PAGAR]+Tabela_GM_PEDIDOS_2017_FIM[VC_FINANCEIRA]))*H147/1000</f>
        <v>0</v>
      </c>
      <c r="I150" s="47">
        <f t="array" ref="I150">SUM(IF((Tabela_GM_PEDIDOS_2017_FIM[MOEDA]=$E150)*(Tabela_GM_PEDIDOS_2017_FIM[FILIAL]=$D$146)*(Tabela_GM_PEDIDOS_2017_FIM[TIPO_GRUPO]=I$10)*(Tabela_GM_PEDIDOS_2017_FIM[PAGO]="S"),Tabela_GM_PEDIDOS_2017_FIM[VALOR_PAGAR]+Tabela_GM_PEDIDOS_2017_FIM[VC_FINANCEIRA]))*I147/1000</f>
        <v>0</v>
      </c>
      <c r="J150" s="47">
        <f t="array" ref="J150">SUM(IF((Tabela_GM_PEDIDOS_2017_FIM[MOEDA]=$E150)*(Tabela_GM_PEDIDOS_2017_FIM[FILIAL]=$D$146)*(Tabela_GM_PEDIDOS_2017_FIM[TIPO_GRUPO]=J$10)*(Tabela_GM_PEDIDOS_2017_FIM[PAGO]="S"),Tabela_GM_PEDIDOS_2017_FIM[VALOR_PAGAR]+Tabela_GM_PEDIDOS_2017_FIM[VC_FINANCEIRA]))*J147/1000</f>
        <v>0</v>
      </c>
      <c r="K150" s="47">
        <f t="array" ref="K150">SUM(IF((Tabela_GM_PEDIDOS_2017_FIM[MOEDA]=$E150)*(Tabela_GM_PEDIDOS_2017_FIM[FILIAL]=$D$146)*(Tabela_GM_PEDIDOS_2017_FIM[TIPO_GRUPO]=K$10)*(Tabela_GM_PEDIDOS_2017_FIM[PAGO]="S"),Tabela_GM_PEDIDOS_2017_FIM[VALOR_PAGAR]+Tabela_GM_PEDIDOS_2017_FIM[VC_FINANCEIRA]))*K147/1000</f>
        <v>0</v>
      </c>
      <c r="L150" s="47">
        <f t="array" ref="L150">SUM(IF((Tabela_GM_PEDIDOS_2017_FIM[MOEDA]=$E150)*(Tabela_GM_PEDIDOS_2017_FIM[FILIAL]=$D$146)*(Tabela_GM_PEDIDOS_2017_FIM[TIPO_GRUPO]=L$10)*(Tabela_GM_PEDIDOS_2017_FIM[PAGO]="S"),Tabela_GM_PEDIDOS_2017_FIM[VALOR_PAGAR]+Tabela_GM_PEDIDOS_2017_FIM[VC_FINANCEIRA]))*L147/1000</f>
        <v>0</v>
      </c>
      <c r="M150" s="47">
        <f t="array" ref="M150">SUM(IF((Tabela_GM_PEDIDOS_2017_FIM[MOEDA]=$E150)*(Tabela_GM_PEDIDOS_2017_FIM[FILIAL]=$D$146)*(Tabela_GM_PEDIDOS_2017_FIM[TIPO_GRUPO]=M$10)*(Tabela_GM_PEDIDOS_2017_FIM[PAGO]="S"),Tabela_GM_PEDIDOS_2017_FIM[VALOR_PAGAR]+Tabela_GM_PEDIDOS_2017_FIM[VC_FINANCEIRA]))*M147/1000</f>
        <v>0</v>
      </c>
      <c r="N150" s="47">
        <f t="array" ref="N150">SUM(IF((Tabela_GM_PEDIDOS_2017_FIM[MOEDA]=$E150)*(Tabela_GM_PEDIDOS_2017_FIM[FILIAL]=$D$146)*(Tabela_GM_PEDIDOS_2017_FIM[TIPO_GRUPO]=N$10)*(Tabela_GM_PEDIDOS_2017_FIM[PAGO]="S"),Tabela_GM_PEDIDOS_2017_FIM[VALOR_PAGAR]+Tabela_GM_PEDIDOS_2017_FIM[VC_FINANCEIRA]))*N147/1000</f>
        <v>0</v>
      </c>
      <c r="O150" s="47">
        <f t="array" ref="O150">SUM(IF((Tabela_GM_PEDIDOS_2017_FIM[MOEDA]=$E150)*(Tabela_GM_PEDIDOS_2017_FIM[FILIAL]=$D$146)*(Tabela_GM_PEDIDOS_2017_FIM[TIPO_GRUPO]=O$10)*(Tabela_GM_PEDIDOS_2017_FIM[PAGO]="S"),Tabela_GM_PEDIDOS_2017_FIM[VALOR_PAGAR]+Tabela_GM_PEDIDOS_2017_FIM[VC_FINANCEIRA]))*O147/1000</f>
        <v>0</v>
      </c>
      <c r="P150" s="47">
        <f t="array" ref="P150">SUM(F150:O150)</f>
        <v>400.10871562043792</v>
      </c>
      <c r="Q150" s="49"/>
    </row>
    <row r="151" spans="1:17" ht="15.75" hidden="1" outlineLevel="1" thickBot="1" x14ac:dyDescent="0.3">
      <c r="A151" s="58"/>
      <c r="B151" s="320"/>
      <c r="C151" s="35"/>
      <c r="D151" s="46" t="s">
        <v>7688</v>
      </c>
      <c r="E151" s="47" t="s">
        <v>16</v>
      </c>
      <c r="F151" s="50">
        <f t="array" ref="F151">SUM(IF((Tabela_GM_PEDIDOS_2017_FIM[MOEDA]=$E151)*(Tabela_GM_PEDIDOS_2017_FIM[FILIAL]=$D$146)*(Tabela_GM_PEDIDOS_2017_FIM[TIPO_GRUPO]=F$10)*(Tabela_GM_PEDIDOS_2017_FIM[PAGO]&lt;&gt;"S"),Tabela_GM_PEDIDOS_2017_FIM[VL_PEDIDO_COMPRA]))*F147/1000</f>
        <v>345.38650729927008</v>
      </c>
      <c r="G151" s="50">
        <f t="array" ref="G151">SUM(IF((Tabela_GM_PEDIDOS_2017_FIM[MOEDA]=$E151)*(Tabela_GM_PEDIDOS_2017_FIM[FILIAL]=$D$146)*(Tabela_GM_PEDIDOS_2017_FIM[TIPO_GRUPO]=G$10)*(Tabela_GM_PEDIDOS_2017_FIM[PAGO]&lt;&gt;"S"),Tabela_GM_PEDIDOS_2017_FIM[VL_PEDIDO_COMPRA]))*G147/1000</f>
        <v>287.73029912408759</v>
      </c>
      <c r="H151" s="50">
        <f t="array" ref="H151">SUM(IF((Tabela_GM_PEDIDOS_2017_FIM[MOEDA]=$E151)*(Tabela_GM_PEDIDOS_2017_FIM[FILIAL]=$D$146)*(Tabela_GM_PEDIDOS_2017_FIM[TIPO_GRUPO]=H$10)*(Tabela_GM_PEDIDOS_2017_FIM[PAGO]&lt;&gt;"S"),Tabela_GM_PEDIDOS_2017_FIM[VL_PEDIDO_COMPRA]))*H147/1000</f>
        <v>0</v>
      </c>
      <c r="I151" s="50">
        <f t="array" ref="I151">SUM(IF((Tabela_GM_PEDIDOS_2017_FIM[MOEDA]=$E151)*(Tabela_GM_PEDIDOS_2017_FIM[FILIAL]=$D$146)*(Tabela_GM_PEDIDOS_2017_FIM[TIPO_GRUPO]=I$10)*(Tabela_GM_PEDIDOS_2017_FIM[PAGO]&lt;&gt;"S"),Tabela_GM_PEDIDOS_2017_FIM[VL_PEDIDO_COMPRA]))*I147/1000</f>
        <v>0</v>
      </c>
      <c r="J151" s="50">
        <f t="array" ref="J151">SUM(IF((Tabela_GM_PEDIDOS_2017_FIM[MOEDA]=$E151)*(Tabela_GM_PEDIDOS_2017_FIM[FILIAL]=$D$146)*(Tabela_GM_PEDIDOS_2017_FIM[TIPO_GRUPO]=J$10)*(Tabela_GM_PEDIDOS_2017_FIM[PAGO]&lt;&gt;"S"),Tabela_GM_PEDIDOS_2017_FIM[VL_PEDIDO_COMPRA]))*J147/1000</f>
        <v>0</v>
      </c>
      <c r="K151" s="50">
        <f t="array" ref="K151">SUM(IF((Tabela_GM_PEDIDOS_2017_FIM[MOEDA]=$E151)*(Tabela_GM_PEDIDOS_2017_FIM[FILIAL]=$D$146)*(Tabela_GM_PEDIDOS_2017_FIM[TIPO_GRUPO]=K$10)*(Tabela_GM_PEDIDOS_2017_FIM[PAGO]&lt;&gt;"S"),Tabela_GM_PEDIDOS_2017_FIM[VL_PEDIDO_COMPRA]))*K147/1000</f>
        <v>0</v>
      </c>
      <c r="L151" s="50">
        <f t="array" ref="L151">SUM(IF((Tabela_GM_PEDIDOS_2017_FIM[MOEDA]=$E151)*(Tabela_GM_PEDIDOS_2017_FIM[FILIAL]=$D$146)*(Tabela_GM_PEDIDOS_2017_FIM[TIPO_GRUPO]=L$10)*(Tabela_GM_PEDIDOS_2017_FIM[PAGO]&lt;&gt;"S"),Tabela_GM_PEDIDOS_2017_FIM[VL_PEDIDO_COMPRA]))*L147/1000</f>
        <v>0</v>
      </c>
      <c r="M151" s="50">
        <f t="array" ref="M151">SUM(IF((Tabela_GM_PEDIDOS_2017_FIM[MOEDA]=$E151)*(Tabela_GM_PEDIDOS_2017_FIM[FILIAL]=$D$146)*(Tabela_GM_PEDIDOS_2017_FIM[TIPO_GRUPO]=M$10)*(Tabela_GM_PEDIDOS_2017_FIM[PAGO]&lt;&gt;"S"),Tabela_GM_PEDIDOS_2017_FIM[VL_PEDIDO_COMPRA]))*M147/1000</f>
        <v>0</v>
      </c>
      <c r="N151" s="50">
        <f t="array" ref="N151">SUM(IF((Tabela_GM_PEDIDOS_2017_FIM[MOEDA]=$E151)*(Tabela_GM_PEDIDOS_2017_FIM[FILIAL]=$D$146)*(Tabela_GM_PEDIDOS_2017_FIM[TIPO_GRUPO]=N$10)*(Tabela_GM_PEDIDOS_2017_FIM[PAGO]&lt;&gt;"S"),Tabela_GM_PEDIDOS_2017_FIM[VL_PEDIDO_COMPRA]))*N147/1000</f>
        <v>0</v>
      </c>
      <c r="O151" s="50">
        <f t="array" ref="O151">SUM(IF((Tabela_GM_PEDIDOS_2017_FIM[MOEDA]=$E151)*(Tabela_GM_PEDIDOS_2017_FIM[FILIAL]=$D$146)*(Tabela_GM_PEDIDOS_2017_FIM[TIPO_GRUPO]=O$10)*(Tabela_GM_PEDIDOS_2017_FIM[PAGO]&lt;&gt;"S"),Tabela_GM_PEDIDOS_2017_FIM[VL_PEDIDO_COMPRA]))*O147/1000</f>
        <v>0</v>
      </c>
      <c r="P151" s="50">
        <f>SUM(F151:O151)</f>
        <v>633.11680642335773</v>
      </c>
      <c r="Q151" s="48"/>
    </row>
    <row r="152" spans="1:17" ht="15.75" collapsed="1" thickBot="1" x14ac:dyDescent="0.3">
      <c r="A152" s="27"/>
      <c r="B152" s="320"/>
      <c r="C152" s="35"/>
      <c r="D152" s="43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5"/>
    </row>
    <row r="153" spans="1:17" ht="15.75" thickBot="1" x14ac:dyDescent="0.3">
      <c r="A153" s="27"/>
      <c r="B153" s="320"/>
      <c r="C153" s="35"/>
      <c r="D153" s="39" t="s">
        <v>7786</v>
      </c>
      <c r="E153" s="40"/>
      <c r="F153" s="41">
        <f t="array" ref="F153">SUM(IF((ProjecaoAreas!$H$6:$H$46=ResumoCusto!$D$146)*(ProjecaoAreas!$I$6:$I$46=ResumoCusto!$D154),ProjecaoAreas!$L$6:$L$46))</f>
        <v>0.145985401459854</v>
      </c>
      <c r="G153" s="41">
        <f t="array" ref="G153">SUM(IF((ProjecaoAreas!$H$6:$H$46=ResumoCusto!$D$146)*(ProjecaoAreas!$I$6:$I$46=ResumoCusto!$D154),ProjecaoAreas!$L$6:$L$46))</f>
        <v>0.145985401459854</v>
      </c>
      <c r="H153" s="41">
        <f t="array" ref="H153">SUM(IF((ProjecaoAreas!$H$6:$H$46=ResumoCusto!$D$146)*(ProjecaoAreas!$I$6:$I$46=ResumoCusto!$D154),ProjecaoAreas!$L$6:$L$46))</f>
        <v>0.145985401459854</v>
      </c>
      <c r="I153" s="41">
        <f t="array" ref="I153">SUM(IF((ProjecaoAreas!$H$6:$H$46=ResumoCusto!$D$146)*(ProjecaoAreas!$I$6:$I$46=ResumoCusto!$D154),ProjecaoAreas!$L$6:$L$46))</f>
        <v>0.145985401459854</v>
      </c>
      <c r="J153" s="41">
        <f t="array" ref="J153">SUM(IF((ProjecaoAreas!$H$6:$H$46=ResumoCusto!$D$146)*(ProjecaoAreas!$I$6:$I$46=ResumoCusto!$D154),ProjecaoAreas!$L$6:$L$46))</f>
        <v>0.145985401459854</v>
      </c>
      <c r="K153" s="41">
        <f t="array" ref="K153">SUM(IF((ProjecaoAreas!$H$6:$H$46=ResumoCusto!$D$146)*(ProjecaoAreas!$I$6:$I$46=ResumoCusto!$D154),ProjecaoAreas!$L$6:$L$46))</f>
        <v>0.145985401459854</v>
      </c>
      <c r="L153" s="41">
        <f t="array" ref="L153">SUM(IF((ProjecaoAreas!$H$6:$H$46=ResumoCusto!$D$146)*(ProjecaoAreas!$I$6:$I$46=ResumoCusto!$D154),ProjecaoAreas!$L$6:$L$46))</f>
        <v>0.145985401459854</v>
      </c>
      <c r="M153" s="41">
        <f t="array" ref="M153">SUM(IF((ProjecaoAreas!$H$6:$H$46=ResumoCusto!$D$146)*(ProjecaoAreas!$I$6:$I$46=ResumoCusto!$D154),ProjecaoAreas!$L$6:$L$46))</f>
        <v>0.145985401459854</v>
      </c>
      <c r="N153" s="41">
        <f t="array" ref="N153">SUM(IF((ProjecaoAreas!$H$6:$H$46=ResumoCusto!$D$146)*(ProjecaoAreas!$I$6:$I$46=ResumoCusto!$D154),ProjecaoAreas!$L$6:$L$46))</f>
        <v>0.145985401459854</v>
      </c>
      <c r="O153" s="41">
        <f t="array" ref="O153">SUM(IF((ProjecaoAreas!$H$6:$H$46=ResumoCusto!$D$146)*(ProjecaoAreas!$I$6:$I$46=ResumoCusto!$D154),ProjecaoAreas!$L$6:$L$46))</f>
        <v>0.145985401459854</v>
      </c>
      <c r="P153" s="40"/>
      <c r="Q153" s="42"/>
    </row>
    <row r="154" spans="1:17" ht="15.75" thickBot="1" x14ac:dyDescent="0.3">
      <c r="A154" s="27"/>
      <c r="B154" s="320"/>
      <c r="C154" s="35"/>
      <c r="D154" s="43" t="s">
        <v>7659</v>
      </c>
      <c r="E154" s="44">
        <f t="array" ref="E154">SUM(IF((ProjecaoAreas!$H$6:$H$46=ResumoCusto!$D$146)*(ProjecaoAreas!$I$6:$I$46=ResumoCusto!$D154),ProjecaoAreas!$J$6:$J$46))</f>
        <v>500</v>
      </c>
      <c r="F154" s="44">
        <f t="array" ref="F154">F$146*F153</f>
        <v>394.01998604029194</v>
      </c>
      <c r="G154" s="44">
        <f t="array" ref="G154">G$146*G153</f>
        <v>485.08326519313863</v>
      </c>
      <c r="H154" s="44">
        <f t="array" ref="H154">H$146*H153</f>
        <v>87.591240875912405</v>
      </c>
      <c r="I154" s="44">
        <f t="array" ref="I154">I$146*I153</f>
        <v>28.693456101625461</v>
      </c>
      <c r="J154" s="44">
        <f t="array" ref="J154">J$146*J153</f>
        <v>291.97080291970798</v>
      </c>
      <c r="K154" s="44">
        <f t="array" ref="K154">K$146*K153</f>
        <v>87.591240875912405</v>
      </c>
      <c r="L154" s="44">
        <f t="array" ref="L154">L$146*L153</f>
        <v>11.678832116788321</v>
      </c>
      <c r="M154" s="44">
        <f t="array" ref="M154">M$146*M153</f>
        <v>35.036496350364963</v>
      </c>
      <c r="N154" s="44">
        <f t="array" ref="N154">N$146*N153</f>
        <v>200.29197080291968</v>
      </c>
      <c r="O154" s="44">
        <f t="array" ref="O154">O$146*O153</f>
        <v>58.394160583941598</v>
      </c>
      <c r="P154" s="44">
        <f>SUM(F154:O154)</f>
        <v>1680.3514518606034</v>
      </c>
      <c r="Q154" s="45">
        <f>P154/E154*1000</f>
        <v>3360.7029037212069</v>
      </c>
    </row>
    <row r="155" spans="1:17" ht="15.75" hidden="1" outlineLevel="1" thickBot="1" x14ac:dyDescent="0.3">
      <c r="A155" s="27"/>
      <c r="B155" s="320"/>
      <c r="C155" s="35"/>
      <c r="D155" s="46" t="s">
        <v>7686</v>
      </c>
      <c r="E155" s="47" t="s">
        <v>27</v>
      </c>
      <c r="F155" s="47">
        <f t="array" ref="F155">SUM(IF((Tabela_GM_PEDIDOS_2017_FIM[MOEDA]=$E155)*(Tabela_GM_PEDIDOS_2017_FIM[FILIAL]=$D$146)*(Tabela_GM_PEDIDOS_2017_FIM[TIPO_GRUPO]=F$10),Tabela_GM_PEDIDOS_2017_FIM[VALOR_PAGAR]+Tabela_GM_PEDIDOS_2017_FIM[VC_FINANCEIRA]))*F153/1000</f>
        <v>0</v>
      </c>
      <c r="G155" s="47">
        <f t="array" ref="G155">SUM(IF((Tabela_GM_PEDIDOS_2017_FIM[MOEDA]=$E155)*(Tabela_GM_PEDIDOS_2017_FIM[FILIAL]=$D$146)*(Tabela_GM_PEDIDOS_2017_FIM[TIPO_GRUPO]=G$10),Tabela_GM_PEDIDOS_2017_FIM[VALOR_PAGAR]+Tabela_GM_PEDIDOS_2017_FIM[VC_FINANCEIRA]))*G153/1000</f>
        <v>0</v>
      </c>
      <c r="H155" s="47">
        <f t="array" ref="H155">SUM(IF((Tabela_GM_PEDIDOS_2017_FIM[MOEDA]=$E155)*(Tabela_GM_PEDIDOS_2017_FIM[FILIAL]=$D$146)*(Tabela_GM_PEDIDOS_2017_FIM[TIPO_GRUPO]=H$10),Tabela_GM_PEDIDOS_2017_FIM[VALOR_PAGAR]+Tabela_GM_PEDIDOS_2017_FIM[VC_FINANCEIRA]))*H153/1000</f>
        <v>0</v>
      </c>
      <c r="I155" s="47">
        <f t="array" ref="I155">SUM(IF((Tabela_GM_PEDIDOS_2017_FIM[MOEDA]=$E155)*(Tabela_GM_PEDIDOS_2017_FIM[FILIAL]=$D$146)*(Tabela_GM_PEDIDOS_2017_FIM[TIPO_GRUPO]=I$10),Tabela_GM_PEDIDOS_2017_FIM[VALOR_PAGAR]+Tabela_GM_PEDIDOS_2017_FIM[VC_FINANCEIRA]))*I153/1000</f>
        <v>0</v>
      </c>
      <c r="J155" s="47">
        <f t="array" ref="J155">SUM(IF((Tabela_GM_PEDIDOS_2017_FIM[MOEDA]=$E155)*(Tabela_GM_PEDIDOS_2017_FIM[FILIAL]=$D$146)*(Tabela_GM_PEDIDOS_2017_FIM[TIPO_GRUPO]=J$10),Tabela_GM_PEDIDOS_2017_FIM[VALOR_PAGAR]+Tabela_GM_PEDIDOS_2017_FIM[VC_FINANCEIRA]))*J153/1000</f>
        <v>0</v>
      </c>
      <c r="K155" s="47">
        <f t="array" ref="K155">SUM(IF((Tabela_GM_PEDIDOS_2017_FIM[MOEDA]=$E155)*(Tabela_GM_PEDIDOS_2017_FIM[FILIAL]=$D$146)*(Tabela_GM_PEDIDOS_2017_FIM[TIPO_GRUPO]=K$10),Tabela_GM_PEDIDOS_2017_FIM[VALOR_PAGAR]+Tabela_GM_PEDIDOS_2017_FIM[VC_FINANCEIRA]))*K153/1000</f>
        <v>0</v>
      </c>
      <c r="L155" s="47">
        <f t="array" ref="L155">SUM(IF((Tabela_GM_PEDIDOS_2017_FIM[MOEDA]=$E155)*(Tabela_GM_PEDIDOS_2017_FIM[FILIAL]=$D$146)*(Tabela_GM_PEDIDOS_2017_FIM[TIPO_GRUPO]=L$10),Tabela_GM_PEDIDOS_2017_FIM[VALOR_PAGAR]+Tabela_GM_PEDIDOS_2017_FIM[VC_FINANCEIRA]))*L153/1000</f>
        <v>0</v>
      </c>
      <c r="M155" s="47">
        <f t="array" ref="M155">SUM(IF((Tabela_GM_PEDIDOS_2017_FIM[MOEDA]=$E155)*(Tabela_GM_PEDIDOS_2017_FIM[FILIAL]=$D$146)*(Tabela_GM_PEDIDOS_2017_FIM[TIPO_GRUPO]=M$10),Tabela_GM_PEDIDOS_2017_FIM[VALOR_PAGAR]+Tabela_GM_PEDIDOS_2017_FIM[VC_FINANCEIRA]))*M153/1000</f>
        <v>0</v>
      </c>
      <c r="N155" s="47">
        <f t="array" ref="N155">SUM(IF((Tabela_GM_PEDIDOS_2017_FIM[MOEDA]=$E155)*(Tabela_GM_PEDIDOS_2017_FIM[FILIAL]=$D$146)*(Tabela_GM_PEDIDOS_2017_FIM[TIPO_GRUPO]=N$10),Tabela_GM_PEDIDOS_2017_FIM[VALOR_PAGAR]+Tabela_GM_PEDIDOS_2017_FIM[VC_FINANCEIRA]))*N153/1000</f>
        <v>200.29197080291971</v>
      </c>
      <c r="O155" s="47">
        <f t="array" ref="O155">SUM(IF((Tabela_GM_PEDIDOS_2017_FIM[MOEDA]=$E155)*(Tabela_GM_PEDIDOS_2017_FIM[FILIAL]=$D$146)*(Tabela_GM_PEDIDOS_2017_FIM[TIPO_GRUPO]=O$10),Tabela_GM_PEDIDOS_2017_FIM[VALOR_PAGAR]+Tabela_GM_PEDIDOS_2017_FIM[VC_FINANCEIRA]))*O153/1000</f>
        <v>0</v>
      </c>
      <c r="P155" s="47">
        <f t="array" ref="P155">SUM(F155:O155)</f>
        <v>200.29197080291971</v>
      </c>
      <c r="Q155" s="48"/>
    </row>
    <row r="156" spans="1:17" ht="15.75" hidden="1" outlineLevel="1" thickBot="1" x14ac:dyDescent="0.3">
      <c r="A156" s="27"/>
      <c r="B156" s="320"/>
      <c r="C156" s="35"/>
      <c r="D156" s="46" t="s">
        <v>7687</v>
      </c>
      <c r="E156" s="47" t="s">
        <v>16</v>
      </c>
      <c r="F156" s="47">
        <f t="array" ref="F156">SUM(IF((Tabela_GM_PEDIDOS_2017_FIM[MOEDA]=$E156)*(Tabela_GM_PEDIDOS_2017_FIM[FILIAL]=$D$146)*(Tabela_GM_PEDIDOS_2017_FIM[TIPO_GRUPO]=F$10)*(Tabela_GM_PEDIDOS_2017_FIM[PAGO]="S"),Tabela_GM_PEDIDOS_2017_FIM[VALOR_PAGAR]+Tabela_GM_PEDIDOS_2017_FIM[VC_FINANCEIRA]))*F153/1000</f>
        <v>0</v>
      </c>
      <c r="G156" s="47">
        <f t="array" ref="G156">SUM(IF((Tabela_GM_PEDIDOS_2017_FIM[MOEDA]=$E156)*(Tabela_GM_PEDIDOS_2017_FIM[FILIAL]=$D$146)*(Tabela_GM_PEDIDOS_2017_FIM[TIPO_GRUPO]=G$10)*(Tabela_GM_PEDIDOS_2017_FIM[PAGO]="S"),Tabela_GM_PEDIDOS_2017_FIM[VALOR_PAGAR]+Tabela_GM_PEDIDOS_2017_FIM[VC_FINANCEIRA]))*G153/1000</f>
        <v>137.96852262773723</v>
      </c>
      <c r="H156" s="47">
        <f t="array" ref="H156">SUM(IF((Tabela_GM_PEDIDOS_2017_FIM[MOEDA]=$E156)*(Tabela_GM_PEDIDOS_2017_FIM[FILIAL]=$D$146)*(Tabela_GM_PEDIDOS_2017_FIM[TIPO_GRUPO]=H$10)*(Tabela_GM_PEDIDOS_2017_FIM[PAGO]="S"),Tabela_GM_PEDIDOS_2017_FIM[VALOR_PAGAR]+Tabela_GM_PEDIDOS_2017_FIM[VC_FINANCEIRA]))*H153/1000</f>
        <v>0</v>
      </c>
      <c r="I156" s="47">
        <f t="array" ref="I156">SUM(IF((Tabela_GM_PEDIDOS_2017_FIM[MOEDA]=$E156)*(Tabela_GM_PEDIDOS_2017_FIM[FILIAL]=$D$146)*(Tabela_GM_PEDIDOS_2017_FIM[TIPO_GRUPO]=I$10)*(Tabela_GM_PEDIDOS_2017_FIM[PAGO]="S"),Tabela_GM_PEDIDOS_2017_FIM[VALOR_PAGAR]+Tabela_GM_PEDIDOS_2017_FIM[VC_FINANCEIRA]))*I153/1000</f>
        <v>0</v>
      </c>
      <c r="J156" s="47">
        <f t="array" ref="J156">SUM(IF((Tabela_GM_PEDIDOS_2017_FIM[MOEDA]=$E156)*(Tabela_GM_PEDIDOS_2017_FIM[FILIAL]=$D$146)*(Tabela_GM_PEDIDOS_2017_FIM[TIPO_GRUPO]=J$10)*(Tabela_GM_PEDIDOS_2017_FIM[PAGO]="S"),Tabela_GM_PEDIDOS_2017_FIM[VALOR_PAGAR]+Tabela_GM_PEDIDOS_2017_FIM[VC_FINANCEIRA]))*J153/1000</f>
        <v>0</v>
      </c>
      <c r="K156" s="47">
        <f t="array" ref="K156">SUM(IF((Tabela_GM_PEDIDOS_2017_FIM[MOEDA]=$E156)*(Tabela_GM_PEDIDOS_2017_FIM[FILIAL]=$D$146)*(Tabela_GM_PEDIDOS_2017_FIM[TIPO_GRUPO]=K$10)*(Tabela_GM_PEDIDOS_2017_FIM[PAGO]="S"),Tabela_GM_PEDIDOS_2017_FIM[VALOR_PAGAR]+Tabela_GM_PEDIDOS_2017_FIM[VC_FINANCEIRA]))*K153/1000</f>
        <v>0</v>
      </c>
      <c r="L156" s="47">
        <f t="array" ref="L156">SUM(IF((Tabela_GM_PEDIDOS_2017_FIM[MOEDA]=$E156)*(Tabela_GM_PEDIDOS_2017_FIM[FILIAL]=$D$146)*(Tabela_GM_PEDIDOS_2017_FIM[TIPO_GRUPO]=L$10)*(Tabela_GM_PEDIDOS_2017_FIM[PAGO]="S"),Tabela_GM_PEDIDOS_2017_FIM[VALOR_PAGAR]+Tabela_GM_PEDIDOS_2017_FIM[VC_FINANCEIRA]))*L153/1000</f>
        <v>0</v>
      </c>
      <c r="M156" s="47">
        <f t="array" ref="M156">SUM(IF((Tabela_GM_PEDIDOS_2017_FIM[MOEDA]=$E156)*(Tabela_GM_PEDIDOS_2017_FIM[FILIAL]=$D$146)*(Tabela_GM_PEDIDOS_2017_FIM[TIPO_GRUPO]=M$10)*(Tabela_GM_PEDIDOS_2017_FIM[PAGO]="S"),Tabela_GM_PEDIDOS_2017_FIM[VALOR_PAGAR]+Tabela_GM_PEDIDOS_2017_FIM[VC_FINANCEIRA]))*M153/1000</f>
        <v>0</v>
      </c>
      <c r="N156" s="47">
        <f t="array" ref="N156">SUM(IF((Tabela_GM_PEDIDOS_2017_FIM[MOEDA]=$E156)*(Tabela_GM_PEDIDOS_2017_FIM[FILIAL]=$D$146)*(Tabela_GM_PEDIDOS_2017_FIM[TIPO_GRUPO]=N$10)*(Tabela_GM_PEDIDOS_2017_FIM[PAGO]="S"),Tabela_GM_PEDIDOS_2017_FIM[VALOR_PAGAR]+Tabela_GM_PEDIDOS_2017_FIM[VC_FINANCEIRA]))*N153/1000</f>
        <v>0</v>
      </c>
      <c r="O156" s="47">
        <f t="array" ref="O156">SUM(IF((Tabela_GM_PEDIDOS_2017_FIM[MOEDA]=$E156)*(Tabela_GM_PEDIDOS_2017_FIM[FILIAL]=$D$146)*(Tabela_GM_PEDIDOS_2017_FIM[TIPO_GRUPO]=O$10)*(Tabela_GM_PEDIDOS_2017_FIM[PAGO]="S"),Tabela_GM_PEDIDOS_2017_FIM[VALOR_PAGAR]+Tabela_GM_PEDIDOS_2017_FIM[VC_FINANCEIRA]))*O153/1000</f>
        <v>0</v>
      </c>
      <c r="P156" s="47">
        <f t="array" ref="P156">SUM(F156:O156)</f>
        <v>137.96852262773723</v>
      </c>
      <c r="Q156" s="49"/>
    </row>
    <row r="157" spans="1:17" ht="15.75" hidden="1" outlineLevel="1" thickBot="1" x14ac:dyDescent="0.3">
      <c r="A157" s="27"/>
      <c r="B157" s="320"/>
      <c r="C157" s="35"/>
      <c r="D157" s="46" t="s">
        <v>7688</v>
      </c>
      <c r="E157" s="47" t="s">
        <v>16</v>
      </c>
      <c r="F157" s="50">
        <f t="array" ref="F157">SUM(IF((Tabela_GM_PEDIDOS_2017_FIM[MOEDA]=$E157)*(Tabela_GM_PEDIDOS_2017_FIM[FILIAL]=$D$146)*(Tabela_GM_PEDIDOS_2017_FIM[TIPO_GRUPO]=F$10)*(Tabela_GM_PEDIDOS_2017_FIM[PAGO]&lt;&gt;"S"),Tabela_GM_PEDIDOS_2017_FIM[VL_PEDIDO_COMPRA]))*F153/1000</f>
        <v>119.09879562043794</v>
      </c>
      <c r="G157" s="50">
        <f t="array" ref="G157">SUM(IF((Tabela_GM_PEDIDOS_2017_FIM[MOEDA]=$E157)*(Tabela_GM_PEDIDOS_2017_FIM[FILIAL]=$D$146)*(Tabela_GM_PEDIDOS_2017_FIM[TIPO_GRUPO]=G$10)*(Tabela_GM_PEDIDOS_2017_FIM[PAGO]&lt;&gt;"S"),Tabela_GM_PEDIDOS_2017_FIM[VL_PEDIDO_COMPRA]))*G153/1000</f>
        <v>99.217344525547446</v>
      </c>
      <c r="H157" s="50">
        <f t="array" ref="H157">SUM(IF((Tabela_GM_PEDIDOS_2017_FIM[MOEDA]=$E157)*(Tabela_GM_PEDIDOS_2017_FIM[FILIAL]=$D$146)*(Tabela_GM_PEDIDOS_2017_FIM[TIPO_GRUPO]=H$10)*(Tabela_GM_PEDIDOS_2017_FIM[PAGO]&lt;&gt;"S"),Tabela_GM_PEDIDOS_2017_FIM[VL_PEDIDO_COMPRA]))*H153/1000</f>
        <v>0</v>
      </c>
      <c r="I157" s="50">
        <f t="array" ref="I157">SUM(IF((Tabela_GM_PEDIDOS_2017_FIM[MOEDA]=$E157)*(Tabela_GM_PEDIDOS_2017_FIM[FILIAL]=$D$146)*(Tabela_GM_PEDIDOS_2017_FIM[TIPO_GRUPO]=I$10)*(Tabela_GM_PEDIDOS_2017_FIM[PAGO]&lt;&gt;"S"),Tabela_GM_PEDIDOS_2017_FIM[VL_PEDIDO_COMPRA]))*I153/1000</f>
        <v>0</v>
      </c>
      <c r="J157" s="50">
        <f t="array" ref="J157">SUM(IF((Tabela_GM_PEDIDOS_2017_FIM[MOEDA]=$E157)*(Tabela_GM_PEDIDOS_2017_FIM[FILIAL]=$D$146)*(Tabela_GM_PEDIDOS_2017_FIM[TIPO_GRUPO]=J$10)*(Tabela_GM_PEDIDOS_2017_FIM[PAGO]&lt;&gt;"S"),Tabela_GM_PEDIDOS_2017_FIM[VL_PEDIDO_COMPRA]))*J153/1000</f>
        <v>0</v>
      </c>
      <c r="K157" s="50">
        <f t="array" ref="K157">SUM(IF((Tabela_GM_PEDIDOS_2017_FIM[MOEDA]=$E157)*(Tabela_GM_PEDIDOS_2017_FIM[FILIAL]=$D$146)*(Tabela_GM_PEDIDOS_2017_FIM[TIPO_GRUPO]=K$10)*(Tabela_GM_PEDIDOS_2017_FIM[PAGO]&lt;&gt;"S"),Tabela_GM_PEDIDOS_2017_FIM[VL_PEDIDO_COMPRA]))*K153/1000</f>
        <v>0</v>
      </c>
      <c r="L157" s="50">
        <f t="array" ref="L157">SUM(IF((Tabela_GM_PEDIDOS_2017_FIM[MOEDA]=$E157)*(Tabela_GM_PEDIDOS_2017_FIM[FILIAL]=$D$146)*(Tabela_GM_PEDIDOS_2017_FIM[TIPO_GRUPO]=L$10)*(Tabela_GM_PEDIDOS_2017_FIM[PAGO]&lt;&gt;"S"),Tabela_GM_PEDIDOS_2017_FIM[VL_PEDIDO_COMPRA]))*L153/1000</f>
        <v>0</v>
      </c>
      <c r="M157" s="50">
        <f t="array" ref="M157">SUM(IF((Tabela_GM_PEDIDOS_2017_FIM[MOEDA]=$E157)*(Tabela_GM_PEDIDOS_2017_FIM[FILIAL]=$D$146)*(Tabela_GM_PEDIDOS_2017_FIM[TIPO_GRUPO]=M$10)*(Tabela_GM_PEDIDOS_2017_FIM[PAGO]&lt;&gt;"S"),Tabela_GM_PEDIDOS_2017_FIM[VL_PEDIDO_COMPRA]))*M153/1000</f>
        <v>0</v>
      </c>
      <c r="N157" s="50">
        <f t="array" ref="N157">SUM(IF((Tabela_GM_PEDIDOS_2017_FIM[MOEDA]=$E157)*(Tabela_GM_PEDIDOS_2017_FIM[FILIAL]=$D$146)*(Tabela_GM_PEDIDOS_2017_FIM[TIPO_GRUPO]=N$10)*(Tabela_GM_PEDIDOS_2017_FIM[PAGO]&lt;&gt;"S"),Tabela_GM_PEDIDOS_2017_FIM[VL_PEDIDO_COMPRA]))*N153/1000</f>
        <v>0</v>
      </c>
      <c r="O157" s="50">
        <f t="array" ref="O157">SUM(IF((Tabela_GM_PEDIDOS_2017_FIM[MOEDA]=$E157)*(Tabela_GM_PEDIDOS_2017_FIM[FILIAL]=$D$146)*(Tabela_GM_PEDIDOS_2017_FIM[TIPO_GRUPO]=O$10)*(Tabela_GM_PEDIDOS_2017_FIM[PAGO]&lt;&gt;"S"),Tabela_GM_PEDIDOS_2017_FIM[VL_PEDIDO_COMPRA]))*O153/1000</f>
        <v>0</v>
      </c>
      <c r="P157" s="50">
        <f>SUM(F157:O157)</f>
        <v>218.3161401459854</v>
      </c>
      <c r="Q157" s="48"/>
    </row>
    <row r="158" spans="1:17" ht="15.75" collapsed="1" thickBot="1" x14ac:dyDescent="0.3">
      <c r="A158" s="27"/>
      <c r="B158" s="320"/>
      <c r="C158" s="35"/>
      <c r="D158" s="43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5"/>
    </row>
    <row r="159" spans="1:17" ht="15.75" thickBot="1" x14ac:dyDescent="0.3">
      <c r="A159" s="27"/>
      <c r="B159" s="320"/>
      <c r="C159" s="35"/>
      <c r="D159" s="39" t="s">
        <v>7786</v>
      </c>
      <c r="E159" s="40"/>
      <c r="F159" s="41">
        <f t="array" ref="F159">SUM(IF((ProjecaoAreas!$H$6:$H$46=ResumoCusto!$D$146)*(ProjecaoAreas!$I$6:$I$46=ResumoCusto!$D160),ProjecaoAreas!$L$6:$L$46))</f>
        <v>0.17518248175182483</v>
      </c>
      <c r="G159" s="41">
        <f t="array" ref="G159">SUM(IF((ProjecaoAreas!$H$6:$H$46=ResumoCusto!$D$146)*(ProjecaoAreas!$I$6:$I$46=ResumoCusto!$D160),ProjecaoAreas!$L$6:$L$46))</f>
        <v>0.17518248175182483</v>
      </c>
      <c r="H159" s="41">
        <f t="array" ref="H159">SUM(IF((ProjecaoAreas!$H$6:$H$46=ResumoCusto!$D$146)*(ProjecaoAreas!$I$6:$I$46=ResumoCusto!$D160),ProjecaoAreas!$L$6:$L$46))</f>
        <v>0.17518248175182483</v>
      </c>
      <c r="I159" s="41">
        <f t="array" ref="I159">SUM(IF((ProjecaoAreas!$H$6:$H$46=ResumoCusto!$D$146)*(ProjecaoAreas!$I$6:$I$46=ResumoCusto!$D160),ProjecaoAreas!$L$6:$L$46))</f>
        <v>0.17518248175182483</v>
      </c>
      <c r="J159" s="41">
        <f t="array" ref="J159">SUM(IF((ProjecaoAreas!$H$6:$H$46=ResumoCusto!$D$146)*(ProjecaoAreas!$I$6:$I$46=ResumoCusto!$D160),ProjecaoAreas!$L$6:$L$46))</f>
        <v>0.17518248175182483</v>
      </c>
      <c r="K159" s="41">
        <f t="array" ref="K159">SUM(IF((ProjecaoAreas!$H$6:$H$46=ResumoCusto!$D$146)*(ProjecaoAreas!$I$6:$I$46=ResumoCusto!$D160),ProjecaoAreas!$L$6:$L$46))</f>
        <v>0.17518248175182483</v>
      </c>
      <c r="L159" s="41">
        <f t="array" ref="L159">SUM(IF((ProjecaoAreas!$H$6:$H$46=ResumoCusto!$D$146)*(ProjecaoAreas!$I$6:$I$46=ResumoCusto!$D160),ProjecaoAreas!$L$6:$L$46))</f>
        <v>0.17518248175182483</v>
      </c>
      <c r="M159" s="41">
        <f t="array" ref="M159">SUM(IF((ProjecaoAreas!$H$6:$H$46=ResumoCusto!$D$146)*(ProjecaoAreas!$I$6:$I$46=ResumoCusto!$D160),ProjecaoAreas!$L$6:$L$46))</f>
        <v>0.17518248175182483</v>
      </c>
      <c r="N159" s="41">
        <f t="array" ref="N159">SUM(IF((ProjecaoAreas!$H$6:$H$46=ResumoCusto!$D$146)*(ProjecaoAreas!$I$6:$I$46=ResumoCusto!$D160),ProjecaoAreas!$L$6:$L$46))</f>
        <v>0.17518248175182483</v>
      </c>
      <c r="O159" s="41">
        <f t="array" ref="O159">SUM(IF((ProjecaoAreas!$H$6:$H$46=ResumoCusto!$D$146)*(ProjecaoAreas!$I$6:$I$46=ResumoCusto!$D160),ProjecaoAreas!$L$6:$L$46))</f>
        <v>0.17518248175182483</v>
      </c>
      <c r="P159" s="40"/>
      <c r="Q159" s="42"/>
    </row>
    <row r="160" spans="1:17" ht="15.75" thickBot="1" x14ac:dyDescent="0.3">
      <c r="A160" s="27"/>
      <c r="B160" s="320"/>
      <c r="C160" s="35"/>
      <c r="D160" s="43" t="s">
        <v>7663</v>
      </c>
      <c r="E160" s="44">
        <f t="array" ref="E160">SUM(IF((ProjecaoAreas!$H$6:$H$46=ResumoCusto!$D$146)*(ProjecaoAreas!$I$6:$I$46=ResumoCusto!$D160),ProjecaoAreas!$J$6:$J$46))</f>
        <v>1000</v>
      </c>
      <c r="F160" s="44">
        <f t="array" ref="F160">F$146*F159</f>
        <v>472.82398324835043</v>
      </c>
      <c r="G160" s="44">
        <f t="array" ref="G160">G$146*G159</f>
        <v>582.09991823176642</v>
      </c>
      <c r="H160" s="44">
        <f t="array" ref="H160">H$146*H159</f>
        <v>105.1094890510949</v>
      </c>
      <c r="I160" s="44">
        <f t="array" ref="I160">I$146*I159</f>
        <v>34.432147321950559</v>
      </c>
      <c r="J160" s="44">
        <f t="array" ref="J160">J$146*J159</f>
        <v>350.36496350364968</v>
      </c>
      <c r="K160" s="44">
        <f t="array" ref="K160">K$146*K159</f>
        <v>105.1094890510949</v>
      </c>
      <c r="L160" s="44">
        <f t="array" ref="L160">L$146*L159</f>
        <v>14.014598540145986</v>
      </c>
      <c r="M160" s="44">
        <f t="array" ref="M160">M$146*M159</f>
        <v>42.043795620437962</v>
      </c>
      <c r="N160" s="44">
        <f t="array" ref="N160">N$146*N159</f>
        <v>240.35036496350367</v>
      </c>
      <c r="O160" s="44">
        <f t="array" ref="O160">O$146*O159</f>
        <v>70.072992700729927</v>
      </c>
      <c r="P160" s="44">
        <f>SUM(F160:O160)</f>
        <v>2016.4217422327245</v>
      </c>
      <c r="Q160" s="45">
        <f>P160/E160*1000</f>
        <v>2016.4217422327245</v>
      </c>
    </row>
    <row r="161" spans="1:17" ht="15.75" hidden="1" outlineLevel="1" thickBot="1" x14ac:dyDescent="0.3">
      <c r="A161" s="27"/>
      <c r="B161" s="320"/>
      <c r="C161" s="35"/>
      <c r="D161" s="46" t="s">
        <v>7686</v>
      </c>
      <c r="E161" s="47" t="s">
        <v>27</v>
      </c>
      <c r="F161" s="47">
        <f t="array" ref="F161">SUM(IF((Tabela_GM_PEDIDOS_2017_FIM[MOEDA]=$E161)*(Tabela_GM_PEDIDOS_2017_FIM[FILIAL]=$D$146)*(Tabela_GM_PEDIDOS_2017_FIM[TIPO_GRUPO]=F$10),Tabela_GM_PEDIDOS_2017_FIM[VALOR_PAGAR]+Tabela_GM_PEDIDOS_2017_FIM[VC_FINANCEIRA]))*F159/1000</f>
        <v>0</v>
      </c>
      <c r="G161" s="47">
        <f t="array" ref="G161">SUM(IF((Tabela_GM_PEDIDOS_2017_FIM[MOEDA]=$E161)*(Tabela_GM_PEDIDOS_2017_FIM[FILIAL]=$D$146)*(Tabela_GM_PEDIDOS_2017_FIM[TIPO_GRUPO]=G$10),Tabela_GM_PEDIDOS_2017_FIM[VALOR_PAGAR]+Tabela_GM_PEDIDOS_2017_FIM[VC_FINANCEIRA]))*G159/1000</f>
        <v>0</v>
      </c>
      <c r="H161" s="47">
        <f t="array" ref="H161">SUM(IF((Tabela_GM_PEDIDOS_2017_FIM[MOEDA]=$E161)*(Tabela_GM_PEDIDOS_2017_FIM[FILIAL]=$D$146)*(Tabela_GM_PEDIDOS_2017_FIM[TIPO_GRUPO]=H$10),Tabela_GM_PEDIDOS_2017_FIM[VALOR_PAGAR]+Tabela_GM_PEDIDOS_2017_FIM[VC_FINANCEIRA]))*H159/1000</f>
        <v>0</v>
      </c>
      <c r="I161" s="47">
        <f t="array" ref="I161">SUM(IF((Tabela_GM_PEDIDOS_2017_FIM[MOEDA]=$E161)*(Tabela_GM_PEDIDOS_2017_FIM[FILIAL]=$D$146)*(Tabela_GM_PEDIDOS_2017_FIM[TIPO_GRUPO]=I$10),Tabela_GM_PEDIDOS_2017_FIM[VALOR_PAGAR]+Tabela_GM_PEDIDOS_2017_FIM[VC_FINANCEIRA]))*I159/1000</f>
        <v>0</v>
      </c>
      <c r="J161" s="47">
        <f t="array" ref="J161">SUM(IF((Tabela_GM_PEDIDOS_2017_FIM[MOEDA]=$E161)*(Tabela_GM_PEDIDOS_2017_FIM[FILIAL]=$D$146)*(Tabela_GM_PEDIDOS_2017_FIM[TIPO_GRUPO]=J$10),Tabela_GM_PEDIDOS_2017_FIM[VALOR_PAGAR]+Tabela_GM_PEDIDOS_2017_FIM[VC_FINANCEIRA]))*J159/1000</f>
        <v>0</v>
      </c>
      <c r="K161" s="47">
        <f t="array" ref="K161">SUM(IF((Tabela_GM_PEDIDOS_2017_FIM[MOEDA]=$E161)*(Tabela_GM_PEDIDOS_2017_FIM[FILIAL]=$D$146)*(Tabela_GM_PEDIDOS_2017_FIM[TIPO_GRUPO]=K$10),Tabela_GM_PEDIDOS_2017_FIM[VALOR_PAGAR]+Tabela_GM_PEDIDOS_2017_FIM[VC_FINANCEIRA]))*K159/1000</f>
        <v>0</v>
      </c>
      <c r="L161" s="47">
        <f t="array" ref="L161">SUM(IF((Tabela_GM_PEDIDOS_2017_FIM[MOEDA]=$E161)*(Tabela_GM_PEDIDOS_2017_FIM[FILIAL]=$D$146)*(Tabela_GM_PEDIDOS_2017_FIM[TIPO_GRUPO]=L$10),Tabela_GM_PEDIDOS_2017_FIM[VALOR_PAGAR]+Tabela_GM_PEDIDOS_2017_FIM[VC_FINANCEIRA]))*L159/1000</f>
        <v>0</v>
      </c>
      <c r="M161" s="47">
        <f t="array" ref="M161">SUM(IF((Tabela_GM_PEDIDOS_2017_FIM[MOEDA]=$E161)*(Tabela_GM_PEDIDOS_2017_FIM[FILIAL]=$D$146)*(Tabela_GM_PEDIDOS_2017_FIM[TIPO_GRUPO]=M$10),Tabela_GM_PEDIDOS_2017_FIM[VALOR_PAGAR]+Tabela_GM_PEDIDOS_2017_FIM[VC_FINANCEIRA]))*M159/1000</f>
        <v>0</v>
      </c>
      <c r="N161" s="47">
        <f t="array" ref="N161">SUM(IF((Tabela_GM_PEDIDOS_2017_FIM[MOEDA]=$E161)*(Tabela_GM_PEDIDOS_2017_FIM[FILIAL]=$D$146)*(Tabela_GM_PEDIDOS_2017_FIM[TIPO_GRUPO]=N$10),Tabela_GM_PEDIDOS_2017_FIM[VALOR_PAGAR]+Tabela_GM_PEDIDOS_2017_FIM[VC_FINANCEIRA]))*N159/1000</f>
        <v>240.35036496350367</v>
      </c>
      <c r="O161" s="47">
        <f t="array" ref="O161">SUM(IF((Tabela_GM_PEDIDOS_2017_FIM[MOEDA]=$E161)*(Tabela_GM_PEDIDOS_2017_FIM[FILIAL]=$D$146)*(Tabela_GM_PEDIDOS_2017_FIM[TIPO_GRUPO]=O$10),Tabela_GM_PEDIDOS_2017_FIM[VALOR_PAGAR]+Tabela_GM_PEDIDOS_2017_FIM[VC_FINANCEIRA]))*O159/1000</f>
        <v>0</v>
      </c>
      <c r="P161" s="47">
        <f t="array" ref="P161">SUM(F161:O161)</f>
        <v>240.35036496350367</v>
      </c>
      <c r="Q161" s="48"/>
    </row>
    <row r="162" spans="1:17" ht="15.75" hidden="1" outlineLevel="1" thickBot="1" x14ac:dyDescent="0.3">
      <c r="A162" s="27"/>
      <c r="B162" s="320"/>
      <c r="C162" s="35"/>
      <c r="D162" s="46" t="s">
        <v>7687</v>
      </c>
      <c r="E162" s="47" t="s">
        <v>16</v>
      </c>
      <c r="F162" s="47">
        <f t="array" ref="F162">SUM(IF((Tabela_GM_PEDIDOS_2017_FIM[MOEDA]=$E162)*(Tabela_GM_PEDIDOS_2017_FIM[FILIAL]=$D$146)*(Tabela_GM_PEDIDOS_2017_FIM[TIPO_GRUPO]=F$10)*(Tabela_GM_PEDIDOS_2017_FIM[PAGO]="S"),Tabela_GM_PEDIDOS_2017_FIM[VALOR_PAGAR]+Tabela_GM_PEDIDOS_2017_FIM[VC_FINANCEIRA]))*F159/1000</f>
        <v>0</v>
      </c>
      <c r="G162" s="47">
        <f t="array" ref="G162">SUM(IF((Tabela_GM_PEDIDOS_2017_FIM[MOEDA]=$E162)*(Tabela_GM_PEDIDOS_2017_FIM[FILIAL]=$D$146)*(Tabela_GM_PEDIDOS_2017_FIM[TIPO_GRUPO]=G$10)*(Tabela_GM_PEDIDOS_2017_FIM[PAGO]="S"),Tabela_GM_PEDIDOS_2017_FIM[VALOR_PAGAR]+Tabela_GM_PEDIDOS_2017_FIM[VC_FINANCEIRA]))*G159/1000</f>
        <v>165.56222715328468</v>
      </c>
      <c r="H162" s="47">
        <f t="array" ref="H162">SUM(IF((Tabela_GM_PEDIDOS_2017_FIM[MOEDA]=$E162)*(Tabela_GM_PEDIDOS_2017_FIM[FILIAL]=$D$146)*(Tabela_GM_PEDIDOS_2017_FIM[TIPO_GRUPO]=H$10)*(Tabela_GM_PEDIDOS_2017_FIM[PAGO]="S"),Tabela_GM_PEDIDOS_2017_FIM[VALOR_PAGAR]+Tabela_GM_PEDIDOS_2017_FIM[VC_FINANCEIRA]))*H159/1000</f>
        <v>0</v>
      </c>
      <c r="I162" s="47">
        <f t="array" ref="I162">SUM(IF((Tabela_GM_PEDIDOS_2017_FIM[MOEDA]=$E162)*(Tabela_GM_PEDIDOS_2017_FIM[FILIAL]=$D$146)*(Tabela_GM_PEDIDOS_2017_FIM[TIPO_GRUPO]=I$10)*(Tabela_GM_PEDIDOS_2017_FIM[PAGO]="S"),Tabela_GM_PEDIDOS_2017_FIM[VALOR_PAGAR]+Tabela_GM_PEDIDOS_2017_FIM[VC_FINANCEIRA]))*I159/1000</f>
        <v>0</v>
      </c>
      <c r="J162" s="47">
        <f t="array" ref="J162">SUM(IF((Tabela_GM_PEDIDOS_2017_FIM[MOEDA]=$E162)*(Tabela_GM_PEDIDOS_2017_FIM[FILIAL]=$D$146)*(Tabela_GM_PEDIDOS_2017_FIM[TIPO_GRUPO]=J$10)*(Tabela_GM_PEDIDOS_2017_FIM[PAGO]="S"),Tabela_GM_PEDIDOS_2017_FIM[VALOR_PAGAR]+Tabela_GM_PEDIDOS_2017_FIM[VC_FINANCEIRA]))*J159/1000</f>
        <v>0</v>
      </c>
      <c r="K162" s="47">
        <f t="array" ref="K162">SUM(IF((Tabela_GM_PEDIDOS_2017_FIM[MOEDA]=$E162)*(Tabela_GM_PEDIDOS_2017_FIM[FILIAL]=$D$146)*(Tabela_GM_PEDIDOS_2017_FIM[TIPO_GRUPO]=K$10)*(Tabela_GM_PEDIDOS_2017_FIM[PAGO]="S"),Tabela_GM_PEDIDOS_2017_FIM[VALOR_PAGAR]+Tabela_GM_PEDIDOS_2017_FIM[VC_FINANCEIRA]))*K159/1000</f>
        <v>0</v>
      </c>
      <c r="L162" s="47">
        <f t="array" ref="L162">SUM(IF((Tabela_GM_PEDIDOS_2017_FIM[MOEDA]=$E162)*(Tabela_GM_PEDIDOS_2017_FIM[FILIAL]=$D$146)*(Tabela_GM_PEDIDOS_2017_FIM[TIPO_GRUPO]=L$10)*(Tabela_GM_PEDIDOS_2017_FIM[PAGO]="S"),Tabela_GM_PEDIDOS_2017_FIM[VALOR_PAGAR]+Tabela_GM_PEDIDOS_2017_FIM[VC_FINANCEIRA]))*L159/1000</f>
        <v>0</v>
      </c>
      <c r="M162" s="47">
        <f t="array" ref="M162">SUM(IF((Tabela_GM_PEDIDOS_2017_FIM[MOEDA]=$E162)*(Tabela_GM_PEDIDOS_2017_FIM[FILIAL]=$D$146)*(Tabela_GM_PEDIDOS_2017_FIM[TIPO_GRUPO]=M$10)*(Tabela_GM_PEDIDOS_2017_FIM[PAGO]="S"),Tabela_GM_PEDIDOS_2017_FIM[VALOR_PAGAR]+Tabela_GM_PEDIDOS_2017_FIM[VC_FINANCEIRA]))*M159/1000</f>
        <v>0</v>
      </c>
      <c r="N162" s="47">
        <f t="array" ref="N162">SUM(IF((Tabela_GM_PEDIDOS_2017_FIM[MOEDA]=$E162)*(Tabela_GM_PEDIDOS_2017_FIM[FILIAL]=$D$146)*(Tabela_GM_PEDIDOS_2017_FIM[TIPO_GRUPO]=N$10)*(Tabela_GM_PEDIDOS_2017_FIM[PAGO]="S"),Tabela_GM_PEDIDOS_2017_FIM[VALOR_PAGAR]+Tabela_GM_PEDIDOS_2017_FIM[VC_FINANCEIRA]))*N159/1000</f>
        <v>0</v>
      </c>
      <c r="O162" s="47">
        <f t="array" ref="O162">SUM(IF((Tabela_GM_PEDIDOS_2017_FIM[MOEDA]=$E162)*(Tabela_GM_PEDIDOS_2017_FIM[FILIAL]=$D$146)*(Tabela_GM_PEDIDOS_2017_FIM[TIPO_GRUPO]=O$10)*(Tabela_GM_PEDIDOS_2017_FIM[PAGO]="S"),Tabela_GM_PEDIDOS_2017_FIM[VALOR_PAGAR]+Tabela_GM_PEDIDOS_2017_FIM[VC_FINANCEIRA]))*O159/1000</f>
        <v>0</v>
      </c>
      <c r="P162" s="47">
        <f t="array" ref="P162">SUM(F162:O162)</f>
        <v>165.56222715328468</v>
      </c>
      <c r="Q162" s="49"/>
    </row>
    <row r="163" spans="1:17" ht="15.75" hidden="1" outlineLevel="1" thickBot="1" x14ac:dyDescent="0.3">
      <c r="A163" s="27"/>
      <c r="B163" s="320"/>
      <c r="C163" s="35"/>
      <c r="D163" s="46" t="s">
        <v>7688</v>
      </c>
      <c r="E163" s="47" t="s">
        <v>16</v>
      </c>
      <c r="F163" s="50">
        <f t="array" ref="F163">SUM(IF((Tabela_GM_PEDIDOS_2017_FIM[MOEDA]=$E163)*(Tabela_GM_PEDIDOS_2017_FIM[FILIAL]=$D$146)*(Tabela_GM_PEDIDOS_2017_FIM[TIPO_GRUPO]=F$10)*(Tabela_GM_PEDIDOS_2017_FIM[PAGO]&lt;&gt;"S"),Tabela_GM_PEDIDOS_2017_FIM[VL_PEDIDO_COMPRA]))*F159/1000</f>
        <v>142.91855474452555</v>
      </c>
      <c r="G163" s="50">
        <f t="array" ref="G163">SUM(IF((Tabela_GM_PEDIDOS_2017_FIM[MOEDA]=$E163)*(Tabela_GM_PEDIDOS_2017_FIM[FILIAL]=$D$146)*(Tabela_GM_PEDIDOS_2017_FIM[TIPO_GRUPO]=G$10)*(Tabela_GM_PEDIDOS_2017_FIM[PAGO]&lt;&gt;"S"),Tabela_GM_PEDIDOS_2017_FIM[VL_PEDIDO_COMPRA]))*G159/1000</f>
        <v>119.06081343065695</v>
      </c>
      <c r="H163" s="50">
        <f t="array" ref="H163">SUM(IF((Tabela_GM_PEDIDOS_2017_FIM[MOEDA]=$E163)*(Tabela_GM_PEDIDOS_2017_FIM[FILIAL]=$D$146)*(Tabela_GM_PEDIDOS_2017_FIM[TIPO_GRUPO]=H$10)*(Tabela_GM_PEDIDOS_2017_FIM[PAGO]&lt;&gt;"S"),Tabela_GM_PEDIDOS_2017_FIM[VL_PEDIDO_COMPRA]))*H159/1000</f>
        <v>0</v>
      </c>
      <c r="I163" s="50">
        <f t="array" ref="I163">SUM(IF((Tabela_GM_PEDIDOS_2017_FIM[MOEDA]=$E163)*(Tabela_GM_PEDIDOS_2017_FIM[FILIAL]=$D$146)*(Tabela_GM_PEDIDOS_2017_FIM[TIPO_GRUPO]=I$10)*(Tabela_GM_PEDIDOS_2017_FIM[PAGO]&lt;&gt;"S"),Tabela_GM_PEDIDOS_2017_FIM[VL_PEDIDO_COMPRA]))*I159/1000</f>
        <v>0</v>
      </c>
      <c r="J163" s="50">
        <f t="array" ref="J163">SUM(IF((Tabela_GM_PEDIDOS_2017_FIM[MOEDA]=$E163)*(Tabela_GM_PEDIDOS_2017_FIM[FILIAL]=$D$146)*(Tabela_GM_PEDIDOS_2017_FIM[TIPO_GRUPO]=J$10)*(Tabela_GM_PEDIDOS_2017_FIM[PAGO]&lt;&gt;"S"),Tabela_GM_PEDIDOS_2017_FIM[VL_PEDIDO_COMPRA]))*J159/1000</f>
        <v>0</v>
      </c>
      <c r="K163" s="50">
        <f t="array" ref="K163">SUM(IF((Tabela_GM_PEDIDOS_2017_FIM[MOEDA]=$E163)*(Tabela_GM_PEDIDOS_2017_FIM[FILIAL]=$D$146)*(Tabela_GM_PEDIDOS_2017_FIM[TIPO_GRUPO]=K$10)*(Tabela_GM_PEDIDOS_2017_FIM[PAGO]&lt;&gt;"S"),Tabela_GM_PEDIDOS_2017_FIM[VL_PEDIDO_COMPRA]))*K159/1000</f>
        <v>0</v>
      </c>
      <c r="L163" s="50">
        <f t="array" ref="L163">SUM(IF((Tabela_GM_PEDIDOS_2017_FIM[MOEDA]=$E163)*(Tabela_GM_PEDIDOS_2017_FIM[FILIAL]=$D$146)*(Tabela_GM_PEDIDOS_2017_FIM[TIPO_GRUPO]=L$10)*(Tabela_GM_PEDIDOS_2017_FIM[PAGO]&lt;&gt;"S"),Tabela_GM_PEDIDOS_2017_FIM[VL_PEDIDO_COMPRA]))*L159/1000</f>
        <v>0</v>
      </c>
      <c r="M163" s="50">
        <f t="array" ref="M163">SUM(IF((Tabela_GM_PEDIDOS_2017_FIM[MOEDA]=$E163)*(Tabela_GM_PEDIDOS_2017_FIM[FILIAL]=$D$146)*(Tabela_GM_PEDIDOS_2017_FIM[TIPO_GRUPO]=M$10)*(Tabela_GM_PEDIDOS_2017_FIM[PAGO]&lt;&gt;"S"),Tabela_GM_PEDIDOS_2017_FIM[VL_PEDIDO_COMPRA]))*M159/1000</f>
        <v>0</v>
      </c>
      <c r="N163" s="50">
        <f t="array" ref="N163">SUM(IF((Tabela_GM_PEDIDOS_2017_FIM[MOEDA]=$E163)*(Tabela_GM_PEDIDOS_2017_FIM[FILIAL]=$D$146)*(Tabela_GM_PEDIDOS_2017_FIM[TIPO_GRUPO]=N$10)*(Tabela_GM_PEDIDOS_2017_FIM[PAGO]&lt;&gt;"S"),Tabela_GM_PEDIDOS_2017_FIM[VL_PEDIDO_COMPRA]))*N159/1000</f>
        <v>0</v>
      </c>
      <c r="O163" s="50">
        <f t="array" ref="O163">SUM(IF((Tabela_GM_PEDIDOS_2017_FIM[MOEDA]=$E163)*(Tabela_GM_PEDIDOS_2017_FIM[FILIAL]=$D$146)*(Tabela_GM_PEDIDOS_2017_FIM[TIPO_GRUPO]=O$10)*(Tabela_GM_PEDIDOS_2017_FIM[PAGO]&lt;&gt;"S"),Tabela_GM_PEDIDOS_2017_FIM[VL_PEDIDO_COMPRA]))*O159/1000</f>
        <v>0</v>
      </c>
      <c r="P163" s="50">
        <f>SUM(F163:O163)</f>
        <v>261.97936817518251</v>
      </c>
      <c r="Q163" s="48"/>
    </row>
    <row r="164" spans="1:17" ht="15.75" collapsed="1" thickBot="1" x14ac:dyDescent="0.3">
      <c r="A164" s="27"/>
      <c r="B164" s="320"/>
      <c r="C164" s="35"/>
      <c r="D164" s="43"/>
      <c r="E164" s="44"/>
      <c r="F164" s="59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5"/>
    </row>
    <row r="165" spans="1:17" ht="15.75" thickBot="1" x14ac:dyDescent="0.3">
      <c r="A165" s="27"/>
      <c r="B165" s="320"/>
      <c r="C165" s="35"/>
      <c r="D165" s="39" t="s">
        <v>7786</v>
      </c>
      <c r="E165" s="40"/>
      <c r="F165" s="41">
        <f t="array" ref="F165">SUM(IF((ProjecaoAreas!$H$6:$H$46=ResumoCusto!$D$146)*(ProjecaoAreas!$I$6:$I$46=ResumoCusto!$D166),ProjecaoAreas!$L$6:$L$46))</f>
        <v>0.10948905109489052</v>
      </c>
      <c r="G165" s="41">
        <f t="array" ref="G165">SUM(IF((ProjecaoAreas!$H$6:$H$46=ResumoCusto!$D$146)*(ProjecaoAreas!$I$6:$I$46=ResumoCusto!$D166),ProjecaoAreas!$L$6:$L$46))</f>
        <v>0.10948905109489052</v>
      </c>
      <c r="H165" s="41">
        <f t="array" ref="H165">SUM(IF((ProjecaoAreas!$H$6:$H$46=ResumoCusto!$D$146)*(ProjecaoAreas!$I$6:$I$46=ResumoCusto!$D166),ProjecaoAreas!$L$6:$L$46))</f>
        <v>0.10948905109489052</v>
      </c>
      <c r="I165" s="41">
        <f t="array" ref="I165">SUM(IF((ProjecaoAreas!$H$6:$H$46=ResumoCusto!$D$146)*(ProjecaoAreas!$I$6:$I$46=ResumoCusto!$D166),ProjecaoAreas!$L$6:$L$46))</f>
        <v>0.10948905109489052</v>
      </c>
      <c r="J165" s="41">
        <f t="array" ref="J165">SUM(IF((ProjecaoAreas!$H$6:$H$46=ResumoCusto!$D$146)*(ProjecaoAreas!$I$6:$I$46=ResumoCusto!$D166),ProjecaoAreas!$L$6:$L$46))</f>
        <v>0.10948905109489052</v>
      </c>
      <c r="K165" s="41">
        <f t="array" ref="K165">SUM(IF((ProjecaoAreas!$H$6:$H$46=ResumoCusto!$D$146)*(ProjecaoAreas!$I$6:$I$46=ResumoCusto!$D166),ProjecaoAreas!$L$6:$L$46))</f>
        <v>0.10948905109489052</v>
      </c>
      <c r="L165" s="41">
        <f t="array" ref="L165">SUM(IF((ProjecaoAreas!$H$6:$H$46=ResumoCusto!$D$146)*(ProjecaoAreas!$I$6:$I$46=ResumoCusto!$D166),ProjecaoAreas!$L$6:$L$46))</f>
        <v>0.10948905109489052</v>
      </c>
      <c r="M165" s="41">
        <f t="array" ref="M165">SUM(IF((ProjecaoAreas!$H$6:$H$46=ResumoCusto!$D$146)*(ProjecaoAreas!$I$6:$I$46=ResumoCusto!$D166),ProjecaoAreas!$L$6:$L$46))</f>
        <v>0.10948905109489052</v>
      </c>
      <c r="N165" s="41">
        <f t="array" ref="N165">SUM(IF((ProjecaoAreas!$H$6:$H$46=ResumoCusto!$D$146)*(ProjecaoAreas!$I$6:$I$46=ResumoCusto!$D166),ProjecaoAreas!$L$6:$L$46))</f>
        <v>0.10948905109489052</v>
      </c>
      <c r="O165" s="41">
        <f t="array" ref="O165">SUM(IF((ProjecaoAreas!$H$6:$H$46=ResumoCusto!$D$146)*(ProjecaoAreas!$I$6:$I$46=ResumoCusto!$D166),ProjecaoAreas!$L$6:$L$46))</f>
        <v>0.10948905109489052</v>
      </c>
      <c r="P165" s="40"/>
      <c r="Q165" s="42"/>
    </row>
    <row r="166" spans="1:17" ht="15.75" thickBot="1" x14ac:dyDescent="0.3">
      <c r="A166" s="27"/>
      <c r="B166" s="320"/>
      <c r="C166" s="35"/>
      <c r="D166" s="43" t="s">
        <v>7667</v>
      </c>
      <c r="E166" s="44">
        <f t="array" ref="E166">SUM(IF((ProjecaoAreas!$H$6:$H$46=ResumoCusto!$D$146)*(ProjecaoAreas!$I$6:$I$46=ResumoCusto!$D166),ProjecaoAreas!$J$6:$J$46))</f>
        <v>500</v>
      </c>
      <c r="F166" s="44">
        <f t="array" ref="F166">F$146*F165</f>
        <v>295.514989530219</v>
      </c>
      <c r="G166" s="44">
        <f t="array" ref="G166">G$146*G165</f>
        <v>363.81244889485401</v>
      </c>
      <c r="H166" s="44">
        <f t="array" ref="H166">H$146*H165</f>
        <v>65.693430656934311</v>
      </c>
      <c r="I166" s="44">
        <f t="array" ref="I166">I$146*I165</f>
        <v>21.5200920762191</v>
      </c>
      <c r="J166" s="44">
        <f t="array" ref="J166">J$146*J165</f>
        <v>218.97810218978103</v>
      </c>
      <c r="K166" s="44">
        <f t="array" ref="K166">K$146*K165</f>
        <v>65.693430656934311</v>
      </c>
      <c r="L166" s="44">
        <f t="array" ref="L166">L$146*L165</f>
        <v>8.7591240875912408</v>
      </c>
      <c r="M166" s="44">
        <f t="array" ref="M166">M$146*M165</f>
        <v>26.277372262773724</v>
      </c>
      <c r="N166" s="44">
        <f t="array" ref="N166">N$146*N165</f>
        <v>150.21897810218979</v>
      </c>
      <c r="O166" s="44">
        <f t="array" ref="O166">O$146*O165</f>
        <v>43.79562043795621</v>
      </c>
      <c r="P166" s="44">
        <f>SUM(F166:O166)</f>
        <v>1260.2635888954528</v>
      </c>
      <c r="Q166" s="45">
        <f>P166/E166*1000</f>
        <v>2520.5271777909056</v>
      </c>
    </row>
    <row r="167" spans="1:17" ht="15.75" hidden="1" outlineLevel="1" thickBot="1" x14ac:dyDescent="0.3">
      <c r="A167" s="27"/>
      <c r="B167" s="320"/>
      <c r="C167" s="35"/>
      <c r="D167" s="46" t="s">
        <v>7686</v>
      </c>
      <c r="E167" s="47" t="s">
        <v>27</v>
      </c>
      <c r="F167" s="47">
        <f t="array" ref="F167">SUM(IF((Tabela_GM_PEDIDOS_2017_FIM[MOEDA]=$E167)*(Tabela_GM_PEDIDOS_2017_FIM[FILIAL]=$D$146)*(Tabela_GM_PEDIDOS_2017_FIM[TIPO_GRUPO]=F$10),Tabela_GM_PEDIDOS_2017_FIM[VALOR_PAGAR]+Tabela_GM_PEDIDOS_2017_FIM[VC_FINANCEIRA]))*F165/1000</f>
        <v>0</v>
      </c>
      <c r="G167" s="47">
        <f t="array" ref="G167">SUM(IF((Tabela_GM_PEDIDOS_2017_FIM[MOEDA]=$E167)*(Tabela_GM_PEDIDOS_2017_FIM[FILIAL]=$D$146)*(Tabela_GM_PEDIDOS_2017_FIM[TIPO_GRUPO]=G$10),Tabela_GM_PEDIDOS_2017_FIM[VALOR_PAGAR]+Tabela_GM_PEDIDOS_2017_FIM[VC_FINANCEIRA]))*G165/1000</f>
        <v>0</v>
      </c>
      <c r="H167" s="47">
        <f t="array" ref="H167">SUM(IF((Tabela_GM_PEDIDOS_2017_FIM[MOEDA]=$E167)*(Tabela_GM_PEDIDOS_2017_FIM[FILIAL]=$D$146)*(Tabela_GM_PEDIDOS_2017_FIM[TIPO_GRUPO]=H$10),Tabela_GM_PEDIDOS_2017_FIM[VALOR_PAGAR]+Tabela_GM_PEDIDOS_2017_FIM[VC_FINANCEIRA]))*H165/1000</f>
        <v>0</v>
      </c>
      <c r="I167" s="47">
        <f t="array" ref="I167">SUM(IF((Tabela_GM_PEDIDOS_2017_FIM[MOEDA]=$E167)*(Tabela_GM_PEDIDOS_2017_FIM[FILIAL]=$D$146)*(Tabela_GM_PEDIDOS_2017_FIM[TIPO_GRUPO]=I$10),Tabela_GM_PEDIDOS_2017_FIM[VALOR_PAGAR]+Tabela_GM_PEDIDOS_2017_FIM[VC_FINANCEIRA]))*I165/1000</f>
        <v>0</v>
      </c>
      <c r="J167" s="47">
        <f t="array" ref="J167">SUM(IF((Tabela_GM_PEDIDOS_2017_FIM[MOEDA]=$E167)*(Tabela_GM_PEDIDOS_2017_FIM[FILIAL]=$D$146)*(Tabela_GM_PEDIDOS_2017_FIM[TIPO_GRUPO]=J$10),Tabela_GM_PEDIDOS_2017_FIM[VALOR_PAGAR]+Tabela_GM_PEDIDOS_2017_FIM[VC_FINANCEIRA]))*J165/1000</f>
        <v>0</v>
      </c>
      <c r="K167" s="47">
        <f t="array" ref="K167">SUM(IF((Tabela_GM_PEDIDOS_2017_FIM[MOEDA]=$E167)*(Tabela_GM_PEDIDOS_2017_FIM[FILIAL]=$D$146)*(Tabela_GM_PEDIDOS_2017_FIM[TIPO_GRUPO]=K$10),Tabela_GM_PEDIDOS_2017_FIM[VALOR_PAGAR]+Tabela_GM_PEDIDOS_2017_FIM[VC_FINANCEIRA]))*K165/1000</f>
        <v>0</v>
      </c>
      <c r="L167" s="47">
        <f t="array" ref="L167">SUM(IF((Tabela_GM_PEDIDOS_2017_FIM[MOEDA]=$E167)*(Tabela_GM_PEDIDOS_2017_FIM[FILIAL]=$D$146)*(Tabela_GM_PEDIDOS_2017_FIM[TIPO_GRUPO]=L$10),Tabela_GM_PEDIDOS_2017_FIM[VALOR_PAGAR]+Tabela_GM_PEDIDOS_2017_FIM[VC_FINANCEIRA]))*L165/1000</f>
        <v>0</v>
      </c>
      <c r="M167" s="47">
        <f t="array" ref="M167">SUM(IF((Tabela_GM_PEDIDOS_2017_FIM[MOEDA]=$E167)*(Tabela_GM_PEDIDOS_2017_FIM[FILIAL]=$D$146)*(Tabela_GM_PEDIDOS_2017_FIM[TIPO_GRUPO]=M$10),Tabela_GM_PEDIDOS_2017_FIM[VALOR_PAGAR]+Tabela_GM_PEDIDOS_2017_FIM[VC_FINANCEIRA]))*M165/1000</f>
        <v>0</v>
      </c>
      <c r="N167" s="47">
        <f t="array" ref="N167">SUM(IF((Tabela_GM_PEDIDOS_2017_FIM[MOEDA]=$E167)*(Tabela_GM_PEDIDOS_2017_FIM[FILIAL]=$D$146)*(Tabela_GM_PEDIDOS_2017_FIM[TIPO_GRUPO]=N$10),Tabela_GM_PEDIDOS_2017_FIM[VALOR_PAGAR]+Tabela_GM_PEDIDOS_2017_FIM[VC_FINANCEIRA]))*N165/1000</f>
        <v>150.21897810218977</v>
      </c>
      <c r="O167" s="47">
        <f t="array" ref="O167">SUM(IF((Tabela_GM_PEDIDOS_2017_FIM[MOEDA]=$E167)*(Tabela_GM_PEDIDOS_2017_FIM[FILIAL]=$D$146)*(Tabela_GM_PEDIDOS_2017_FIM[TIPO_GRUPO]=O$10),Tabela_GM_PEDIDOS_2017_FIM[VALOR_PAGAR]+Tabela_GM_PEDIDOS_2017_FIM[VC_FINANCEIRA]))*O165/1000</f>
        <v>0</v>
      </c>
      <c r="P167" s="47">
        <f t="array" ref="P167">SUM(F167:O167)</f>
        <v>150.21897810218977</v>
      </c>
      <c r="Q167" s="48"/>
    </row>
    <row r="168" spans="1:17" ht="15.75" hidden="1" outlineLevel="1" thickBot="1" x14ac:dyDescent="0.3">
      <c r="A168" s="27"/>
      <c r="B168" s="320"/>
      <c r="C168" s="35"/>
      <c r="D168" s="46" t="s">
        <v>7687</v>
      </c>
      <c r="E168" s="47" t="s">
        <v>16</v>
      </c>
      <c r="F168" s="47">
        <f t="array" ref="F168">SUM(IF((Tabela_GM_PEDIDOS_2017_FIM[MOEDA]=$E168)*(Tabela_GM_PEDIDOS_2017_FIM[FILIAL]=$D$146)*(Tabela_GM_PEDIDOS_2017_FIM[TIPO_GRUPO]=F$10)*(Tabela_GM_PEDIDOS_2017_FIM[PAGO]="S"),Tabela_GM_PEDIDOS_2017_FIM[VALOR_PAGAR]+Tabela_GM_PEDIDOS_2017_FIM[VC_FINANCEIRA]))*F165/1000</f>
        <v>0</v>
      </c>
      <c r="G168" s="47">
        <f t="array" ref="G168">SUM(IF((Tabela_GM_PEDIDOS_2017_FIM[MOEDA]=$E168)*(Tabela_GM_PEDIDOS_2017_FIM[FILIAL]=$D$146)*(Tabela_GM_PEDIDOS_2017_FIM[TIPO_GRUPO]=G$10)*(Tabela_GM_PEDIDOS_2017_FIM[PAGO]="S"),Tabela_GM_PEDIDOS_2017_FIM[VALOR_PAGAR]+Tabela_GM_PEDIDOS_2017_FIM[VC_FINANCEIRA]))*G165/1000</f>
        <v>103.47639197080292</v>
      </c>
      <c r="H168" s="47">
        <f t="array" ref="H168">SUM(IF((Tabela_GM_PEDIDOS_2017_FIM[MOEDA]=$E168)*(Tabela_GM_PEDIDOS_2017_FIM[FILIAL]=$D$146)*(Tabela_GM_PEDIDOS_2017_FIM[TIPO_GRUPO]=H$10)*(Tabela_GM_PEDIDOS_2017_FIM[PAGO]="S"),Tabela_GM_PEDIDOS_2017_FIM[VALOR_PAGAR]+Tabela_GM_PEDIDOS_2017_FIM[VC_FINANCEIRA]))*H165/1000</f>
        <v>0</v>
      </c>
      <c r="I168" s="47">
        <f t="array" ref="I168">SUM(IF((Tabela_GM_PEDIDOS_2017_FIM[MOEDA]=$E168)*(Tabela_GM_PEDIDOS_2017_FIM[FILIAL]=$D$146)*(Tabela_GM_PEDIDOS_2017_FIM[TIPO_GRUPO]=I$10)*(Tabela_GM_PEDIDOS_2017_FIM[PAGO]="S"),Tabela_GM_PEDIDOS_2017_FIM[VALOR_PAGAR]+Tabela_GM_PEDIDOS_2017_FIM[VC_FINANCEIRA]))*I165/1000</f>
        <v>0</v>
      </c>
      <c r="J168" s="47">
        <f t="array" ref="J168">SUM(IF((Tabela_GM_PEDIDOS_2017_FIM[MOEDA]=$E168)*(Tabela_GM_PEDIDOS_2017_FIM[FILIAL]=$D$146)*(Tabela_GM_PEDIDOS_2017_FIM[TIPO_GRUPO]=J$10)*(Tabela_GM_PEDIDOS_2017_FIM[PAGO]="S"),Tabela_GM_PEDIDOS_2017_FIM[VALOR_PAGAR]+Tabela_GM_PEDIDOS_2017_FIM[VC_FINANCEIRA]))*J165/1000</f>
        <v>0</v>
      </c>
      <c r="K168" s="47">
        <f t="array" ref="K168">SUM(IF((Tabela_GM_PEDIDOS_2017_FIM[MOEDA]=$E168)*(Tabela_GM_PEDIDOS_2017_FIM[FILIAL]=$D$146)*(Tabela_GM_PEDIDOS_2017_FIM[TIPO_GRUPO]=K$10)*(Tabela_GM_PEDIDOS_2017_FIM[PAGO]="S"),Tabela_GM_PEDIDOS_2017_FIM[VALOR_PAGAR]+Tabela_GM_PEDIDOS_2017_FIM[VC_FINANCEIRA]))*K165/1000</f>
        <v>0</v>
      </c>
      <c r="L168" s="47">
        <f t="array" ref="L168">SUM(IF((Tabela_GM_PEDIDOS_2017_FIM[MOEDA]=$E168)*(Tabela_GM_PEDIDOS_2017_FIM[FILIAL]=$D$146)*(Tabela_GM_PEDIDOS_2017_FIM[TIPO_GRUPO]=L$10)*(Tabela_GM_PEDIDOS_2017_FIM[PAGO]="S"),Tabela_GM_PEDIDOS_2017_FIM[VALOR_PAGAR]+Tabela_GM_PEDIDOS_2017_FIM[VC_FINANCEIRA]))*L165/1000</f>
        <v>0</v>
      </c>
      <c r="M168" s="47">
        <f t="array" ref="M168">SUM(IF((Tabela_GM_PEDIDOS_2017_FIM[MOEDA]=$E168)*(Tabela_GM_PEDIDOS_2017_FIM[FILIAL]=$D$146)*(Tabela_GM_PEDIDOS_2017_FIM[TIPO_GRUPO]=M$10)*(Tabela_GM_PEDIDOS_2017_FIM[PAGO]="S"),Tabela_GM_PEDIDOS_2017_FIM[VALOR_PAGAR]+Tabela_GM_PEDIDOS_2017_FIM[VC_FINANCEIRA]))*M165/1000</f>
        <v>0</v>
      </c>
      <c r="N168" s="47">
        <f t="array" ref="N168">SUM(IF((Tabela_GM_PEDIDOS_2017_FIM[MOEDA]=$E168)*(Tabela_GM_PEDIDOS_2017_FIM[FILIAL]=$D$146)*(Tabela_GM_PEDIDOS_2017_FIM[TIPO_GRUPO]=N$10)*(Tabela_GM_PEDIDOS_2017_FIM[PAGO]="S"),Tabela_GM_PEDIDOS_2017_FIM[VALOR_PAGAR]+Tabela_GM_PEDIDOS_2017_FIM[VC_FINANCEIRA]))*N165/1000</f>
        <v>0</v>
      </c>
      <c r="O168" s="47">
        <f t="array" ref="O168">SUM(IF((Tabela_GM_PEDIDOS_2017_FIM[MOEDA]=$E168)*(Tabela_GM_PEDIDOS_2017_FIM[FILIAL]=$D$146)*(Tabela_GM_PEDIDOS_2017_FIM[TIPO_GRUPO]=O$10)*(Tabela_GM_PEDIDOS_2017_FIM[PAGO]="S"),Tabela_GM_PEDIDOS_2017_FIM[VALOR_PAGAR]+Tabela_GM_PEDIDOS_2017_FIM[VC_FINANCEIRA]))*O165/1000</f>
        <v>0</v>
      </c>
      <c r="P168" s="47">
        <f t="array" ref="P168">SUM(F168:O168)</f>
        <v>103.47639197080292</v>
      </c>
      <c r="Q168" s="49"/>
    </row>
    <row r="169" spans="1:17" ht="15.75" hidden="1" outlineLevel="1" thickBot="1" x14ac:dyDescent="0.3">
      <c r="A169" s="27"/>
      <c r="B169" s="320"/>
      <c r="C169" s="35"/>
      <c r="D169" s="46" t="s">
        <v>7688</v>
      </c>
      <c r="E169" s="47" t="s">
        <v>16</v>
      </c>
      <c r="F169" s="50">
        <f t="array" ref="F169">SUM(IF((Tabela_GM_PEDIDOS_2017_FIM[MOEDA]=$E169)*(Tabela_GM_PEDIDOS_2017_FIM[FILIAL]=$D$146)*(Tabela_GM_PEDIDOS_2017_FIM[TIPO_GRUPO]=F$10)*(Tabela_GM_PEDIDOS_2017_FIM[PAGO]&lt;&gt;"S"),Tabela_GM_PEDIDOS_2017_FIM[VL_PEDIDO_COMPRA]))*F165/1000</f>
        <v>89.324096715328466</v>
      </c>
      <c r="G169" s="50">
        <f t="array" ref="G169">SUM(IF((Tabela_GM_PEDIDOS_2017_FIM[MOEDA]=$E169)*(Tabela_GM_PEDIDOS_2017_FIM[FILIAL]=$D$146)*(Tabela_GM_PEDIDOS_2017_FIM[TIPO_GRUPO]=G$10)*(Tabela_GM_PEDIDOS_2017_FIM[PAGO]&lt;&gt;"S"),Tabela_GM_PEDIDOS_2017_FIM[VL_PEDIDO_COMPRA]))*G165/1000</f>
        <v>74.413008394160599</v>
      </c>
      <c r="H169" s="50">
        <f t="array" ref="H169">SUM(IF((Tabela_GM_PEDIDOS_2017_FIM[MOEDA]=$E169)*(Tabela_GM_PEDIDOS_2017_FIM[FILIAL]=$D$146)*(Tabela_GM_PEDIDOS_2017_FIM[TIPO_GRUPO]=H$10)*(Tabela_GM_PEDIDOS_2017_FIM[PAGO]&lt;&gt;"S"),Tabela_GM_PEDIDOS_2017_FIM[VL_PEDIDO_COMPRA]))*H165/1000</f>
        <v>0</v>
      </c>
      <c r="I169" s="50">
        <f t="array" ref="I169">SUM(IF((Tabela_GM_PEDIDOS_2017_FIM[MOEDA]=$E169)*(Tabela_GM_PEDIDOS_2017_FIM[FILIAL]=$D$146)*(Tabela_GM_PEDIDOS_2017_FIM[TIPO_GRUPO]=I$10)*(Tabela_GM_PEDIDOS_2017_FIM[PAGO]&lt;&gt;"S"),Tabela_GM_PEDIDOS_2017_FIM[VL_PEDIDO_COMPRA]))*I165/1000</f>
        <v>0</v>
      </c>
      <c r="J169" s="50">
        <f t="array" ref="J169">SUM(IF((Tabela_GM_PEDIDOS_2017_FIM[MOEDA]=$E169)*(Tabela_GM_PEDIDOS_2017_FIM[FILIAL]=$D$146)*(Tabela_GM_PEDIDOS_2017_FIM[TIPO_GRUPO]=J$10)*(Tabela_GM_PEDIDOS_2017_FIM[PAGO]&lt;&gt;"S"),Tabela_GM_PEDIDOS_2017_FIM[VL_PEDIDO_COMPRA]))*J165/1000</f>
        <v>0</v>
      </c>
      <c r="K169" s="50">
        <f t="array" ref="K169">SUM(IF((Tabela_GM_PEDIDOS_2017_FIM[MOEDA]=$E169)*(Tabela_GM_PEDIDOS_2017_FIM[FILIAL]=$D$146)*(Tabela_GM_PEDIDOS_2017_FIM[TIPO_GRUPO]=K$10)*(Tabela_GM_PEDIDOS_2017_FIM[PAGO]&lt;&gt;"S"),Tabela_GM_PEDIDOS_2017_FIM[VL_PEDIDO_COMPRA]))*K165/1000</f>
        <v>0</v>
      </c>
      <c r="L169" s="50">
        <f t="array" ref="L169">SUM(IF((Tabela_GM_PEDIDOS_2017_FIM[MOEDA]=$E169)*(Tabela_GM_PEDIDOS_2017_FIM[FILIAL]=$D$146)*(Tabela_GM_PEDIDOS_2017_FIM[TIPO_GRUPO]=L$10)*(Tabela_GM_PEDIDOS_2017_FIM[PAGO]&lt;&gt;"S"),Tabela_GM_PEDIDOS_2017_FIM[VL_PEDIDO_COMPRA]))*L165/1000</f>
        <v>0</v>
      </c>
      <c r="M169" s="50">
        <f t="array" ref="M169">SUM(IF((Tabela_GM_PEDIDOS_2017_FIM[MOEDA]=$E169)*(Tabela_GM_PEDIDOS_2017_FIM[FILIAL]=$D$146)*(Tabela_GM_PEDIDOS_2017_FIM[TIPO_GRUPO]=M$10)*(Tabela_GM_PEDIDOS_2017_FIM[PAGO]&lt;&gt;"S"),Tabela_GM_PEDIDOS_2017_FIM[VL_PEDIDO_COMPRA]))*M165/1000</f>
        <v>0</v>
      </c>
      <c r="N169" s="50">
        <f t="array" ref="N169">SUM(IF((Tabela_GM_PEDIDOS_2017_FIM[MOEDA]=$E169)*(Tabela_GM_PEDIDOS_2017_FIM[FILIAL]=$D$146)*(Tabela_GM_PEDIDOS_2017_FIM[TIPO_GRUPO]=N$10)*(Tabela_GM_PEDIDOS_2017_FIM[PAGO]&lt;&gt;"S"),Tabela_GM_PEDIDOS_2017_FIM[VL_PEDIDO_COMPRA]))*N165/1000</f>
        <v>0</v>
      </c>
      <c r="O169" s="50">
        <f t="array" ref="O169">SUM(IF((Tabela_GM_PEDIDOS_2017_FIM[MOEDA]=$E169)*(Tabela_GM_PEDIDOS_2017_FIM[FILIAL]=$D$146)*(Tabela_GM_PEDIDOS_2017_FIM[TIPO_GRUPO]=O$10)*(Tabela_GM_PEDIDOS_2017_FIM[PAGO]&lt;&gt;"S"),Tabela_GM_PEDIDOS_2017_FIM[VL_PEDIDO_COMPRA]))*O165/1000</f>
        <v>0</v>
      </c>
      <c r="P169" s="50">
        <f>SUM(F169:O169)</f>
        <v>163.73710510948905</v>
      </c>
      <c r="Q169" s="48"/>
    </row>
    <row r="170" spans="1:17" ht="15.75" collapsed="1" thickBot="1" x14ac:dyDescent="0.3">
      <c r="A170" s="27"/>
      <c r="B170" s="320"/>
      <c r="C170" s="35"/>
      <c r="D170" s="43"/>
      <c r="E170" s="44"/>
      <c r="F170" s="59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5"/>
    </row>
    <row r="171" spans="1:17" ht="15.75" thickBot="1" x14ac:dyDescent="0.3">
      <c r="A171" s="27"/>
      <c r="B171" s="320"/>
      <c r="C171" s="35"/>
      <c r="D171" s="39" t="s">
        <v>7786</v>
      </c>
      <c r="E171" s="40"/>
      <c r="F171" s="41">
        <f t="array" ref="F171">SUM(IF((ProjecaoAreas!$H$6:$H$46=ResumoCusto!$D$146)*(ProjecaoAreas!$I$6:$I$46=ResumoCusto!$D172),ProjecaoAreas!$L$6:$L$46))</f>
        <v>0.145985401459854</v>
      </c>
      <c r="G171" s="41">
        <f t="array" ref="G171">SUM(IF((ProjecaoAreas!$H$6:$H$46=ResumoCusto!$D$146)*(ProjecaoAreas!$I$6:$I$46=ResumoCusto!$D172),ProjecaoAreas!$L$6:$L$46))</f>
        <v>0.145985401459854</v>
      </c>
      <c r="H171" s="41">
        <f t="array" ref="H171">SUM(IF((ProjecaoAreas!$H$6:$H$46=ResumoCusto!$D$146)*(ProjecaoAreas!$I$6:$I$46=ResumoCusto!$D172),ProjecaoAreas!$L$6:$L$46))</f>
        <v>0.145985401459854</v>
      </c>
      <c r="I171" s="41">
        <f t="array" ref="I171">SUM(IF((ProjecaoAreas!$H$6:$H$46=ResumoCusto!$D$146)*(ProjecaoAreas!$I$6:$I$46=ResumoCusto!$D172),ProjecaoAreas!$L$6:$L$46))</f>
        <v>0.145985401459854</v>
      </c>
      <c r="J171" s="41">
        <f t="array" ref="J171">SUM(IF((ProjecaoAreas!$H$6:$H$46=ResumoCusto!$D$146)*(ProjecaoAreas!$I$6:$I$46=ResumoCusto!$D172),ProjecaoAreas!$L$6:$L$46))</f>
        <v>0.145985401459854</v>
      </c>
      <c r="K171" s="41">
        <f t="array" ref="K171">SUM(IF((ProjecaoAreas!$H$6:$H$46=ResumoCusto!$D$146)*(ProjecaoAreas!$I$6:$I$46=ResumoCusto!$D172),ProjecaoAreas!$L$6:$L$46))</f>
        <v>0.145985401459854</v>
      </c>
      <c r="L171" s="41">
        <f t="array" ref="L171">SUM(IF((ProjecaoAreas!$H$6:$H$46=ResumoCusto!$D$146)*(ProjecaoAreas!$I$6:$I$46=ResumoCusto!$D172),ProjecaoAreas!$L$6:$L$46))</f>
        <v>0.145985401459854</v>
      </c>
      <c r="M171" s="41">
        <f t="array" ref="M171">SUM(IF((ProjecaoAreas!$H$6:$H$46=ResumoCusto!$D$146)*(ProjecaoAreas!$I$6:$I$46=ResumoCusto!$D172),ProjecaoAreas!$L$6:$L$46))</f>
        <v>0.145985401459854</v>
      </c>
      <c r="N171" s="41">
        <f t="array" ref="N171">SUM(IF((ProjecaoAreas!$H$6:$H$46=ResumoCusto!$D$146)*(ProjecaoAreas!$I$6:$I$46=ResumoCusto!$D172),ProjecaoAreas!$L$6:$L$46))</f>
        <v>0.145985401459854</v>
      </c>
      <c r="O171" s="41">
        <f t="array" ref="O171">SUM(IF((ProjecaoAreas!$H$6:$H$46=ResumoCusto!$D$146)*(ProjecaoAreas!$I$6:$I$46=ResumoCusto!$D172),ProjecaoAreas!$L$6:$L$46))</f>
        <v>0.145985401459854</v>
      </c>
      <c r="P171" s="40"/>
      <c r="Q171" s="42"/>
    </row>
    <row r="172" spans="1:17" ht="15.75" thickBot="1" x14ac:dyDescent="0.3">
      <c r="A172" s="27"/>
      <c r="B172" s="320"/>
      <c r="C172" s="35"/>
      <c r="D172" s="43" t="s">
        <v>7661</v>
      </c>
      <c r="E172" s="44">
        <f t="array" ref="E172">SUM(IF((ProjecaoAreas!$H$6:$H$46=ResumoCusto!$D$146)*(ProjecaoAreas!$I$6:$I$46=ResumoCusto!$D172),ProjecaoAreas!$J$6:$J$46))</f>
        <v>500</v>
      </c>
      <c r="F172" s="44">
        <f t="array" ref="F172">F$146*F171</f>
        <v>394.01998604029194</v>
      </c>
      <c r="G172" s="44">
        <f t="array" ref="G172">G$146*G171</f>
        <v>485.08326519313863</v>
      </c>
      <c r="H172" s="44">
        <f t="array" ref="H172">H$146*H171</f>
        <v>87.591240875912405</v>
      </c>
      <c r="I172" s="44">
        <f t="array" ref="I172">I$146*I171</f>
        <v>28.693456101625461</v>
      </c>
      <c r="J172" s="44">
        <f t="array" ref="J172">J$146*J171</f>
        <v>291.97080291970798</v>
      </c>
      <c r="K172" s="44">
        <f t="array" ref="K172">K$146*K171</f>
        <v>87.591240875912405</v>
      </c>
      <c r="L172" s="44">
        <f t="array" ref="L172">L$146*L171</f>
        <v>11.678832116788321</v>
      </c>
      <c r="M172" s="44">
        <f t="array" ref="M172">M$146*M171</f>
        <v>35.036496350364963</v>
      </c>
      <c r="N172" s="44">
        <f t="array" ref="N172">N$146*N171</f>
        <v>200.29197080291968</v>
      </c>
      <c r="O172" s="44">
        <f t="array" ref="O172">O$146*O171</f>
        <v>58.394160583941598</v>
      </c>
      <c r="P172" s="44">
        <f>SUM(F172:O172)</f>
        <v>1680.3514518606034</v>
      </c>
      <c r="Q172" s="45">
        <f>P172/E172*1000</f>
        <v>3360.7029037212069</v>
      </c>
    </row>
    <row r="173" spans="1:17" ht="15.75" hidden="1" outlineLevel="1" thickBot="1" x14ac:dyDescent="0.3">
      <c r="A173" s="27"/>
      <c r="B173" s="320"/>
      <c r="C173" s="35"/>
      <c r="D173" s="46" t="s">
        <v>7686</v>
      </c>
      <c r="E173" s="47" t="s">
        <v>27</v>
      </c>
      <c r="F173" s="47">
        <f t="array" ref="F173">SUM(IF((Tabela_GM_PEDIDOS_2017_FIM[MOEDA]=$E173)*(Tabela_GM_PEDIDOS_2017_FIM[FILIAL]=$D$146)*(Tabela_GM_PEDIDOS_2017_FIM[TIPO_GRUPO]=F$10),Tabela_GM_PEDIDOS_2017_FIM[VALOR_PAGAR]+Tabela_GM_PEDIDOS_2017_FIM[VC_FINANCEIRA]))*F171/1000</f>
        <v>0</v>
      </c>
      <c r="G173" s="47">
        <f t="array" ref="G173">SUM(IF((Tabela_GM_PEDIDOS_2017_FIM[MOEDA]=$E173)*(Tabela_GM_PEDIDOS_2017_FIM[FILIAL]=$D$146)*(Tabela_GM_PEDIDOS_2017_FIM[TIPO_GRUPO]=G$10),Tabela_GM_PEDIDOS_2017_FIM[VALOR_PAGAR]+Tabela_GM_PEDIDOS_2017_FIM[VC_FINANCEIRA]))*G171/1000</f>
        <v>0</v>
      </c>
      <c r="H173" s="47">
        <f t="array" ref="H173">SUM(IF((Tabela_GM_PEDIDOS_2017_FIM[MOEDA]=$E173)*(Tabela_GM_PEDIDOS_2017_FIM[FILIAL]=$D$146)*(Tabela_GM_PEDIDOS_2017_FIM[TIPO_GRUPO]=H$10),Tabela_GM_PEDIDOS_2017_FIM[VALOR_PAGAR]+Tabela_GM_PEDIDOS_2017_FIM[VC_FINANCEIRA]))*H171/1000</f>
        <v>0</v>
      </c>
      <c r="I173" s="47">
        <f t="array" ref="I173">SUM(IF((Tabela_GM_PEDIDOS_2017_FIM[MOEDA]=$E173)*(Tabela_GM_PEDIDOS_2017_FIM[FILIAL]=$D$146)*(Tabela_GM_PEDIDOS_2017_FIM[TIPO_GRUPO]=I$10),Tabela_GM_PEDIDOS_2017_FIM[VALOR_PAGAR]+Tabela_GM_PEDIDOS_2017_FIM[VC_FINANCEIRA]))*I171/1000</f>
        <v>0</v>
      </c>
      <c r="J173" s="47">
        <f t="array" ref="J173">SUM(IF((Tabela_GM_PEDIDOS_2017_FIM[MOEDA]=$E173)*(Tabela_GM_PEDIDOS_2017_FIM[FILIAL]=$D$146)*(Tabela_GM_PEDIDOS_2017_FIM[TIPO_GRUPO]=J$10),Tabela_GM_PEDIDOS_2017_FIM[VALOR_PAGAR]+Tabela_GM_PEDIDOS_2017_FIM[VC_FINANCEIRA]))*J171/1000</f>
        <v>0</v>
      </c>
      <c r="K173" s="47">
        <f t="array" ref="K173">SUM(IF((Tabela_GM_PEDIDOS_2017_FIM[MOEDA]=$E173)*(Tabela_GM_PEDIDOS_2017_FIM[FILIAL]=$D$146)*(Tabela_GM_PEDIDOS_2017_FIM[TIPO_GRUPO]=K$10),Tabela_GM_PEDIDOS_2017_FIM[VALOR_PAGAR]+Tabela_GM_PEDIDOS_2017_FIM[VC_FINANCEIRA]))*K171/1000</f>
        <v>0</v>
      </c>
      <c r="L173" s="47">
        <f t="array" ref="L173">SUM(IF((Tabela_GM_PEDIDOS_2017_FIM[MOEDA]=$E173)*(Tabela_GM_PEDIDOS_2017_FIM[FILIAL]=$D$146)*(Tabela_GM_PEDIDOS_2017_FIM[TIPO_GRUPO]=L$10),Tabela_GM_PEDIDOS_2017_FIM[VALOR_PAGAR]+Tabela_GM_PEDIDOS_2017_FIM[VC_FINANCEIRA]))*L171/1000</f>
        <v>0</v>
      </c>
      <c r="M173" s="47">
        <f t="array" ref="M173">SUM(IF((Tabela_GM_PEDIDOS_2017_FIM[MOEDA]=$E173)*(Tabela_GM_PEDIDOS_2017_FIM[FILIAL]=$D$146)*(Tabela_GM_PEDIDOS_2017_FIM[TIPO_GRUPO]=M$10),Tabela_GM_PEDIDOS_2017_FIM[VALOR_PAGAR]+Tabela_GM_PEDIDOS_2017_FIM[VC_FINANCEIRA]))*M171/1000</f>
        <v>0</v>
      </c>
      <c r="N173" s="47">
        <f t="array" ref="N173">SUM(IF((Tabela_GM_PEDIDOS_2017_FIM[MOEDA]=$E173)*(Tabela_GM_PEDIDOS_2017_FIM[FILIAL]=$D$146)*(Tabela_GM_PEDIDOS_2017_FIM[TIPO_GRUPO]=N$10),Tabela_GM_PEDIDOS_2017_FIM[VALOR_PAGAR]+Tabela_GM_PEDIDOS_2017_FIM[VC_FINANCEIRA]))*N171/1000</f>
        <v>200.29197080291971</v>
      </c>
      <c r="O173" s="47">
        <f t="array" ref="O173">SUM(IF((Tabela_GM_PEDIDOS_2017_FIM[MOEDA]=$E173)*(Tabela_GM_PEDIDOS_2017_FIM[FILIAL]=$D$146)*(Tabela_GM_PEDIDOS_2017_FIM[TIPO_GRUPO]=O$10),Tabela_GM_PEDIDOS_2017_FIM[VALOR_PAGAR]+Tabela_GM_PEDIDOS_2017_FIM[VC_FINANCEIRA]))*O171/1000</f>
        <v>0</v>
      </c>
      <c r="P173" s="47">
        <f t="array" ref="P173">SUM(F173:O173)</f>
        <v>200.29197080291971</v>
      </c>
      <c r="Q173" s="48"/>
    </row>
    <row r="174" spans="1:17" ht="15.75" hidden="1" outlineLevel="1" thickBot="1" x14ac:dyDescent="0.3">
      <c r="A174" s="27"/>
      <c r="B174" s="320"/>
      <c r="C174" s="35"/>
      <c r="D174" s="46" t="s">
        <v>7687</v>
      </c>
      <c r="E174" s="47" t="s">
        <v>16</v>
      </c>
      <c r="F174" s="47">
        <f t="array" ref="F174">SUM(IF((Tabela_GM_PEDIDOS_2017_FIM[MOEDA]=$E174)*(Tabela_GM_PEDIDOS_2017_FIM[FILIAL]=$D$146)*(Tabela_GM_PEDIDOS_2017_FIM[TIPO_GRUPO]=F$10)*(Tabela_GM_PEDIDOS_2017_FIM[PAGO]="S"),Tabela_GM_PEDIDOS_2017_FIM[VALOR_PAGAR]+Tabela_GM_PEDIDOS_2017_FIM[VC_FINANCEIRA]))*F171/1000</f>
        <v>0</v>
      </c>
      <c r="G174" s="47">
        <f t="array" ref="G174">SUM(IF((Tabela_GM_PEDIDOS_2017_FIM[MOEDA]=$E174)*(Tabela_GM_PEDIDOS_2017_FIM[FILIAL]=$D$146)*(Tabela_GM_PEDIDOS_2017_FIM[TIPO_GRUPO]=G$10)*(Tabela_GM_PEDIDOS_2017_FIM[PAGO]="S"),Tabela_GM_PEDIDOS_2017_FIM[VALOR_PAGAR]+Tabela_GM_PEDIDOS_2017_FIM[VC_FINANCEIRA]))*G171/1000</f>
        <v>137.96852262773723</v>
      </c>
      <c r="H174" s="47">
        <f t="array" ref="H174">SUM(IF((Tabela_GM_PEDIDOS_2017_FIM[MOEDA]=$E174)*(Tabela_GM_PEDIDOS_2017_FIM[FILIAL]=$D$146)*(Tabela_GM_PEDIDOS_2017_FIM[TIPO_GRUPO]=H$10)*(Tabela_GM_PEDIDOS_2017_FIM[PAGO]="S"),Tabela_GM_PEDIDOS_2017_FIM[VALOR_PAGAR]+Tabela_GM_PEDIDOS_2017_FIM[VC_FINANCEIRA]))*H171/1000</f>
        <v>0</v>
      </c>
      <c r="I174" s="47">
        <f t="array" ref="I174">SUM(IF((Tabela_GM_PEDIDOS_2017_FIM[MOEDA]=$E174)*(Tabela_GM_PEDIDOS_2017_FIM[FILIAL]=$D$146)*(Tabela_GM_PEDIDOS_2017_FIM[TIPO_GRUPO]=I$10)*(Tabela_GM_PEDIDOS_2017_FIM[PAGO]="S"),Tabela_GM_PEDIDOS_2017_FIM[VALOR_PAGAR]+Tabela_GM_PEDIDOS_2017_FIM[VC_FINANCEIRA]))*I171/1000</f>
        <v>0</v>
      </c>
      <c r="J174" s="47">
        <f t="array" ref="J174">SUM(IF((Tabela_GM_PEDIDOS_2017_FIM[MOEDA]=$E174)*(Tabela_GM_PEDIDOS_2017_FIM[FILIAL]=$D$146)*(Tabela_GM_PEDIDOS_2017_FIM[TIPO_GRUPO]=J$10)*(Tabela_GM_PEDIDOS_2017_FIM[PAGO]="S"),Tabela_GM_PEDIDOS_2017_FIM[VALOR_PAGAR]+Tabela_GM_PEDIDOS_2017_FIM[VC_FINANCEIRA]))*J171/1000</f>
        <v>0</v>
      </c>
      <c r="K174" s="47">
        <f t="array" ref="K174">SUM(IF((Tabela_GM_PEDIDOS_2017_FIM[MOEDA]=$E174)*(Tabela_GM_PEDIDOS_2017_FIM[FILIAL]=$D$146)*(Tabela_GM_PEDIDOS_2017_FIM[TIPO_GRUPO]=K$10)*(Tabela_GM_PEDIDOS_2017_FIM[PAGO]="S"),Tabela_GM_PEDIDOS_2017_FIM[VALOR_PAGAR]+Tabela_GM_PEDIDOS_2017_FIM[VC_FINANCEIRA]))*K171/1000</f>
        <v>0</v>
      </c>
      <c r="L174" s="47">
        <f t="array" ref="L174">SUM(IF((Tabela_GM_PEDIDOS_2017_FIM[MOEDA]=$E174)*(Tabela_GM_PEDIDOS_2017_FIM[FILIAL]=$D$146)*(Tabela_GM_PEDIDOS_2017_FIM[TIPO_GRUPO]=L$10)*(Tabela_GM_PEDIDOS_2017_FIM[PAGO]="S"),Tabela_GM_PEDIDOS_2017_FIM[VALOR_PAGAR]+Tabela_GM_PEDIDOS_2017_FIM[VC_FINANCEIRA]))*L171/1000</f>
        <v>0</v>
      </c>
      <c r="M174" s="47">
        <f t="array" ref="M174">SUM(IF((Tabela_GM_PEDIDOS_2017_FIM[MOEDA]=$E174)*(Tabela_GM_PEDIDOS_2017_FIM[FILIAL]=$D$146)*(Tabela_GM_PEDIDOS_2017_FIM[TIPO_GRUPO]=M$10)*(Tabela_GM_PEDIDOS_2017_FIM[PAGO]="S"),Tabela_GM_PEDIDOS_2017_FIM[VALOR_PAGAR]+Tabela_GM_PEDIDOS_2017_FIM[VC_FINANCEIRA]))*M171/1000</f>
        <v>0</v>
      </c>
      <c r="N174" s="47">
        <f t="array" ref="N174">SUM(IF((Tabela_GM_PEDIDOS_2017_FIM[MOEDA]=$E174)*(Tabela_GM_PEDIDOS_2017_FIM[FILIAL]=$D$146)*(Tabela_GM_PEDIDOS_2017_FIM[TIPO_GRUPO]=N$10)*(Tabela_GM_PEDIDOS_2017_FIM[PAGO]="S"),Tabela_GM_PEDIDOS_2017_FIM[VALOR_PAGAR]+Tabela_GM_PEDIDOS_2017_FIM[VC_FINANCEIRA]))*N171/1000</f>
        <v>0</v>
      </c>
      <c r="O174" s="47">
        <f t="array" ref="O174">SUM(IF((Tabela_GM_PEDIDOS_2017_FIM[MOEDA]=$E174)*(Tabela_GM_PEDIDOS_2017_FIM[FILIAL]=$D$146)*(Tabela_GM_PEDIDOS_2017_FIM[TIPO_GRUPO]=O$10)*(Tabela_GM_PEDIDOS_2017_FIM[PAGO]="S"),Tabela_GM_PEDIDOS_2017_FIM[VALOR_PAGAR]+Tabela_GM_PEDIDOS_2017_FIM[VC_FINANCEIRA]))*O171/1000</f>
        <v>0</v>
      </c>
      <c r="P174" s="47">
        <f t="array" ref="P174">SUM(F174:O174)</f>
        <v>137.96852262773723</v>
      </c>
      <c r="Q174" s="49"/>
    </row>
    <row r="175" spans="1:17" ht="15.75" hidden="1" outlineLevel="1" thickBot="1" x14ac:dyDescent="0.3">
      <c r="A175" s="27"/>
      <c r="B175" s="320"/>
      <c r="C175" s="35"/>
      <c r="D175" s="46" t="s">
        <v>7688</v>
      </c>
      <c r="E175" s="47" t="s">
        <v>16</v>
      </c>
      <c r="F175" s="50">
        <f t="array" ref="F175">SUM(IF((Tabela_GM_PEDIDOS_2017_FIM[MOEDA]=$E175)*(Tabela_GM_PEDIDOS_2017_FIM[FILIAL]=$D$146)*(Tabela_GM_PEDIDOS_2017_FIM[TIPO_GRUPO]=F$10)*(Tabela_GM_PEDIDOS_2017_FIM[PAGO]&lt;&gt;"S"),Tabela_GM_PEDIDOS_2017_FIM[VL_PEDIDO_COMPRA]))*F171/1000</f>
        <v>119.09879562043794</v>
      </c>
      <c r="G175" s="50">
        <f t="array" ref="G175">SUM(IF((Tabela_GM_PEDIDOS_2017_FIM[MOEDA]=$E175)*(Tabela_GM_PEDIDOS_2017_FIM[FILIAL]=$D$146)*(Tabela_GM_PEDIDOS_2017_FIM[TIPO_GRUPO]=G$10)*(Tabela_GM_PEDIDOS_2017_FIM[PAGO]&lt;&gt;"S"),Tabela_GM_PEDIDOS_2017_FIM[VL_PEDIDO_COMPRA]))*G171/1000</f>
        <v>99.217344525547446</v>
      </c>
      <c r="H175" s="50">
        <f t="array" ref="H175">SUM(IF((Tabela_GM_PEDIDOS_2017_FIM[MOEDA]=$E175)*(Tabela_GM_PEDIDOS_2017_FIM[FILIAL]=$D$146)*(Tabela_GM_PEDIDOS_2017_FIM[TIPO_GRUPO]=H$10)*(Tabela_GM_PEDIDOS_2017_FIM[PAGO]&lt;&gt;"S"),Tabela_GM_PEDIDOS_2017_FIM[VL_PEDIDO_COMPRA]))*H171/1000</f>
        <v>0</v>
      </c>
      <c r="I175" s="50">
        <f t="array" ref="I175">SUM(IF((Tabela_GM_PEDIDOS_2017_FIM[MOEDA]=$E175)*(Tabela_GM_PEDIDOS_2017_FIM[FILIAL]=$D$146)*(Tabela_GM_PEDIDOS_2017_FIM[TIPO_GRUPO]=I$10)*(Tabela_GM_PEDIDOS_2017_FIM[PAGO]&lt;&gt;"S"),Tabela_GM_PEDIDOS_2017_FIM[VL_PEDIDO_COMPRA]))*I171/1000</f>
        <v>0</v>
      </c>
      <c r="J175" s="50">
        <f t="array" ref="J175">SUM(IF((Tabela_GM_PEDIDOS_2017_FIM[MOEDA]=$E175)*(Tabela_GM_PEDIDOS_2017_FIM[FILIAL]=$D$146)*(Tabela_GM_PEDIDOS_2017_FIM[TIPO_GRUPO]=J$10)*(Tabela_GM_PEDIDOS_2017_FIM[PAGO]&lt;&gt;"S"),Tabela_GM_PEDIDOS_2017_FIM[VL_PEDIDO_COMPRA]))*J171/1000</f>
        <v>0</v>
      </c>
      <c r="K175" s="50">
        <f t="array" ref="K175">SUM(IF((Tabela_GM_PEDIDOS_2017_FIM[MOEDA]=$E175)*(Tabela_GM_PEDIDOS_2017_FIM[FILIAL]=$D$146)*(Tabela_GM_PEDIDOS_2017_FIM[TIPO_GRUPO]=K$10)*(Tabela_GM_PEDIDOS_2017_FIM[PAGO]&lt;&gt;"S"),Tabela_GM_PEDIDOS_2017_FIM[VL_PEDIDO_COMPRA]))*K171/1000</f>
        <v>0</v>
      </c>
      <c r="L175" s="50">
        <f t="array" ref="L175">SUM(IF((Tabela_GM_PEDIDOS_2017_FIM[MOEDA]=$E175)*(Tabela_GM_PEDIDOS_2017_FIM[FILIAL]=$D$146)*(Tabela_GM_PEDIDOS_2017_FIM[TIPO_GRUPO]=L$10)*(Tabela_GM_PEDIDOS_2017_FIM[PAGO]&lt;&gt;"S"),Tabela_GM_PEDIDOS_2017_FIM[VL_PEDIDO_COMPRA]))*L171/1000</f>
        <v>0</v>
      </c>
      <c r="M175" s="50">
        <f t="array" ref="M175">SUM(IF((Tabela_GM_PEDIDOS_2017_FIM[MOEDA]=$E175)*(Tabela_GM_PEDIDOS_2017_FIM[FILIAL]=$D$146)*(Tabela_GM_PEDIDOS_2017_FIM[TIPO_GRUPO]=M$10)*(Tabela_GM_PEDIDOS_2017_FIM[PAGO]&lt;&gt;"S"),Tabela_GM_PEDIDOS_2017_FIM[VL_PEDIDO_COMPRA]))*M171/1000</f>
        <v>0</v>
      </c>
      <c r="N175" s="50">
        <f t="array" ref="N175">SUM(IF((Tabela_GM_PEDIDOS_2017_FIM[MOEDA]=$E175)*(Tabela_GM_PEDIDOS_2017_FIM[FILIAL]=$D$146)*(Tabela_GM_PEDIDOS_2017_FIM[TIPO_GRUPO]=N$10)*(Tabela_GM_PEDIDOS_2017_FIM[PAGO]&lt;&gt;"S"),Tabela_GM_PEDIDOS_2017_FIM[VL_PEDIDO_COMPRA]))*N171/1000</f>
        <v>0</v>
      </c>
      <c r="O175" s="50">
        <f t="array" ref="O175">SUM(IF((Tabela_GM_PEDIDOS_2017_FIM[MOEDA]=$E175)*(Tabela_GM_PEDIDOS_2017_FIM[FILIAL]=$D$146)*(Tabela_GM_PEDIDOS_2017_FIM[TIPO_GRUPO]=O$10)*(Tabela_GM_PEDIDOS_2017_FIM[PAGO]&lt;&gt;"S"),Tabela_GM_PEDIDOS_2017_FIM[VL_PEDIDO_COMPRA]))*O171/1000</f>
        <v>0</v>
      </c>
      <c r="P175" s="50">
        <f>SUM(F175:O175)</f>
        <v>218.3161401459854</v>
      </c>
      <c r="Q175" s="48"/>
    </row>
    <row r="176" spans="1:17" ht="15.75" collapsed="1" thickBot="1" x14ac:dyDescent="0.3">
      <c r="A176" s="27"/>
      <c r="B176" s="320"/>
      <c r="C176" s="35"/>
      <c r="D176" s="43"/>
      <c r="E176" s="44"/>
      <c r="F176" s="59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5"/>
    </row>
    <row r="177" spans="1:17" ht="15.75" thickBot="1" x14ac:dyDescent="0.3">
      <c r="A177" s="27"/>
      <c r="B177" s="320"/>
      <c r="C177" s="35"/>
      <c r="D177" s="22"/>
      <c r="E177" s="23" t="s">
        <v>7684</v>
      </c>
      <c r="F177" s="24">
        <v>400</v>
      </c>
      <c r="G177" s="24">
        <v>160</v>
      </c>
      <c r="H177" s="24">
        <v>300</v>
      </c>
      <c r="I177" s="24">
        <v>0</v>
      </c>
      <c r="J177" s="24">
        <v>200</v>
      </c>
      <c r="K177" s="24">
        <v>300</v>
      </c>
      <c r="L177" s="24">
        <v>30</v>
      </c>
      <c r="M177" s="24">
        <v>100</v>
      </c>
      <c r="N177" s="24">
        <v>100</v>
      </c>
      <c r="O177" s="24">
        <v>100</v>
      </c>
      <c r="P177" s="25"/>
      <c r="Q177" s="26"/>
    </row>
    <row r="178" spans="1:17" ht="15.75" thickBot="1" x14ac:dyDescent="0.3">
      <c r="A178" s="27"/>
      <c r="B178" s="320"/>
      <c r="C178" s="35"/>
      <c r="D178" s="30"/>
      <c r="E178" s="31"/>
      <c r="F178" s="32"/>
      <c r="G178" s="32"/>
      <c r="H178" s="32"/>
      <c r="I178" s="32" t="s">
        <v>7785</v>
      </c>
      <c r="J178" s="32" t="s">
        <v>7785</v>
      </c>
      <c r="K178" s="32"/>
      <c r="L178" s="32"/>
      <c r="M178" s="32"/>
      <c r="N178" s="32"/>
      <c r="O178" s="33" t="s">
        <v>7784</v>
      </c>
      <c r="P178" s="32"/>
      <c r="Q178" s="34"/>
    </row>
    <row r="179" spans="1:17" ht="15.75" thickBot="1" x14ac:dyDescent="0.3">
      <c r="A179" s="27"/>
      <c r="B179" s="320"/>
      <c r="C179" s="35"/>
      <c r="D179" s="36" t="s">
        <v>131</v>
      </c>
      <c r="E179" s="37">
        <f t="array" ref="E179">SUM(IF((ProjecaoAreas!$B$28:$B$38=ResumoCusto!D179),ProjecaoAreas!$D$28:$D$38))</f>
        <v>1080</v>
      </c>
      <c r="F179" s="37">
        <f t="array" ref="F179">(SUM(IF((Tabela_GM_PEDIDOS_2017_FIM[TIPO_GRUPO]=ResumoCusto!F$10)*(Tabela_GM_PEDIDOS_2017_FIM[FILIAL]=ResumoCusto!$D179),Tabela_GM_PEDIDOS_2017_FIM[VALOR_PAGAR]+Tabela_GM_PEDIDOS_2017_FIM[VC_FINANCEIRA]))/1000)+F177</f>
        <v>858.177509912</v>
      </c>
      <c r="G179" s="37">
        <f t="array" ref="G179">(SUM(IF((Tabela_GM_PEDIDOS_2017_FIM[TIPO_GRUPO]=ResumoCusto!G$10)*(Tabela_GM_PEDIDOS_2017_FIM[FILIAL]=ResumoCusto!$D179),Tabela_GM_PEDIDOS_2017_FIM[VALOR_PAGAR]+Tabela_GM_PEDIDOS_2017_FIM[VC_FINANCEIRA]))/1000)+G177</f>
        <v>176.51607999999999</v>
      </c>
      <c r="H179" s="37">
        <f t="array" ref="H179">(SUM(IF((Tabela_GM_PEDIDOS_2017_FIM[TIPO_GRUPO]=ResumoCusto!H$10)*(Tabela_GM_PEDIDOS_2017_FIM[FILIAL]=ResumoCusto!$D179),Tabela_GM_PEDIDOS_2017_FIM[VALOR_PAGAR]+Tabela_GM_PEDIDOS_2017_FIM[VC_FINANCEIRA]))/1000)+H177</f>
        <v>300</v>
      </c>
      <c r="I179" s="37">
        <f>Frete!C18/1000</f>
        <v>52.372228475311644</v>
      </c>
      <c r="J179" s="37">
        <f t="array" ref="J179">(SUM(IF((Tabela_GM_PEDIDOS_2017_FIM[TIPO_GRUPO]=ResumoCusto!J$10)*(Tabela_GM_PEDIDOS_2017_FIM[FILIAL]=ResumoCusto!$D179),Tabela_GM_PEDIDOS_2017_FIM[VALOR_PAGAR]+Tabela_GM_PEDIDOS_2017_FIM[VC_FINANCEIRA]))/1000)+J177</f>
        <v>200</v>
      </c>
      <c r="K179" s="37">
        <f t="array" ref="K179">(SUM(IF((Tabela_GM_PEDIDOS_2017_FIM[TIPO_GRUPO]=ResumoCusto!K$10)*(Tabela_GM_PEDIDOS_2017_FIM[FILIAL]=ResumoCusto!$D179),Tabela_GM_PEDIDOS_2017_FIM[VALOR_PAGAR]+Tabela_GM_PEDIDOS_2017_FIM[VC_FINANCEIRA]))/1000)+K177</f>
        <v>300</v>
      </c>
      <c r="L179" s="37">
        <f t="array" ref="L179">(SUM(IF((Tabela_GM_PEDIDOS_2017_FIM[TIPO_GRUPO]=ResumoCusto!L$10)*(Tabela_GM_PEDIDOS_2017_FIM[FILIAL]=ResumoCusto!$D179),Tabela_GM_PEDIDOS_2017_FIM[VALOR_PAGAR]+Tabela_GM_PEDIDOS_2017_FIM[VC_FINANCEIRA]))/1000)+L177</f>
        <v>30</v>
      </c>
      <c r="M179" s="37">
        <f t="array" ref="M179">(SUM(IF((Tabela_GM_PEDIDOS_2017_FIM[TIPO_GRUPO]=ResumoCusto!M$10)*(Tabela_GM_PEDIDOS_2017_FIM[FILIAL]=ResumoCusto!$D179),Tabela_GM_PEDIDOS_2017_FIM[VALOR_PAGAR]+Tabela_GM_PEDIDOS_2017_FIM[VC_FINANCEIRA]))/1000)+M177</f>
        <v>100</v>
      </c>
      <c r="N179" s="37">
        <f t="array" ref="N179">(SUM(IF((Tabela_GM_PEDIDOS_2017_FIM[TIPO_GRUPO]=ResumoCusto!N$10)*(Tabela_GM_PEDIDOS_2017_FIM[FILIAL]=ResumoCusto!$D179),Tabela_GM_PEDIDOS_2017_FIM[VALOR_PAGAR]+Tabela_GM_PEDIDOS_2017_FIM[VC_FINANCEIRA]))/1000)+N177</f>
        <v>167.2</v>
      </c>
      <c r="O179" s="37">
        <f t="array" ref="O179">(SUM(IF((Tabela_GM_PEDIDOS_2017_FIM[TIPO_GRUPO]=ResumoCusto!O$10)*(Tabela_GM_PEDIDOS_2017_FIM[FILIAL]=ResumoCusto!$D179),Tabela_GM_PEDIDOS_2017_FIM[VALOR_PAGAR]+Tabela_GM_PEDIDOS_2017_FIM[VC_FINANCEIRA]))/1000)+O177</f>
        <v>100</v>
      </c>
      <c r="P179" s="37">
        <f>SUM(F179:O179)</f>
        <v>2284.2658183873114</v>
      </c>
      <c r="Q179" s="38">
        <f>P179/E179*1000</f>
        <v>2115.0609429512142</v>
      </c>
    </row>
    <row r="180" spans="1:17" ht="15.75" thickBot="1" x14ac:dyDescent="0.3">
      <c r="A180" s="27"/>
      <c r="B180" s="320"/>
      <c r="C180" s="35"/>
      <c r="D180" s="39" t="s">
        <v>7786</v>
      </c>
      <c r="E180" s="40"/>
      <c r="F180" s="41">
        <f t="array" ref="F180">SUM(IF((ProjecaoAreas!$H$6:$H$46=ResumoCusto!$D$179)*(ProjecaoAreas!$I$6:$I$46=ResumoCusto!$D181),ProjecaoAreas!$L$6:$L$46))</f>
        <v>0.79831932773109249</v>
      </c>
      <c r="G180" s="41">
        <f t="array" ref="G180">SUM(IF((ProjecaoAreas!$H$6:$H$46=ResumoCusto!$D$179)*(ProjecaoAreas!$I$6:$I$46=ResumoCusto!$D181),ProjecaoAreas!$L$6:$L$46))</f>
        <v>0.79831932773109249</v>
      </c>
      <c r="H180" s="41">
        <f t="array" ref="H180">SUM(IF((ProjecaoAreas!$H$6:$H$46=ResumoCusto!$D$179)*(ProjecaoAreas!$I$6:$I$46=ResumoCusto!$D181),ProjecaoAreas!$L$6:$L$46))</f>
        <v>0.79831932773109249</v>
      </c>
      <c r="I180" s="41">
        <f t="array" ref="I180">SUM(IF((ProjecaoAreas!$H$6:$H$46=ResumoCusto!$D$179)*(ProjecaoAreas!$I$6:$I$46=ResumoCusto!$D181),ProjecaoAreas!$L$6:$L$46))</f>
        <v>0.79831932773109249</v>
      </c>
      <c r="J180" s="41">
        <f t="array" ref="J180">SUM(IF((ProjecaoAreas!$H$6:$H$46=ResumoCusto!$D$179)*(ProjecaoAreas!$I$6:$I$46=ResumoCusto!$D181),ProjecaoAreas!$L$6:$L$46))</f>
        <v>0.79831932773109249</v>
      </c>
      <c r="K180" s="41">
        <f t="array" ref="K180">SUM(IF((ProjecaoAreas!$H$6:$H$46=ResumoCusto!$D$179)*(ProjecaoAreas!$I$6:$I$46=ResumoCusto!$D181),ProjecaoAreas!$L$6:$L$46))</f>
        <v>0.79831932773109249</v>
      </c>
      <c r="L180" s="41">
        <f t="array" ref="L180">SUM(IF((ProjecaoAreas!$H$6:$H$46=ResumoCusto!$D$179)*(ProjecaoAreas!$I$6:$I$46=ResumoCusto!$D181),ProjecaoAreas!$L$6:$L$46))</f>
        <v>0.79831932773109249</v>
      </c>
      <c r="M180" s="41">
        <f t="array" ref="M180">SUM(IF((ProjecaoAreas!$H$6:$H$46=ResumoCusto!$D$179)*(ProjecaoAreas!$I$6:$I$46=ResumoCusto!$D181),ProjecaoAreas!$L$6:$L$46))</f>
        <v>0.79831932773109249</v>
      </c>
      <c r="N180" s="41">
        <f t="array" ref="N180">SUM(IF((ProjecaoAreas!$H$6:$H$46=ResumoCusto!$D$179)*(ProjecaoAreas!$I$6:$I$46=ResumoCusto!$D181),ProjecaoAreas!$L$6:$L$46))</f>
        <v>0.79831932773109249</v>
      </c>
      <c r="O180" s="41">
        <f t="array" ref="O180">SUM(IF((ProjecaoAreas!$H$6:$H$46=ResumoCusto!$D$179)*(ProjecaoAreas!$I$6:$I$46=ResumoCusto!$D181),ProjecaoAreas!$L$6:$L$46))</f>
        <v>0.79831932773109249</v>
      </c>
      <c r="P180" s="40"/>
      <c r="Q180" s="42"/>
    </row>
    <row r="181" spans="1:17" ht="15.75" thickBot="1" x14ac:dyDescent="0.3">
      <c r="A181" s="27"/>
      <c r="B181" s="320"/>
      <c r="C181" s="35"/>
      <c r="D181" s="43" t="s">
        <v>7660</v>
      </c>
      <c r="E181" s="44">
        <f t="array" ref="E181">SUM(IF((ProjecaoAreas!$H$6:$H$46=ResumoCusto!$D$179)*(ProjecaoAreas!$I$6:$I$46=ResumoCusto!$D181),ProjecaoAreas!$J$6:$J$46))</f>
        <v>760</v>
      </c>
      <c r="F181" s="44">
        <f>F$179*F180</f>
        <v>685.09969278689084</v>
      </c>
      <c r="G181" s="44">
        <f t="shared" ref="G181:O181" si="66">G$179*G180</f>
        <v>140.91619831932772</v>
      </c>
      <c r="H181" s="44">
        <f t="shared" si="66"/>
        <v>239.49579831932775</v>
      </c>
      <c r="I181" s="44">
        <f t="shared" si="66"/>
        <v>41.809762228189967</v>
      </c>
      <c r="J181" s="44">
        <f t="shared" si="66"/>
        <v>159.66386554621849</v>
      </c>
      <c r="K181" s="44">
        <f t="shared" si="66"/>
        <v>239.49579831932775</v>
      </c>
      <c r="L181" s="44">
        <f t="shared" si="66"/>
        <v>23.949579831932773</v>
      </c>
      <c r="M181" s="44">
        <f t="shared" si="66"/>
        <v>79.831932773109244</v>
      </c>
      <c r="N181" s="44">
        <f t="shared" si="66"/>
        <v>133.47899159663865</v>
      </c>
      <c r="O181" s="44">
        <f t="shared" si="66"/>
        <v>79.831932773109244</v>
      </c>
      <c r="P181" s="44">
        <f>SUM(F181:O181)</f>
        <v>1823.5735524940726</v>
      </c>
      <c r="Q181" s="45">
        <f>P181/E181*1000</f>
        <v>2399.4388848606218</v>
      </c>
    </row>
    <row r="182" spans="1:17" ht="15.75" hidden="1" outlineLevel="1" thickBot="1" x14ac:dyDescent="0.3">
      <c r="A182" s="27"/>
      <c r="B182" s="320"/>
      <c r="C182" s="35"/>
      <c r="D182" s="46" t="s">
        <v>7686</v>
      </c>
      <c r="E182" s="47" t="s">
        <v>27</v>
      </c>
      <c r="F182" s="47">
        <f t="array" ref="F182">SUM(IF((Tabela_GM_PEDIDOS_2017_FIM[MOEDA]=$E182)*(Tabela_GM_PEDIDOS_2017_FIM[FILIAL]=$D$179)*(Tabela_GM_PEDIDOS_2017_FIM[TIPO_GRUPO]=F$10),Tabela_GM_PEDIDOS_2017_FIM[VALOR_PAGAR]+Tabela_GM_PEDIDOS_2017_FIM[VC_FINANCEIRA]))*F180/1000</f>
        <v>0</v>
      </c>
      <c r="G182" s="47">
        <f t="array" ref="G182">SUM(IF((Tabela_GM_PEDIDOS_2017_FIM[MOEDA]=$E182)*(Tabela_GM_PEDIDOS_2017_FIM[FILIAL]=$D$179)*(Tabela_GM_PEDIDOS_2017_FIM[TIPO_GRUPO]=G$10),Tabela_GM_PEDIDOS_2017_FIM[VALOR_PAGAR]+Tabela_GM_PEDIDOS_2017_FIM[VC_FINANCEIRA]))*G180/1000</f>
        <v>0</v>
      </c>
      <c r="H182" s="47">
        <f t="array" ref="H182">SUM(IF((Tabela_GM_PEDIDOS_2017_FIM[MOEDA]=$E182)*(Tabela_GM_PEDIDOS_2017_FIM[FILIAL]=$D$179)*(Tabela_GM_PEDIDOS_2017_FIM[TIPO_GRUPO]=H$10),Tabela_GM_PEDIDOS_2017_FIM[VALOR_PAGAR]+Tabela_GM_PEDIDOS_2017_FIM[VC_FINANCEIRA]))*H180/1000</f>
        <v>0</v>
      </c>
      <c r="I182" s="47">
        <f t="array" ref="I182">SUM(IF((Tabela_GM_PEDIDOS_2017_FIM[MOEDA]=$E182)*(Tabela_GM_PEDIDOS_2017_FIM[FILIAL]=$D$179)*(Tabela_GM_PEDIDOS_2017_FIM[TIPO_GRUPO]=I$10),Tabela_GM_PEDIDOS_2017_FIM[VALOR_PAGAR]+Tabela_GM_PEDIDOS_2017_FIM[VC_FINANCEIRA]))*I180/1000</f>
        <v>0</v>
      </c>
      <c r="J182" s="47">
        <f t="array" ref="J182">SUM(IF((Tabela_GM_PEDIDOS_2017_FIM[MOEDA]=$E182)*(Tabela_GM_PEDIDOS_2017_FIM[FILIAL]=$D$179)*(Tabela_GM_PEDIDOS_2017_FIM[TIPO_GRUPO]=J$10),Tabela_GM_PEDIDOS_2017_FIM[VALOR_PAGAR]+Tabela_GM_PEDIDOS_2017_FIM[VC_FINANCEIRA]))*J180/1000</f>
        <v>0</v>
      </c>
      <c r="K182" s="47">
        <f t="array" ref="K182">SUM(IF((Tabela_GM_PEDIDOS_2017_FIM[MOEDA]=$E182)*(Tabela_GM_PEDIDOS_2017_FIM[FILIAL]=$D$179)*(Tabela_GM_PEDIDOS_2017_FIM[TIPO_GRUPO]=K$10),Tabela_GM_PEDIDOS_2017_FIM[VALOR_PAGAR]+Tabela_GM_PEDIDOS_2017_FIM[VC_FINANCEIRA]))*K180/1000</f>
        <v>0</v>
      </c>
      <c r="L182" s="47">
        <f t="array" ref="L182">SUM(IF((Tabela_GM_PEDIDOS_2017_FIM[MOEDA]=$E182)*(Tabela_GM_PEDIDOS_2017_FIM[FILIAL]=$D$179)*(Tabela_GM_PEDIDOS_2017_FIM[TIPO_GRUPO]=L$10),Tabela_GM_PEDIDOS_2017_FIM[VALOR_PAGAR]+Tabela_GM_PEDIDOS_2017_FIM[VC_FINANCEIRA]))*L180/1000</f>
        <v>0</v>
      </c>
      <c r="M182" s="47">
        <f t="array" ref="M182">SUM(IF((Tabela_GM_PEDIDOS_2017_FIM[MOEDA]=$E182)*(Tabela_GM_PEDIDOS_2017_FIM[FILIAL]=$D$179)*(Tabela_GM_PEDIDOS_2017_FIM[TIPO_GRUPO]=M$10),Tabela_GM_PEDIDOS_2017_FIM[VALOR_PAGAR]+Tabela_GM_PEDIDOS_2017_FIM[VC_FINANCEIRA]))*M180/1000</f>
        <v>0</v>
      </c>
      <c r="N182" s="47">
        <f t="array" ref="N182">SUM(IF((Tabela_GM_PEDIDOS_2017_FIM[MOEDA]=$E182)*(Tabela_GM_PEDIDOS_2017_FIM[FILIAL]=$D$179)*(Tabela_GM_PEDIDOS_2017_FIM[TIPO_GRUPO]=N$10),Tabela_GM_PEDIDOS_2017_FIM[VALOR_PAGAR]+Tabela_GM_PEDIDOS_2017_FIM[VC_FINANCEIRA]))*N180/1000</f>
        <v>53.647058823529413</v>
      </c>
      <c r="O182" s="47">
        <f t="array" ref="O182">SUM(IF((Tabela_GM_PEDIDOS_2017_FIM[MOEDA]=$E182)*(Tabela_GM_PEDIDOS_2017_FIM[FILIAL]=$D$179)*(Tabela_GM_PEDIDOS_2017_FIM[TIPO_GRUPO]=O$10),Tabela_GM_PEDIDOS_2017_FIM[VALOR_PAGAR]+Tabela_GM_PEDIDOS_2017_FIM[VC_FINANCEIRA]))*O180/1000</f>
        <v>0</v>
      </c>
      <c r="P182" s="47">
        <f t="array" ref="P182">SUM(F182:O182)</f>
        <v>53.647058823529413</v>
      </c>
      <c r="Q182" s="48"/>
    </row>
    <row r="183" spans="1:17" ht="15.75" hidden="1" outlineLevel="1" thickBot="1" x14ac:dyDescent="0.3">
      <c r="A183" s="27"/>
      <c r="B183" s="320"/>
      <c r="C183" s="35"/>
      <c r="D183" s="46" t="s">
        <v>7687</v>
      </c>
      <c r="E183" s="47" t="s">
        <v>16</v>
      </c>
      <c r="F183" s="47">
        <f t="array" ref="F183">SUM(IF((Tabela_GM_PEDIDOS_2017_FIM[MOEDA]=$E183)*(Tabela_GM_PEDIDOS_2017_FIM[FILIAL]=$D$179)*(Tabela_GM_PEDIDOS_2017_FIM[TIPO_GRUPO]=F$10)*(Tabela_GM_PEDIDOS_2017_FIM[PAGO]="S"),Tabela_GM_PEDIDOS_2017_FIM[VALOR_PAGAR]+Tabela_GM_PEDIDOS_2017_FIM[VC_FINANCEIRA]))*F180/1000</f>
        <v>0</v>
      </c>
      <c r="G183" s="47">
        <f t="array" ref="G183">SUM(IF((Tabela_GM_PEDIDOS_2017_FIM[MOEDA]=$E183)*(Tabela_GM_PEDIDOS_2017_FIM[FILIAL]=$D$179)*(Tabela_GM_PEDIDOS_2017_FIM[TIPO_GRUPO]=G$10)*(Tabela_GM_PEDIDOS_2017_FIM[PAGO]="S"),Tabela_GM_PEDIDOS_2017_FIM[VALOR_PAGAR]+Tabela_GM_PEDIDOS_2017_FIM[VC_FINANCEIRA]))*G180/1000</f>
        <v>0</v>
      </c>
      <c r="H183" s="47">
        <f t="array" ref="H183">SUM(IF((Tabela_GM_PEDIDOS_2017_FIM[MOEDA]=$E183)*(Tabela_GM_PEDIDOS_2017_FIM[FILIAL]=$D$179)*(Tabela_GM_PEDIDOS_2017_FIM[TIPO_GRUPO]=H$10)*(Tabela_GM_PEDIDOS_2017_FIM[PAGO]="S"),Tabela_GM_PEDIDOS_2017_FIM[VALOR_PAGAR]+Tabela_GM_PEDIDOS_2017_FIM[VC_FINANCEIRA]))*H180/1000</f>
        <v>0</v>
      </c>
      <c r="I183" s="47">
        <f t="array" ref="I183">SUM(IF((Tabela_GM_PEDIDOS_2017_FIM[MOEDA]=$E183)*(Tabela_GM_PEDIDOS_2017_FIM[FILIAL]=$D$179)*(Tabela_GM_PEDIDOS_2017_FIM[TIPO_GRUPO]=I$10)*(Tabela_GM_PEDIDOS_2017_FIM[PAGO]="S"),Tabela_GM_PEDIDOS_2017_FIM[VALOR_PAGAR]+Tabela_GM_PEDIDOS_2017_FIM[VC_FINANCEIRA]))*I180/1000</f>
        <v>0</v>
      </c>
      <c r="J183" s="47">
        <f t="array" ref="J183">SUM(IF((Tabela_GM_PEDIDOS_2017_FIM[MOEDA]=$E183)*(Tabela_GM_PEDIDOS_2017_FIM[FILIAL]=$D$179)*(Tabela_GM_PEDIDOS_2017_FIM[TIPO_GRUPO]=J$10)*(Tabela_GM_PEDIDOS_2017_FIM[PAGO]="S"),Tabela_GM_PEDIDOS_2017_FIM[VALOR_PAGAR]+Tabela_GM_PEDIDOS_2017_FIM[VC_FINANCEIRA]))*J180/1000</f>
        <v>0</v>
      </c>
      <c r="K183" s="47">
        <f t="array" ref="K183">SUM(IF((Tabela_GM_PEDIDOS_2017_FIM[MOEDA]=$E183)*(Tabela_GM_PEDIDOS_2017_FIM[FILIAL]=$D$179)*(Tabela_GM_PEDIDOS_2017_FIM[TIPO_GRUPO]=K$10)*(Tabela_GM_PEDIDOS_2017_FIM[PAGO]="S"),Tabela_GM_PEDIDOS_2017_FIM[VALOR_PAGAR]+Tabela_GM_PEDIDOS_2017_FIM[VC_FINANCEIRA]))*K180/1000</f>
        <v>0</v>
      </c>
      <c r="L183" s="47">
        <f t="array" ref="L183">SUM(IF((Tabela_GM_PEDIDOS_2017_FIM[MOEDA]=$E183)*(Tabela_GM_PEDIDOS_2017_FIM[FILIAL]=$D$179)*(Tabela_GM_PEDIDOS_2017_FIM[TIPO_GRUPO]=L$10)*(Tabela_GM_PEDIDOS_2017_FIM[PAGO]="S"),Tabela_GM_PEDIDOS_2017_FIM[VALOR_PAGAR]+Tabela_GM_PEDIDOS_2017_FIM[VC_FINANCEIRA]))*L180/1000</f>
        <v>0</v>
      </c>
      <c r="M183" s="47">
        <f t="array" ref="M183">SUM(IF((Tabela_GM_PEDIDOS_2017_FIM[MOEDA]=$E183)*(Tabela_GM_PEDIDOS_2017_FIM[FILIAL]=$D$179)*(Tabela_GM_PEDIDOS_2017_FIM[TIPO_GRUPO]=M$10)*(Tabela_GM_PEDIDOS_2017_FIM[PAGO]="S"),Tabela_GM_PEDIDOS_2017_FIM[VALOR_PAGAR]+Tabela_GM_PEDIDOS_2017_FIM[VC_FINANCEIRA]))*M180/1000</f>
        <v>0</v>
      </c>
      <c r="N183" s="47">
        <f t="array" ref="N183">SUM(IF((Tabela_GM_PEDIDOS_2017_FIM[MOEDA]=$E183)*(Tabela_GM_PEDIDOS_2017_FIM[FILIAL]=$D$179)*(Tabela_GM_PEDIDOS_2017_FIM[TIPO_GRUPO]=N$10)*(Tabela_GM_PEDIDOS_2017_FIM[PAGO]="S"),Tabela_GM_PEDIDOS_2017_FIM[VALOR_PAGAR]+Tabela_GM_PEDIDOS_2017_FIM[VC_FINANCEIRA]))*N180/1000</f>
        <v>0</v>
      </c>
      <c r="O183" s="47">
        <f t="array" ref="O183">SUM(IF((Tabela_GM_PEDIDOS_2017_FIM[MOEDA]=$E183)*(Tabela_GM_PEDIDOS_2017_FIM[FILIAL]=$D$179)*(Tabela_GM_PEDIDOS_2017_FIM[TIPO_GRUPO]=O$10)*(Tabela_GM_PEDIDOS_2017_FIM[PAGO]="S"),Tabela_GM_PEDIDOS_2017_FIM[VALOR_PAGAR]+Tabela_GM_PEDIDOS_2017_FIM[VC_FINANCEIRA]))*O180/1000</f>
        <v>0</v>
      </c>
      <c r="P183" s="47">
        <f t="array" ref="P183">SUM(F183:O183)</f>
        <v>0</v>
      </c>
      <c r="Q183" s="49"/>
    </row>
    <row r="184" spans="1:17" ht="15.75" hidden="1" outlineLevel="1" thickBot="1" x14ac:dyDescent="0.3">
      <c r="A184" s="27"/>
      <c r="B184" s="320"/>
      <c r="C184" s="35"/>
      <c r="D184" s="46" t="s">
        <v>7688</v>
      </c>
      <c r="E184" s="47" t="s">
        <v>16</v>
      </c>
      <c r="F184" s="50">
        <f t="array" ref="F184">SUM(IF((Tabela_GM_PEDIDOS_2017_FIM[MOEDA]=$E184)*(Tabela_GM_PEDIDOS_2017_FIM[FILIAL]=$D$179)*(Tabela_GM_PEDIDOS_2017_FIM[TIPO_GRUPO]=F$10)*(Tabela_GM_PEDIDOS_2017_FIM[PAGO]&lt;&gt;"S"),Tabela_GM_PEDIDOS_2017_FIM[VL_PEDIDO_COMPRA]))*F180/1000</f>
        <v>109.31734621848739</v>
      </c>
      <c r="G184" s="50">
        <f t="array" ref="G184">SUM(IF((Tabela_GM_PEDIDOS_2017_FIM[MOEDA]=$E184)*(Tabela_GM_PEDIDOS_2017_FIM[FILIAL]=$D$179)*(Tabela_GM_PEDIDOS_2017_FIM[TIPO_GRUPO]=G$10)*(Tabela_GM_PEDIDOS_2017_FIM[PAGO]&lt;&gt;"S"),Tabela_GM_PEDIDOS_2017_FIM[VL_PEDIDO_COMPRA]))*G180/1000</f>
        <v>4.0594537815126053</v>
      </c>
      <c r="H184" s="50">
        <f t="array" ref="H184">SUM(IF((Tabela_GM_PEDIDOS_2017_FIM[MOEDA]=$E184)*(Tabela_GM_PEDIDOS_2017_FIM[FILIAL]=$D$179)*(Tabela_GM_PEDIDOS_2017_FIM[TIPO_GRUPO]=H$10)*(Tabela_GM_PEDIDOS_2017_FIM[PAGO]&lt;&gt;"S"),Tabela_GM_PEDIDOS_2017_FIM[VL_PEDIDO_COMPRA]))*H180/1000</f>
        <v>0</v>
      </c>
      <c r="I184" s="50">
        <f t="array" ref="I184">SUM(IF((Tabela_GM_PEDIDOS_2017_FIM[MOEDA]=$E184)*(Tabela_GM_PEDIDOS_2017_FIM[FILIAL]=$D$179)*(Tabela_GM_PEDIDOS_2017_FIM[TIPO_GRUPO]=I$10)*(Tabela_GM_PEDIDOS_2017_FIM[PAGO]&lt;&gt;"S"),Tabela_GM_PEDIDOS_2017_FIM[VL_PEDIDO_COMPRA]))*I180/1000</f>
        <v>0</v>
      </c>
      <c r="J184" s="50">
        <f t="array" ref="J184">SUM(IF((Tabela_GM_PEDIDOS_2017_FIM[MOEDA]=$E184)*(Tabela_GM_PEDIDOS_2017_FIM[FILIAL]=$D$179)*(Tabela_GM_PEDIDOS_2017_FIM[TIPO_GRUPO]=J$10)*(Tabela_GM_PEDIDOS_2017_FIM[PAGO]&lt;&gt;"S"),Tabela_GM_PEDIDOS_2017_FIM[VL_PEDIDO_COMPRA]))*J180/1000</f>
        <v>0</v>
      </c>
      <c r="K184" s="50">
        <f t="array" ref="K184">SUM(IF((Tabela_GM_PEDIDOS_2017_FIM[MOEDA]=$E184)*(Tabela_GM_PEDIDOS_2017_FIM[FILIAL]=$D$179)*(Tabela_GM_PEDIDOS_2017_FIM[TIPO_GRUPO]=K$10)*(Tabela_GM_PEDIDOS_2017_FIM[PAGO]&lt;&gt;"S"),Tabela_GM_PEDIDOS_2017_FIM[VL_PEDIDO_COMPRA]))*K180/1000</f>
        <v>0</v>
      </c>
      <c r="L184" s="50">
        <f t="array" ref="L184">SUM(IF((Tabela_GM_PEDIDOS_2017_FIM[MOEDA]=$E184)*(Tabela_GM_PEDIDOS_2017_FIM[FILIAL]=$D$179)*(Tabela_GM_PEDIDOS_2017_FIM[TIPO_GRUPO]=L$10)*(Tabela_GM_PEDIDOS_2017_FIM[PAGO]&lt;&gt;"S"),Tabela_GM_PEDIDOS_2017_FIM[VL_PEDIDO_COMPRA]))*L180/1000</f>
        <v>0</v>
      </c>
      <c r="M184" s="50">
        <f t="array" ref="M184">SUM(IF((Tabela_GM_PEDIDOS_2017_FIM[MOEDA]=$E184)*(Tabela_GM_PEDIDOS_2017_FIM[FILIAL]=$D$179)*(Tabela_GM_PEDIDOS_2017_FIM[TIPO_GRUPO]=M$10)*(Tabela_GM_PEDIDOS_2017_FIM[PAGO]&lt;&gt;"S"),Tabela_GM_PEDIDOS_2017_FIM[VL_PEDIDO_COMPRA]))*M180/1000</f>
        <v>0</v>
      </c>
      <c r="N184" s="50">
        <f t="array" ref="N184">SUM(IF((Tabela_GM_PEDIDOS_2017_FIM[MOEDA]=$E184)*(Tabela_GM_PEDIDOS_2017_FIM[FILIAL]=$D$179)*(Tabela_GM_PEDIDOS_2017_FIM[TIPO_GRUPO]=N$10)*(Tabela_GM_PEDIDOS_2017_FIM[PAGO]&lt;&gt;"S"),Tabela_GM_PEDIDOS_2017_FIM[VL_PEDIDO_COMPRA]))*N180/1000</f>
        <v>0</v>
      </c>
      <c r="O184" s="50">
        <f t="array" ref="O184">SUM(IF((Tabela_GM_PEDIDOS_2017_FIM[MOEDA]=$E184)*(Tabela_GM_PEDIDOS_2017_FIM[FILIAL]=$D$179)*(Tabela_GM_PEDIDOS_2017_FIM[TIPO_GRUPO]=O$10)*(Tabela_GM_PEDIDOS_2017_FIM[PAGO]&lt;&gt;"S"),Tabela_GM_PEDIDOS_2017_FIM[VL_PEDIDO_COMPRA]))*O180/1000</f>
        <v>0</v>
      </c>
      <c r="P184" s="50">
        <f>SUM(F184:O184)</f>
        <v>113.37679999999999</v>
      </c>
      <c r="Q184" s="48"/>
    </row>
    <row r="185" spans="1:17" ht="15.75" collapsed="1" thickBot="1" x14ac:dyDescent="0.3">
      <c r="A185" s="27"/>
      <c r="B185" s="320"/>
      <c r="C185" s="35"/>
      <c r="D185" s="43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5"/>
    </row>
    <row r="186" spans="1:17" ht="15.75" thickBot="1" x14ac:dyDescent="0.3">
      <c r="A186" s="27"/>
      <c r="B186" s="320"/>
      <c r="C186" s="35"/>
      <c r="D186" s="39" t="s">
        <v>7786</v>
      </c>
      <c r="E186" s="40"/>
      <c r="F186" s="41">
        <f t="array" ref="F186">SUM(IF((ProjecaoAreas!$H$6:$H$46=ResumoCusto!$D$179)*(ProjecaoAreas!$I$6:$I$46=ResumoCusto!$D187),ProjecaoAreas!$L$6:$L$46))</f>
        <v>0.20168067226890757</v>
      </c>
      <c r="G186" s="41">
        <f t="array" ref="G186">SUM(IF((ProjecaoAreas!$H$6:$H$46=ResumoCusto!$D$179)*(ProjecaoAreas!$I$6:$I$46=ResumoCusto!$D187),ProjecaoAreas!$L$6:$L$46))</f>
        <v>0.20168067226890757</v>
      </c>
      <c r="H186" s="41">
        <f t="array" ref="H186">SUM(IF((ProjecaoAreas!$H$6:$H$46=ResumoCusto!$D$179)*(ProjecaoAreas!$I$6:$I$46=ResumoCusto!$D187),ProjecaoAreas!$L$6:$L$46))</f>
        <v>0.20168067226890757</v>
      </c>
      <c r="I186" s="41">
        <f t="array" ref="I186">SUM(IF((ProjecaoAreas!$H$6:$H$46=ResumoCusto!$D$179)*(ProjecaoAreas!$I$6:$I$46=ResumoCusto!$D187),ProjecaoAreas!$L$6:$L$46))</f>
        <v>0.20168067226890757</v>
      </c>
      <c r="J186" s="41">
        <f t="array" ref="J186">SUM(IF((ProjecaoAreas!$H$6:$H$46=ResumoCusto!$D$179)*(ProjecaoAreas!$I$6:$I$46=ResumoCusto!$D187),ProjecaoAreas!$L$6:$L$46))</f>
        <v>0.20168067226890757</v>
      </c>
      <c r="K186" s="41">
        <f t="array" ref="K186">SUM(IF((ProjecaoAreas!$H$6:$H$46=ResumoCusto!$D$179)*(ProjecaoAreas!$I$6:$I$46=ResumoCusto!$D187),ProjecaoAreas!$L$6:$L$46))</f>
        <v>0.20168067226890757</v>
      </c>
      <c r="L186" s="41">
        <f t="array" ref="L186">SUM(IF((ProjecaoAreas!$H$6:$H$46=ResumoCusto!$D$179)*(ProjecaoAreas!$I$6:$I$46=ResumoCusto!$D187),ProjecaoAreas!$L$6:$L$46))</f>
        <v>0.20168067226890757</v>
      </c>
      <c r="M186" s="41">
        <f t="array" ref="M186">SUM(IF((ProjecaoAreas!$H$6:$H$46=ResumoCusto!$D$179)*(ProjecaoAreas!$I$6:$I$46=ResumoCusto!$D187),ProjecaoAreas!$L$6:$L$46))</f>
        <v>0.20168067226890757</v>
      </c>
      <c r="N186" s="41">
        <f t="array" ref="N186">SUM(IF((ProjecaoAreas!$H$6:$H$46=ResumoCusto!$D$179)*(ProjecaoAreas!$I$6:$I$46=ResumoCusto!$D187),ProjecaoAreas!$L$6:$L$46))</f>
        <v>0.20168067226890757</v>
      </c>
      <c r="O186" s="41">
        <f t="array" ref="O186">SUM(IF((ProjecaoAreas!$H$6:$H$46=ResumoCusto!$D$179)*(ProjecaoAreas!$I$6:$I$46=ResumoCusto!$D187),ProjecaoAreas!$L$6:$L$46))</f>
        <v>0.20168067226890757</v>
      </c>
      <c r="P186" s="40"/>
      <c r="Q186" s="42"/>
    </row>
    <row r="187" spans="1:17" ht="15.75" thickBot="1" x14ac:dyDescent="0.3">
      <c r="A187" s="27"/>
      <c r="B187" s="320"/>
      <c r="C187" s="35"/>
      <c r="D187" s="43" t="s">
        <v>7663</v>
      </c>
      <c r="E187" s="44">
        <f t="array" ref="E187">SUM(IF((ProjecaoAreas!$H$6:$H$46=ResumoCusto!$D$179)*(ProjecaoAreas!$I$6:$I$46=ResumoCusto!$D187),ProjecaoAreas!$J$6:$J$46))</f>
        <v>320</v>
      </c>
      <c r="F187" s="44">
        <f>F$179*F186</f>
        <v>173.07781712510925</v>
      </c>
      <c r="G187" s="44">
        <f t="shared" ref="G187" si="67">G$179*G186</f>
        <v>35.599881680672269</v>
      </c>
      <c r="H187" s="44">
        <f t="shared" ref="H187" si="68">H$179*H186</f>
        <v>60.504201680672267</v>
      </c>
      <c r="I187" s="44">
        <f t="shared" ref="I187" si="69">I$179*I186</f>
        <v>10.562466247121677</v>
      </c>
      <c r="J187" s="44">
        <f t="shared" ref="J187" si="70">J$179*J186</f>
        <v>40.336134453781511</v>
      </c>
      <c r="K187" s="44">
        <f t="shared" ref="K187" si="71">K$179*K186</f>
        <v>60.504201680672267</v>
      </c>
      <c r="L187" s="44">
        <f t="shared" ref="L187" si="72">L$179*L186</f>
        <v>6.0504201680672267</v>
      </c>
      <c r="M187" s="44">
        <f t="shared" ref="M187" si="73">M$179*M186</f>
        <v>20.168067226890756</v>
      </c>
      <c r="N187" s="44">
        <f t="shared" ref="N187" si="74">N$179*N186</f>
        <v>33.721008403361346</v>
      </c>
      <c r="O187" s="44">
        <f t="shared" ref="O187" si="75">O$179*O186</f>
        <v>20.168067226890756</v>
      </c>
      <c r="P187" s="44">
        <f>SUM(F187:O187)</f>
        <v>460.69226589323927</v>
      </c>
      <c r="Q187" s="45">
        <f>P187/E187*1000</f>
        <v>1439.6633309163726</v>
      </c>
    </row>
    <row r="188" spans="1:17" ht="15.75" hidden="1" outlineLevel="1" thickBot="1" x14ac:dyDescent="0.3">
      <c r="A188" s="27"/>
      <c r="B188" s="320"/>
      <c r="C188" s="35"/>
      <c r="D188" s="46" t="s">
        <v>7686</v>
      </c>
      <c r="E188" s="47" t="s">
        <v>27</v>
      </c>
      <c r="F188" s="47">
        <f t="array" ref="F188">SUM(IF((Tabela_GM_PEDIDOS_2017_FIM[MOEDA]=$E188)*(Tabela_GM_PEDIDOS_2017_FIM[FILIAL]=$D$179)*(Tabela_GM_PEDIDOS_2017_FIM[TIPO_GRUPO]=F$10),Tabela_GM_PEDIDOS_2017_FIM[VALOR_PAGAR]+Tabela_GM_PEDIDOS_2017_FIM[VC_FINANCEIRA]))*F186/1000</f>
        <v>0</v>
      </c>
      <c r="G188" s="47">
        <f t="array" ref="G188">SUM(IF((Tabela_GM_PEDIDOS_2017_FIM[MOEDA]=$E188)*(Tabela_GM_PEDIDOS_2017_FIM[FILIAL]=$D$179)*(Tabela_GM_PEDIDOS_2017_FIM[TIPO_GRUPO]=G$10),Tabela_GM_PEDIDOS_2017_FIM[VALOR_PAGAR]+Tabela_GM_PEDIDOS_2017_FIM[VC_FINANCEIRA]))*G186/1000</f>
        <v>0</v>
      </c>
      <c r="H188" s="47">
        <f t="array" ref="H188">SUM(IF((Tabela_GM_PEDIDOS_2017_FIM[MOEDA]=$E188)*(Tabela_GM_PEDIDOS_2017_FIM[FILIAL]=$D$179)*(Tabela_GM_PEDIDOS_2017_FIM[TIPO_GRUPO]=H$10),Tabela_GM_PEDIDOS_2017_FIM[VALOR_PAGAR]+Tabela_GM_PEDIDOS_2017_FIM[VC_FINANCEIRA]))*H186/1000</f>
        <v>0</v>
      </c>
      <c r="I188" s="47">
        <f t="array" ref="I188">SUM(IF((Tabela_GM_PEDIDOS_2017_FIM[MOEDA]=$E188)*(Tabela_GM_PEDIDOS_2017_FIM[FILIAL]=$D$179)*(Tabela_GM_PEDIDOS_2017_FIM[TIPO_GRUPO]=I$10),Tabela_GM_PEDIDOS_2017_FIM[VALOR_PAGAR]+Tabela_GM_PEDIDOS_2017_FIM[VC_FINANCEIRA]))*I186/1000</f>
        <v>0</v>
      </c>
      <c r="J188" s="47">
        <f t="array" ref="J188">SUM(IF((Tabela_GM_PEDIDOS_2017_FIM[MOEDA]=$E188)*(Tabela_GM_PEDIDOS_2017_FIM[FILIAL]=$D$179)*(Tabela_GM_PEDIDOS_2017_FIM[TIPO_GRUPO]=J$10),Tabela_GM_PEDIDOS_2017_FIM[VALOR_PAGAR]+Tabela_GM_PEDIDOS_2017_FIM[VC_FINANCEIRA]))*J186/1000</f>
        <v>0</v>
      </c>
      <c r="K188" s="47">
        <f t="array" ref="K188">SUM(IF((Tabela_GM_PEDIDOS_2017_FIM[MOEDA]=$E188)*(Tabela_GM_PEDIDOS_2017_FIM[FILIAL]=$D$179)*(Tabela_GM_PEDIDOS_2017_FIM[TIPO_GRUPO]=K$10),Tabela_GM_PEDIDOS_2017_FIM[VALOR_PAGAR]+Tabela_GM_PEDIDOS_2017_FIM[VC_FINANCEIRA]))*K186/1000</f>
        <v>0</v>
      </c>
      <c r="L188" s="47">
        <f t="array" ref="L188">SUM(IF((Tabela_GM_PEDIDOS_2017_FIM[MOEDA]=$E188)*(Tabela_GM_PEDIDOS_2017_FIM[FILIAL]=$D$179)*(Tabela_GM_PEDIDOS_2017_FIM[TIPO_GRUPO]=L$10),Tabela_GM_PEDIDOS_2017_FIM[VALOR_PAGAR]+Tabela_GM_PEDIDOS_2017_FIM[VC_FINANCEIRA]))*L186/1000</f>
        <v>0</v>
      </c>
      <c r="M188" s="47">
        <f t="array" ref="M188">SUM(IF((Tabela_GM_PEDIDOS_2017_FIM[MOEDA]=$E188)*(Tabela_GM_PEDIDOS_2017_FIM[FILIAL]=$D$179)*(Tabela_GM_PEDIDOS_2017_FIM[TIPO_GRUPO]=M$10),Tabela_GM_PEDIDOS_2017_FIM[VALOR_PAGAR]+Tabela_GM_PEDIDOS_2017_FIM[VC_FINANCEIRA]))*M186/1000</f>
        <v>0</v>
      </c>
      <c r="N188" s="47">
        <f t="array" ref="N188">SUM(IF((Tabela_GM_PEDIDOS_2017_FIM[MOEDA]=$E188)*(Tabela_GM_PEDIDOS_2017_FIM[FILIAL]=$D$179)*(Tabela_GM_PEDIDOS_2017_FIM[TIPO_GRUPO]=N$10),Tabela_GM_PEDIDOS_2017_FIM[VALOR_PAGAR]+Tabela_GM_PEDIDOS_2017_FIM[VC_FINANCEIRA]))*N186/1000</f>
        <v>13.55294117647059</v>
      </c>
      <c r="O188" s="47">
        <f t="array" ref="O188">SUM(IF((Tabela_GM_PEDIDOS_2017_FIM[MOEDA]=$E188)*(Tabela_GM_PEDIDOS_2017_FIM[FILIAL]=$D$179)*(Tabela_GM_PEDIDOS_2017_FIM[TIPO_GRUPO]=O$10),Tabela_GM_PEDIDOS_2017_FIM[VALOR_PAGAR]+Tabela_GM_PEDIDOS_2017_FIM[VC_FINANCEIRA]))*O186/1000</f>
        <v>0</v>
      </c>
      <c r="P188" s="47">
        <f t="array" ref="P188">SUM(F188:O188)</f>
        <v>13.55294117647059</v>
      </c>
      <c r="Q188" s="48"/>
    </row>
    <row r="189" spans="1:17" ht="15.75" hidden="1" outlineLevel="1" thickBot="1" x14ac:dyDescent="0.3">
      <c r="A189" s="27"/>
      <c r="B189" s="320"/>
      <c r="C189" s="35"/>
      <c r="D189" s="46" t="s">
        <v>7687</v>
      </c>
      <c r="E189" s="47" t="s">
        <v>16</v>
      </c>
      <c r="F189" s="47">
        <f t="array" ref="F189">SUM(IF((Tabela_GM_PEDIDOS_2017_FIM[MOEDA]=$E189)*(Tabela_GM_PEDIDOS_2017_FIM[FILIAL]=$D$179)*(Tabela_GM_PEDIDOS_2017_FIM[TIPO_GRUPO]=F$10)*(Tabela_GM_PEDIDOS_2017_FIM[PAGO]="S"),Tabela_GM_PEDIDOS_2017_FIM[VALOR_PAGAR]+Tabela_GM_PEDIDOS_2017_FIM[VC_FINANCEIRA]))*F186/1000</f>
        <v>0</v>
      </c>
      <c r="G189" s="47">
        <f t="array" ref="G189">SUM(IF((Tabela_GM_PEDIDOS_2017_FIM[MOEDA]=$E189)*(Tabela_GM_PEDIDOS_2017_FIM[FILIAL]=$D$179)*(Tabela_GM_PEDIDOS_2017_FIM[TIPO_GRUPO]=G$10)*(Tabela_GM_PEDIDOS_2017_FIM[PAGO]="S"),Tabela_GM_PEDIDOS_2017_FIM[VALOR_PAGAR]+Tabela_GM_PEDIDOS_2017_FIM[VC_FINANCEIRA]))*G186/1000</f>
        <v>0</v>
      </c>
      <c r="H189" s="47">
        <f t="array" ref="H189">SUM(IF((Tabela_GM_PEDIDOS_2017_FIM[MOEDA]=$E189)*(Tabela_GM_PEDIDOS_2017_FIM[FILIAL]=$D$179)*(Tabela_GM_PEDIDOS_2017_FIM[TIPO_GRUPO]=H$10)*(Tabela_GM_PEDIDOS_2017_FIM[PAGO]="S"),Tabela_GM_PEDIDOS_2017_FIM[VALOR_PAGAR]+Tabela_GM_PEDIDOS_2017_FIM[VC_FINANCEIRA]))*H186/1000</f>
        <v>0</v>
      </c>
      <c r="I189" s="47">
        <f t="array" ref="I189">SUM(IF((Tabela_GM_PEDIDOS_2017_FIM[MOEDA]=$E189)*(Tabela_GM_PEDIDOS_2017_FIM[FILIAL]=$D$179)*(Tabela_GM_PEDIDOS_2017_FIM[TIPO_GRUPO]=I$10)*(Tabela_GM_PEDIDOS_2017_FIM[PAGO]="S"),Tabela_GM_PEDIDOS_2017_FIM[VALOR_PAGAR]+Tabela_GM_PEDIDOS_2017_FIM[VC_FINANCEIRA]))*I186/1000</f>
        <v>0</v>
      </c>
      <c r="J189" s="47">
        <f t="array" ref="J189">SUM(IF((Tabela_GM_PEDIDOS_2017_FIM[MOEDA]=$E189)*(Tabela_GM_PEDIDOS_2017_FIM[FILIAL]=$D$179)*(Tabela_GM_PEDIDOS_2017_FIM[TIPO_GRUPO]=J$10)*(Tabela_GM_PEDIDOS_2017_FIM[PAGO]="S"),Tabela_GM_PEDIDOS_2017_FIM[VALOR_PAGAR]+Tabela_GM_PEDIDOS_2017_FIM[VC_FINANCEIRA]))*J186/1000</f>
        <v>0</v>
      </c>
      <c r="K189" s="47">
        <f t="array" ref="K189">SUM(IF((Tabela_GM_PEDIDOS_2017_FIM[MOEDA]=$E189)*(Tabela_GM_PEDIDOS_2017_FIM[FILIAL]=$D$179)*(Tabela_GM_PEDIDOS_2017_FIM[TIPO_GRUPO]=K$10)*(Tabela_GM_PEDIDOS_2017_FIM[PAGO]="S"),Tabela_GM_PEDIDOS_2017_FIM[VALOR_PAGAR]+Tabela_GM_PEDIDOS_2017_FIM[VC_FINANCEIRA]))*K186/1000</f>
        <v>0</v>
      </c>
      <c r="L189" s="47">
        <f t="array" ref="L189">SUM(IF((Tabela_GM_PEDIDOS_2017_FIM[MOEDA]=$E189)*(Tabela_GM_PEDIDOS_2017_FIM[FILIAL]=$D$179)*(Tabela_GM_PEDIDOS_2017_FIM[TIPO_GRUPO]=L$10)*(Tabela_GM_PEDIDOS_2017_FIM[PAGO]="S"),Tabela_GM_PEDIDOS_2017_FIM[VALOR_PAGAR]+Tabela_GM_PEDIDOS_2017_FIM[VC_FINANCEIRA]))*L186/1000</f>
        <v>0</v>
      </c>
      <c r="M189" s="47">
        <f t="array" ref="M189">SUM(IF((Tabela_GM_PEDIDOS_2017_FIM[MOEDA]=$E189)*(Tabela_GM_PEDIDOS_2017_FIM[FILIAL]=$D$179)*(Tabela_GM_PEDIDOS_2017_FIM[TIPO_GRUPO]=M$10)*(Tabela_GM_PEDIDOS_2017_FIM[PAGO]="S"),Tabela_GM_PEDIDOS_2017_FIM[VALOR_PAGAR]+Tabela_GM_PEDIDOS_2017_FIM[VC_FINANCEIRA]))*M186/1000</f>
        <v>0</v>
      </c>
      <c r="N189" s="47">
        <f t="array" ref="N189">SUM(IF((Tabela_GM_PEDIDOS_2017_FIM[MOEDA]=$E189)*(Tabela_GM_PEDIDOS_2017_FIM[FILIAL]=$D$179)*(Tabela_GM_PEDIDOS_2017_FIM[TIPO_GRUPO]=N$10)*(Tabela_GM_PEDIDOS_2017_FIM[PAGO]="S"),Tabela_GM_PEDIDOS_2017_FIM[VALOR_PAGAR]+Tabela_GM_PEDIDOS_2017_FIM[VC_FINANCEIRA]))*N186/1000</f>
        <v>0</v>
      </c>
      <c r="O189" s="47">
        <f t="array" ref="O189">SUM(IF((Tabela_GM_PEDIDOS_2017_FIM[MOEDA]=$E189)*(Tabela_GM_PEDIDOS_2017_FIM[FILIAL]=$D$179)*(Tabela_GM_PEDIDOS_2017_FIM[TIPO_GRUPO]=O$10)*(Tabela_GM_PEDIDOS_2017_FIM[PAGO]="S"),Tabela_GM_PEDIDOS_2017_FIM[VALOR_PAGAR]+Tabela_GM_PEDIDOS_2017_FIM[VC_FINANCEIRA]))*O186/1000</f>
        <v>0</v>
      </c>
      <c r="P189" s="47">
        <f t="array" ref="P189">SUM(F189:O189)</f>
        <v>0</v>
      </c>
      <c r="Q189" s="49"/>
    </row>
    <row r="190" spans="1:17" ht="15.75" hidden="1" outlineLevel="1" thickBot="1" x14ac:dyDescent="0.3">
      <c r="A190" s="27"/>
      <c r="B190" s="320"/>
      <c r="C190" s="35"/>
      <c r="D190" s="46" t="s">
        <v>7688</v>
      </c>
      <c r="E190" s="47" t="s">
        <v>16</v>
      </c>
      <c r="F190" s="50">
        <f t="array" ref="F190">SUM(IF((Tabela_GM_PEDIDOS_2017_FIM[MOEDA]=$E190)*(Tabela_GM_PEDIDOS_2017_FIM[FILIAL]=$D$179)*(Tabela_GM_PEDIDOS_2017_FIM[TIPO_GRUPO]=F$10)*(Tabela_GM_PEDIDOS_2017_FIM[PAGO]&lt;&gt;"S"),Tabela_GM_PEDIDOS_2017_FIM[VL_PEDIDO_COMPRA]))*F186/1000</f>
        <v>27.617013781512604</v>
      </c>
      <c r="G190" s="50">
        <f t="array" ref="G190">SUM(IF((Tabela_GM_PEDIDOS_2017_FIM[MOEDA]=$E190)*(Tabela_GM_PEDIDOS_2017_FIM[FILIAL]=$D$179)*(Tabela_GM_PEDIDOS_2017_FIM[TIPO_GRUPO]=G$10)*(Tabela_GM_PEDIDOS_2017_FIM[PAGO]&lt;&gt;"S"),Tabela_GM_PEDIDOS_2017_FIM[VL_PEDIDO_COMPRA]))*G186/1000</f>
        <v>1.0255462184873949</v>
      </c>
      <c r="H190" s="50">
        <f t="array" ref="H190">SUM(IF((Tabela_GM_PEDIDOS_2017_FIM[MOEDA]=$E190)*(Tabela_GM_PEDIDOS_2017_FIM[FILIAL]=$D$179)*(Tabela_GM_PEDIDOS_2017_FIM[TIPO_GRUPO]=H$10)*(Tabela_GM_PEDIDOS_2017_FIM[PAGO]&lt;&gt;"S"),Tabela_GM_PEDIDOS_2017_FIM[VL_PEDIDO_COMPRA]))*H186/1000</f>
        <v>0</v>
      </c>
      <c r="I190" s="50">
        <f t="array" ref="I190">SUM(IF((Tabela_GM_PEDIDOS_2017_FIM[MOEDA]=$E190)*(Tabela_GM_PEDIDOS_2017_FIM[FILIAL]=$D$179)*(Tabela_GM_PEDIDOS_2017_FIM[TIPO_GRUPO]=I$10)*(Tabela_GM_PEDIDOS_2017_FIM[PAGO]&lt;&gt;"S"),Tabela_GM_PEDIDOS_2017_FIM[VL_PEDIDO_COMPRA]))*I186/1000</f>
        <v>0</v>
      </c>
      <c r="J190" s="50">
        <f t="array" ref="J190">SUM(IF((Tabela_GM_PEDIDOS_2017_FIM[MOEDA]=$E190)*(Tabela_GM_PEDIDOS_2017_FIM[FILIAL]=$D$179)*(Tabela_GM_PEDIDOS_2017_FIM[TIPO_GRUPO]=J$10)*(Tabela_GM_PEDIDOS_2017_FIM[PAGO]&lt;&gt;"S"),Tabela_GM_PEDIDOS_2017_FIM[VL_PEDIDO_COMPRA]))*J186/1000</f>
        <v>0</v>
      </c>
      <c r="K190" s="50">
        <f t="array" ref="K190">SUM(IF((Tabela_GM_PEDIDOS_2017_FIM[MOEDA]=$E190)*(Tabela_GM_PEDIDOS_2017_FIM[FILIAL]=$D$179)*(Tabela_GM_PEDIDOS_2017_FIM[TIPO_GRUPO]=K$10)*(Tabela_GM_PEDIDOS_2017_FIM[PAGO]&lt;&gt;"S"),Tabela_GM_PEDIDOS_2017_FIM[VL_PEDIDO_COMPRA]))*K186/1000</f>
        <v>0</v>
      </c>
      <c r="L190" s="50">
        <f t="array" ref="L190">SUM(IF((Tabela_GM_PEDIDOS_2017_FIM[MOEDA]=$E190)*(Tabela_GM_PEDIDOS_2017_FIM[FILIAL]=$D$179)*(Tabela_GM_PEDIDOS_2017_FIM[TIPO_GRUPO]=L$10)*(Tabela_GM_PEDIDOS_2017_FIM[PAGO]&lt;&gt;"S"),Tabela_GM_PEDIDOS_2017_FIM[VL_PEDIDO_COMPRA]))*L186/1000</f>
        <v>0</v>
      </c>
      <c r="M190" s="50">
        <f t="array" ref="M190">SUM(IF((Tabela_GM_PEDIDOS_2017_FIM[MOEDA]=$E190)*(Tabela_GM_PEDIDOS_2017_FIM[FILIAL]=$D$179)*(Tabela_GM_PEDIDOS_2017_FIM[TIPO_GRUPO]=M$10)*(Tabela_GM_PEDIDOS_2017_FIM[PAGO]&lt;&gt;"S"),Tabela_GM_PEDIDOS_2017_FIM[VL_PEDIDO_COMPRA]))*M186/1000</f>
        <v>0</v>
      </c>
      <c r="N190" s="50">
        <f t="array" ref="N190">SUM(IF((Tabela_GM_PEDIDOS_2017_FIM[MOEDA]=$E190)*(Tabela_GM_PEDIDOS_2017_FIM[FILIAL]=$D$179)*(Tabela_GM_PEDIDOS_2017_FIM[TIPO_GRUPO]=N$10)*(Tabela_GM_PEDIDOS_2017_FIM[PAGO]&lt;&gt;"S"),Tabela_GM_PEDIDOS_2017_FIM[VL_PEDIDO_COMPRA]))*N186/1000</f>
        <v>0</v>
      </c>
      <c r="O190" s="50">
        <f t="array" ref="O190">SUM(IF((Tabela_GM_PEDIDOS_2017_FIM[MOEDA]=$E190)*(Tabela_GM_PEDIDOS_2017_FIM[FILIAL]=$D$179)*(Tabela_GM_PEDIDOS_2017_FIM[TIPO_GRUPO]=O$10)*(Tabela_GM_PEDIDOS_2017_FIM[PAGO]&lt;&gt;"S"),Tabela_GM_PEDIDOS_2017_FIM[VL_PEDIDO_COMPRA]))*O186/1000</f>
        <v>0</v>
      </c>
      <c r="P190" s="50">
        <f>SUM(F190:O190)</f>
        <v>28.64256</v>
      </c>
      <c r="Q190" s="48"/>
    </row>
    <row r="191" spans="1:17" ht="15.75" collapsed="1" thickBot="1" x14ac:dyDescent="0.3">
      <c r="A191" s="27"/>
      <c r="B191" s="60"/>
      <c r="C191" s="35"/>
      <c r="D191" s="27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61"/>
    </row>
    <row r="192" spans="1:17" ht="15.75" thickBot="1" x14ac:dyDescent="0.3">
      <c r="A192" s="27"/>
      <c r="B192" s="62"/>
      <c r="C192" s="63"/>
      <c r="D192" s="79" t="s">
        <v>7690</v>
      </c>
      <c r="E192" s="80">
        <f>E179+E146+E131+E116+E95+E80+E59+E14</f>
        <v>72803</v>
      </c>
      <c r="F192" s="80">
        <f t="shared" ref="F192:P192" si="76">F179+F146+F131+F116+F95+F80+F59+F14</f>
        <v>59073.998395767994</v>
      </c>
      <c r="G192" s="80">
        <f t="shared" si="76"/>
        <v>43331.430485913006</v>
      </c>
      <c r="H192" s="80">
        <f t="shared" si="76"/>
        <v>12620</v>
      </c>
      <c r="I192" s="80">
        <f t="shared" si="76"/>
        <v>10474.02275</v>
      </c>
      <c r="J192" s="80">
        <f t="shared" si="76"/>
        <v>22150</v>
      </c>
      <c r="K192" s="80">
        <f t="shared" si="76"/>
        <v>11381.047500000001</v>
      </c>
      <c r="L192" s="80">
        <f t="shared" si="76"/>
        <v>7358.6574899999996</v>
      </c>
      <c r="M192" s="80">
        <f t="shared" si="76"/>
        <v>4911.0119999999997</v>
      </c>
      <c r="N192" s="80">
        <f t="shared" si="76"/>
        <v>2817.2959599999999</v>
      </c>
      <c r="O192" s="80">
        <f t="shared" si="76"/>
        <v>7828.3023999999996</v>
      </c>
      <c r="P192" s="80">
        <f t="shared" si="76"/>
        <v>181945.76698168099</v>
      </c>
      <c r="Q192" s="81">
        <f>P192/E192*1000</f>
        <v>2499.1520539219673</v>
      </c>
    </row>
    <row r="193" spans="1:17" ht="15.75" thickBot="1" x14ac:dyDescent="0.3">
      <c r="A193" s="27"/>
      <c r="B193" s="27"/>
      <c r="C193" s="64"/>
      <c r="D193" s="27"/>
      <c r="E193" s="65"/>
      <c r="F193" s="65"/>
      <c r="G193" s="65"/>
      <c r="H193" s="65"/>
      <c r="I193" s="65"/>
      <c r="J193" s="65"/>
      <c r="K193" s="66"/>
      <c r="L193" s="65"/>
      <c r="M193" s="65"/>
      <c r="N193" s="65"/>
      <c r="O193" s="65"/>
      <c r="P193" s="65"/>
      <c r="Q193" s="65"/>
    </row>
    <row r="194" spans="1:17" ht="15.75" thickBot="1" x14ac:dyDescent="0.3">
      <c r="A194" s="27"/>
      <c r="B194" s="27"/>
      <c r="C194" s="64"/>
      <c r="D194" s="2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</row>
    <row r="195" spans="1:17" ht="15.75" thickBot="1" x14ac:dyDescent="0.3">
      <c r="A195" s="15"/>
      <c r="B195" s="318" t="s">
        <v>7691</v>
      </c>
      <c r="C195" s="318"/>
      <c r="D195" s="318"/>
      <c r="E195" s="16">
        <v>1</v>
      </c>
      <c r="F195" s="16">
        <v>2</v>
      </c>
      <c r="G195" s="16">
        <v>3</v>
      </c>
      <c r="H195" s="16">
        <v>4</v>
      </c>
      <c r="I195" s="16">
        <v>5</v>
      </c>
      <c r="J195" s="16">
        <v>6</v>
      </c>
      <c r="K195" s="16">
        <v>7</v>
      </c>
      <c r="L195" s="16">
        <v>8</v>
      </c>
      <c r="M195" s="16">
        <v>9</v>
      </c>
      <c r="N195" s="16">
        <v>9</v>
      </c>
      <c r="O195" s="16">
        <v>10</v>
      </c>
      <c r="P195" s="17"/>
      <c r="Q195" s="318" t="s">
        <v>7681</v>
      </c>
    </row>
    <row r="196" spans="1:17" ht="15.75" thickBot="1" x14ac:dyDescent="0.3">
      <c r="A196" s="15"/>
      <c r="B196" s="318"/>
      <c r="C196" s="318"/>
      <c r="D196" s="318"/>
      <c r="E196" s="18" t="s">
        <v>7682</v>
      </c>
      <c r="F196" s="18" t="s">
        <v>20</v>
      </c>
      <c r="G196" s="18" t="s">
        <v>330</v>
      </c>
      <c r="H196" s="18" t="s">
        <v>7692</v>
      </c>
      <c r="I196" s="18" t="s">
        <v>336</v>
      </c>
      <c r="J196" s="18" t="s">
        <v>7675</v>
      </c>
      <c r="K196" s="18" t="s">
        <v>156</v>
      </c>
      <c r="L196" s="18" t="s">
        <v>42</v>
      </c>
      <c r="M196" s="18" t="s">
        <v>211</v>
      </c>
      <c r="N196" s="18" t="s">
        <v>29</v>
      </c>
      <c r="O196" s="18" t="s">
        <v>52</v>
      </c>
      <c r="P196" s="18" t="s">
        <v>7683</v>
      </c>
      <c r="Q196" s="318"/>
    </row>
    <row r="197" spans="1:17" ht="15.75" thickBot="1" x14ac:dyDescent="0.3">
      <c r="A197" s="27"/>
      <c r="B197" s="28"/>
      <c r="C197" s="29"/>
      <c r="D197" s="27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6"/>
    </row>
    <row r="198" spans="1:17" ht="18" customHeight="1" thickBot="1" x14ac:dyDescent="0.3">
      <c r="A198" s="27"/>
      <c r="B198" s="321" t="s">
        <v>7693</v>
      </c>
      <c r="C198" s="35"/>
      <c r="D198" s="69" t="s">
        <v>7659</v>
      </c>
      <c r="E198" s="70">
        <f t="array" ref="E198">SUMIF($D$14:$D$191,$D198,$E$14:$E$191)</f>
        <v>12800</v>
      </c>
      <c r="F198" s="70">
        <f t="array" ref="F198">SUMIF($D$14:$D$191,$D198,F$14:F$191)</f>
        <v>8804.4971374501929</v>
      </c>
      <c r="G198" s="70">
        <f t="array" ref="G198">SUMIF($D$14:$D$191,$D198,G$14:G$191)</f>
        <v>6392.0785461331116</v>
      </c>
      <c r="H198" s="70">
        <f t="array" ref="H198">SUMIF($D$14:$D$191,$D198,H$14:H$191)</f>
        <v>1807.7025899839889</v>
      </c>
      <c r="I198" s="70">
        <f t="array" ref="I198">SUMIF($D$14:$D$191,$D198,I$14:I$191)</f>
        <v>3074.2390711962744</v>
      </c>
      <c r="J198" s="70">
        <f t="array" ref="J198">SUMIF($D$14:$D$191,$D198,J$14:J$191)</f>
        <v>3218.5588354653337</v>
      </c>
      <c r="K198" s="70">
        <f t="array" ref="K198">SUMIF($D$14:$D$191,$D198,K$14:K$191)</f>
        <v>1608.5645557254427</v>
      </c>
      <c r="L198" s="70">
        <f t="array" ref="L198">SUMIF($D$14:$D$191,$D198,L$14:L$191)</f>
        <v>1119.6427407727101</v>
      </c>
      <c r="M198" s="70">
        <f t="array" ref="M198">SUMIF($D$14:$D$191,$D198,M$14:M$191)</f>
        <v>708.94666967285286</v>
      </c>
      <c r="N198" s="70">
        <f t="array" ref="N198">SUMIF($D$14:$D$191,$D198,N$14:N$191)</f>
        <v>339.69605738109954</v>
      </c>
      <c r="O198" s="70">
        <f t="array" ref="O198">SUMIF($D$14:$D$191,$D198,O$14:O$191)</f>
        <v>1204.788821808743</v>
      </c>
      <c r="P198" s="70">
        <f>SUM(F198:O198)</f>
        <v>28278.71502558975</v>
      </c>
      <c r="Q198" s="71">
        <f>P198/E198*1000</f>
        <v>2209.2746113741996</v>
      </c>
    </row>
    <row r="199" spans="1:17" ht="18" customHeight="1" thickBot="1" x14ac:dyDescent="0.3">
      <c r="A199" s="27"/>
      <c r="B199" s="322"/>
      <c r="C199" s="35"/>
      <c r="D199" s="46" t="s">
        <v>7686</v>
      </c>
      <c r="E199" s="47" t="s">
        <v>27</v>
      </c>
      <c r="F199" s="47">
        <f>F41+F68+F155</f>
        <v>1.6396468372556341</v>
      </c>
      <c r="G199" s="47">
        <f t="shared" ref="G199:O199" si="77">G41+G68+G155</f>
        <v>723.37197390151573</v>
      </c>
      <c r="H199" s="47">
        <f t="shared" si="77"/>
        <v>0</v>
      </c>
      <c r="I199" s="47">
        <f t="shared" si="77"/>
        <v>0</v>
      </c>
      <c r="J199" s="47">
        <f t="shared" si="77"/>
        <v>0</v>
      </c>
      <c r="K199" s="47">
        <f t="shared" si="77"/>
        <v>0</v>
      </c>
      <c r="L199" s="47">
        <f t="shared" si="77"/>
        <v>631.13528413653194</v>
      </c>
      <c r="M199" s="47">
        <f t="shared" si="77"/>
        <v>0</v>
      </c>
      <c r="N199" s="47">
        <f t="shared" si="77"/>
        <v>339.69605738109954</v>
      </c>
      <c r="O199" s="47">
        <f t="shared" si="77"/>
        <v>6.215390362345909</v>
      </c>
      <c r="P199" s="47">
        <f>SUM(F199:O199)</f>
        <v>1702.0583526187488</v>
      </c>
      <c r="Q199" s="49"/>
    </row>
    <row r="200" spans="1:17" ht="18" customHeight="1" thickBot="1" x14ac:dyDescent="0.3">
      <c r="A200" s="27"/>
      <c r="B200" s="322"/>
      <c r="C200" s="35"/>
      <c r="D200" s="46" t="s">
        <v>7689</v>
      </c>
      <c r="E200" s="47" t="s">
        <v>16</v>
      </c>
      <c r="F200" s="47">
        <f t="shared" ref="F200:O201" si="78">F42+F69+F156</f>
        <v>0</v>
      </c>
      <c r="G200" s="47">
        <f t="shared" si="78"/>
        <v>998.47798892213518</v>
      </c>
      <c r="H200" s="47">
        <f t="shared" si="78"/>
        <v>0</v>
      </c>
      <c r="I200" s="47">
        <f t="shared" si="78"/>
        <v>0</v>
      </c>
      <c r="J200" s="47">
        <f t="shared" si="78"/>
        <v>0</v>
      </c>
      <c r="K200" s="47">
        <f t="shared" si="78"/>
        <v>0</v>
      </c>
      <c r="L200" s="47">
        <f t="shared" si="78"/>
        <v>0</v>
      </c>
      <c r="M200" s="47">
        <f t="shared" si="78"/>
        <v>0</v>
      </c>
      <c r="N200" s="47">
        <f t="shared" si="78"/>
        <v>0</v>
      </c>
      <c r="O200" s="47">
        <f t="shared" si="78"/>
        <v>0</v>
      </c>
      <c r="P200" s="47">
        <f>SUM(F200:O200)</f>
        <v>998.47798892213518</v>
      </c>
      <c r="Q200" s="49"/>
    </row>
    <row r="201" spans="1:17" ht="18" customHeight="1" thickBot="1" x14ac:dyDescent="0.3">
      <c r="A201" s="27"/>
      <c r="B201" s="322"/>
      <c r="C201" s="35"/>
      <c r="D201" s="46" t="s">
        <v>7688</v>
      </c>
      <c r="E201" s="47" t="s">
        <v>16</v>
      </c>
      <c r="F201" s="50">
        <f t="shared" si="78"/>
        <v>1895.5250196912646</v>
      </c>
      <c r="G201" s="50">
        <f t="shared" si="78"/>
        <v>1300.9149078435516</v>
      </c>
      <c r="H201" s="50">
        <f t="shared" si="78"/>
        <v>0</v>
      </c>
      <c r="I201" s="50">
        <f t="shared" si="78"/>
        <v>0</v>
      </c>
      <c r="J201" s="50">
        <f t="shared" si="78"/>
        <v>0</v>
      </c>
      <c r="K201" s="50">
        <f t="shared" si="78"/>
        <v>0</v>
      </c>
      <c r="L201" s="50">
        <f t="shared" si="78"/>
        <v>0</v>
      </c>
      <c r="M201" s="50">
        <f t="shared" si="78"/>
        <v>0</v>
      </c>
      <c r="N201" s="50">
        <f t="shared" si="78"/>
        <v>0</v>
      </c>
      <c r="O201" s="50">
        <f t="shared" si="78"/>
        <v>0</v>
      </c>
      <c r="P201" s="50">
        <f>SUM(F201:O201)</f>
        <v>3196.439927534816</v>
      </c>
      <c r="Q201" s="49"/>
    </row>
    <row r="202" spans="1:17" ht="15.75" customHeight="1" thickBot="1" x14ac:dyDescent="0.3">
      <c r="A202" s="27"/>
      <c r="B202" s="322"/>
      <c r="C202" s="35"/>
      <c r="D202" s="72"/>
      <c r="E202" s="73"/>
      <c r="F202" s="74">
        <f>F198/$P198</f>
        <v>0.31134714323062052</v>
      </c>
      <c r="G202" s="74">
        <f>G198/$P198</f>
        <v>0.22603850777338513</v>
      </c>
      <c r="H202" s="74">
        <f>H198/$P198</f>
        <v>6.3924495449958638E-2</v>
      </c>
      <c r="I202" s="74">
        <f t="array" ref="I202">I198/$P198</f>
        <v>0.10871212034968203</v>
      </c>
      <c r="J202" s="74">
        <f t="array" ref="J202">J198/$P198</f>
        <v>0.11381559708610596</v>
      </c>
      <c r="K202" s="74">
        <f t="array" ref="K202">K198/$P198</f>
        <v>5.6882519388516531E-2</v>
      </c>
      <c r="L202" s="74">
        <f t="array" ref="L202">L198/$P198</f>
        <v>3.959312648256938E-2</v>
      </c>
      <c r="M202" s="74">
        <f t="array" ref="M202">M198/$P198</f>
        <v>2.5069974679942795E-2</v>
      </c>
      <c r="N202" s="74">
        <f t="array" ref="N202">N198/$P198</f>
        <v>1.2012429032709035E-2</v>
      </c>
      <c r="O202" s="74">
        <f t="array" ref="O202">O198/$P198</f>
        <v>4.260408652650996E-2</v>
      </c>
      <c r="P202" s="74">
        <f t="array" ref="P202">P198/$P198</f>
        <v>1</v>
      </c>
      <c r="Q202" s="75"/>
    </row>
    <row r="203" spans="1:17" ht="18" customHeight="1" thickBot="1" x14ac:dyDescent="0.3">
      <c r="A203" s="27"/>
      <c r="B203" s="322"/>
      <c r="C203" s="35"/>
      <c r="D203" s="69" t="s">
        <v>7660</v>
      </c>
      <c r="E203" s="70">
        <f t="array" ref="E203">(SUMIF($D$14:$D$191,$D203,E$14:E$191))</f>
        <v>23853</v>
      </c>
      <c r="F203" s="70">
        <f t="array" ref="F203">SUMIF($D$14:$D$191,$D203,F$14:F$191)</f>
        <v>17207.509775678296</v>
      </c>
      <c r="G203" s="70">
        <f t="array" ref="G203">SUMIF($D$14:$D$191,$D203,G$14:G$191)</f>
        <v>12884.387915894171</v>
      </c>
      <c r="H203" s="70">
        <f t="array" ref="H203">SUMIF($D$14:$D$191,$D203,H$14:H$191)</f>
        <v>3687.1775785583832</v>
      </c>
      <c r="I203" s="70">
        <f t="array" ref="I203">SUMIF($D$14:$D$191,$D203,I$14:I$191)</f>
        <v>1353.7572445932169</v>
      </c>
      <c r="J203" s="70">
        <f t="array" ref="J203">SUMIF($D$14:$D$191,$D203,J$14:J$191)</f>
        <v>6588.7882476765526</v>
      </c>
      <c r="K203" s="70">
        <f t="array" ref="K203">SUMIF($D$14:$D$191,$D203,K$14:K$191)</f>
        <v>3377.1616984127895</v>
      </c>
      <c r="L203" s="70">
        <f t="array" ref="L203">SUMIF($D$14:$D$191,$D203,L$14:L$191)</f>
        <v>2091.2631126860078</v>
      </c>
      <c r="M203" s="70">
        <f t="array" ref="M203">SUMIF($D$14:$D$191,$D203,M$14:M$191)</f>
        <v>1424.2957520769901</v>
      </c>
      <c r="N203" s="70">
        <f t="array" ref="N203">SUMIF($D$14:$D$191,$D203,N$14:N$191)</f>
        <v>1311.3261931132586</v>
      </c>
      <c r="O203" s="70">
        <f t="array" ref="O203">SUMIF($D$14:$D$191,$D203,O$14:O$191)</f>
        <v>2167.4880964531621</v>
      </c>
      <c r="P203" s="70">
        <f>SUM(F203:O203)</f>
        <v>52093.15561514283</v>
      </c>
      <c r="Q203" s="71">
        <f>P203/E203*1000</f>
        <v>2183.92468935324</v>
      </c>
    </row>
    <row r="204" spans="1:17" ht="18" customHeight="1" thickBot="1" x14ac:dyDescent="0.3">
      <c r="A204" s="27"/>
      <c r="B204" s="322"/>
      <c r="C204" s="35"/>
      <c r="D204" s="46" t="s">
        <v>7686</v>
      </c>
      <c r="E204" s="47" t="s">
        <v>27</v>
      </c>
      <c r="F204" s="47">
        <f>F17+F62+F83+F98+F119+F134+F149+F182</f>
        <v>24.876023628595444</v>
      </c>
      <c r="G204" s="47">
        <f t="shared" ref="G204:O204" si="79">G17+G62+G83+G98+G119+G134+G149+G182</f>
        <v>1776.909952067997</v>
      </c>
      <c r="H204" s="47">
        <f t="shared" si="79"/>
        <v>0</v>
      </c>
      <c r="I204" s="47">
        <f t="shared" si="79"/>
        <v>0</v>
      </c>
      <c r="J204" s="47">
        <f t="shared" si="79"/>
        <v>0</v>
      </c>
      <c r="K204" s="47">
        <f t="shared" si="79"/>
        <v>2.8780404186214366</v>
      </c>
      <c r="L204" s="47">
        <f t="shared" si="79"/>
        <v>963.48198488394564</v>
      </c>
      <c r="M204" s="47">
        <f t="shared" si="79"/>
        <v>6.8422952002887049E-3</v>
      </c>
      <c r="N204" s="47">
        <f t="shared" si="79"/>
        <v>1152.1946891741293</v>
      </c>
      <c r="O204" s="47">
        <f t="shared" si="79"/>
        <v>6.7058411654837506</v>
      </c>
      <c r="P204" s="47">
        <f>SUM(F204:O204)</f>
        <v>3927.0533736339735</v>
      </c>
      <c r="Q204" s="48"/>
    </row>
    <row r="205" spans="1:17" ht="18" customHeight="1" thickBot="1" x14ac:dyDescent="0.3">
      <c r="A205" s="27"/>
      <c r="B205" s="322"/>
      <c r="C205" s="35"/>
      <c r="D205" s="46" t="s">
        <v>7689</v>
      </c>
      <c r="E205" s="47" t="s">
        <v>16</v>
      </c>
      <c r="F205" s="47">
        <f t="shared" ref="F205:O206" si="80">F18+F63+F84+F99+F120+F135+F150+F183</f>
        <v>0</v>
      </c>
      <c r="G205" s="47">
        <f t="shared" si="80"/>
        <v>2275.280990928969</v>
      </c>
      <c r="H205" s="47">
        <f t="shared" si="80"/>
        <v>0</v>
      </c>
      <c r="I205" s="47">
        <f t="shared" si="80"/>
        <v>0</v>
      </c>
      <c r="J205" s="47">
        <f t="shared" si="80"/>
        <v>0</v>
      </c>
      <c r="K205" s="47">
        <f t="shared" si="80"/>
        <v>0</v>
      </c>
      <c r="L205" s="47">
        <f t="shared" si="80"/>
        <v>0</v>
      </c>
      <c r="M205" s="47">
        <f t="shared" si="80"/>
        <v>0</v>
      </c>
      <c r="N205" s="47">
        <f t="shared" si="80"/>
        <v>0</v>
      </c>
      <c r="O205" s="47">
        <f t="shared" si="80"/>
        <v>0</v>
      </c>
      <c r="P205" s="47">
        <f>SUM(F205:O205)</f>
        <v>2275.280990928969</v>
      </c>
      <c r="Q205" s="48"/>
    </row>
    <row r="206" spans="1:17" ht="18" customHeight="1" thickBot="1" x14ac:dyDescent="0.3">
      <c r="A206" s="27"/>
      <c r="B206" s="322"/>
      <c r="C206" s="35"/>
      <c r="D206" s="46" t="s">
        <v>7688</v>
      </c>
      <c r="E206" s="47" t="s">
        <v>16</v>
      </c>
      <c r="F206" s="50">
        <f t="shared" si="80"/>
        <v>3636.4961292280254</v>
      </c>
      <c r="G206" s="50">
        <f t="shared" si="80"/>
        <v>2290.0837306223916</v>
      </c>
      <c r="H206" s="50">
        <f t="shared" si="80"/>
        <v>0</v>
      </c>
      <c r="I206" s="50">
        <f t="shared" si="80"/>
        <v>0</v>
      </c>
      <c r="J206" s="50">
        <f t="shared" si="80"/>
        <v>0</v>
      </c>
      <c r="K206" s="50">
        <f t="shared" si="80"/>
        <v>0</v>
      </c>
      <c r="L206" s="50">
        <f t="shared" si="80"/>
        <v>0</v>
      </c>
      <c r="M206" s="50">
        <f t="shared" si="80"/>
        <v>0</v>
      </c>
      <c r="N206" s="50">
        <f t="shared" si="80"/>
        <v>0</v>
      </c>
      <c r="O206" s="50">
        <f t="shared" si="80"/>
        <v>0</v>
      </c>
      <c r="P206" s="50">
        <f>SUM(F206:O206)</f>
        <v>5926.5798598504171</v>
      </c>
      <c r="Q206" s="48"/>
    </row>
    <row r="207" spans="1:17" ht="19.5" customHeight="1" thickBot="1" x14ac:dyDescent="0.3">
      <c r="A207" s="27"/>
      <c r="B207" s="322"/>
      <c r="C207" s="35"/>
      <c r="D207" s="72"/>
      <c r="E207" s="73"/>
      <c r="F207" s="74">
        <f t="array" ref="F207">F203/$P203</f>
        <v>0.33032189301038017</v>
      </c>
      <c r="G207" s="74">
        <f t="array" ref="G207">G203/$P203</f>
        <v>0.24733360388228889</v>
      </c>
      <c r="H207" s="74">
        <f t="array" ref="H207">H203/$P203</f>
        <v>7.0780461176104426E-2</v>
      </c>
      <c r="I207" s="74">
        <f t="array" ref="I207">I203/$P203</f>
        <v>2.5987238219826649E-2</v>
      </c>
      <c r="J207" s="74">
        <f t="array" ref="J207">J203/$P203</f>
        <v>0.12648088160282758</v>
      </c>
      <c r="K207" s="74">
        <f t="array" ref="K207">K203/$P203</f>
        <v>6.4829278597802797E-2</v>
      </c>
      <c r="L207" s="74">
        <f t="array" ref="L207">L203/$P203</f>
        <v>4.0144680966075007E-2</v>
      </c>
      <c r="M207" s="74">
        <f t="array" ref="M207">M203/$P203</f>
        <v>2.7341322199781751E-2</v>
      </c>
      <c r="N207" s="74">
        <f t="array" ref="N207">N203/$P203</f>
        <v>2.5172715640441493E-2</v>
      </c>
      <c r="O207" s="74">
        <f t="array" ref="O207">O203/$P203</f>
        <v>4.1607924704471166E-2</v>
      </c>
      <c r="P207" s="74">
        <f t="array" ref="P207">P203/$P203</f>
        <v>1</v>
      </c>
      <c r="Q207" s="75"/>
    </row>
    <row r="208" spans="1:17" ht="18" customHeight="1" thickBot="1" x14ac:dyDescent="0.3">
      <c r="A208" s="27"/>
      <c r="B208" s="322"/>
      <c r="C208" s="35"/>
      <c r="D208" s="69" t="s">
        <v>7661</v>
      </c>
      <c r="E208" s="70">
        <f t="array" ref="E208">(SUMIF($D$14:$D$191,$D208,E$14:E$191))</f>
        <v>3500</v>
      </c>
      <c r="F208" s="70">
        <f t="array" ref="F208">SUMIF($D$14:$D$191,$D208,F$14:F$191)</f>
        <v>2401.6661000555141</v>
      </c>
      <c r="G208" s="70">
        <f t="array" ref="G208">SUMIF($D$14:$D$191,$D208,G$14:G$191)</f>
        <v>1861.7486898942968</v>
      </c>
      <c r="H208" s="70">
        <f t="array" ref="H208">SUMIF($D$14:$D$191,$D208,H$14:H$191)</f>
        <v>507.83778551543423</v>
      </c>
      <c r="I208" s="70">
        <f t="array" ref="I208">SUMIF($D$14:$D$191,$D208,I$14:I$191)</f>
        <v>842.2374675102368</v>
      </c>
      <c r="J208" s="70">
        <f t="array" ref="J208">SUMIF($D$14:$D$191,$D208,J$14:J$191)</f>
        <v>992.38171065224446</v>
      </c>
      <c r="K208" s="70">
        <f t="array" ref="K208">SUMIF($D$14:$D$191,$D208,K$14:K$191)</f>
        <v>461.14372499993181</v>
      </c>
      <c r="L208" s="70">
        <f t="array" ref="L208">SUMIF($D$14:$D$191,$D208,L$14:L$191)</f>
        <v>261.23512133979915</v>
      </c>
      <c r="M208" s="70">
        <f t="array" ref="M208">SUMIF($D$14:$D$191,$D208,M$14:M$191)</f>
        <v>198.46570815462346</v>
      </c>
      <c r="N208" s="70">
        <f t="array" ref="N208">SUMIF($D$14:$D$191,$D208,N$14:N$191)</f>
        <v>213.80205671999101</v>
      </c>
      <c r="O208" s="70">
        <f t="array" ref="O208">SUMIF($D$14:$D$191,$D208,O$14:O$191)</f>
        <v>326.24541198476339</v>
      </c>
      <c r="P208" s="70">
        <f>SUM(F208:O208)</f>
        <v>8066.7637768268351</v>
      </c>
      <c r="Q208" s="71">
        <f>P208/E208*1000</f>
        <v>2304.7896505219528</v>
      </c>
    </row>
    <row r="209" spans="1:17" ht="18" customHeight="1" thickBot="1" x14ac:dyDescent="0.3">
      <c r="A209" s="27"/>
      <c r="B209" s="322"/>
      <c r="C209" s="35"/>
      <c r="D209" s="46" t="s">
        <v>7686</v>
      </c>
      <c r="E209" s="47" t="s">
        <v>27</v>
      </c>
      <c r="F209" s="47">
        <f>F47+F173</f>
        <v>0.44717641016062754</v>
      </c>
      <c r="G209" s="47">
        <f t="shared" ref="G209:O209" si="81">G47+G173</f>
        <v>179.19234450877849</v>
      </c>
      <c r="H209" s="47">
        <f t="shared" si="81"/>
        <v>0</v>
      </c>
      <c r="I209" s="47">
        <f t="shared" si="81"/>
        <v>0</v>
      </c>
      <c r="J209" s="47">
        <f t="shared" si="81"/>
        <v>0</v>
      </c>
      <c r="K209" s="47">
        <f t="shared" si="81"/>
        <v>0</v>
      </c>
      <c r="L209" s="47">
        <f t="shared" si="81"/>
        <v>156.16816819200596</v>
      </c>
      <c r="M209" s="47">
        <f t="shared" si="81"/>
        <v>0</v>
      </c>
      <c r="N209" s="47">
        <f t="shared" si="81"/>
        <v>213.80205671999104</v>
      </c>
      <c r="O209" s="47">
        <f t="shared" si="81"/>
        <v>1.6951064624579752</v>
      </c>
      <c r="P209" s="47">
        <f>SUM(F209:O209)</f>
        <v>551.30485229339411</v>
      </c>
      <c r="Q209" s="48"/>
    </row>
    <row r="210" spans="1:17" ht="18" customHeight="1" thickBot="1" x14ac:dyDescent="0.3">
      <c r="A210" s="27"/>
      <c r="B210" s="322"/>
      <c r="C210" s="35"/>
      <c r="D210" s="46" t="s">
        <v>7689</v>
      </c>
      <c r="E210" s="47" t="s">
        <v>16</v>
      </c>
      <c r="F210" s="47">
        <f t="shared" ref="F210:O211" si="82">F48+F174</f>
        <v>0</v>
      </c>
      <c r="G210" s="47">
        <f t="shared" si="82"/>
        <v>325.65885929191353</v>
      </c>
      <c r="H210" s="47">
        <f t="shared" si="82"/>
        <v>0</v>
      </c>
      <c r="I210" s="47">
        <f t="shared" si="82"/>
        <v>0</v>
      </c>
      <c r="J210" s="47">
        <f t="shared" si="82"/>
        <v>0</v>
      </c>
      <c r="K210" s="47">
        <f t="shared" si="82"/>
        <v>0</v>
      </c>
      <c r="L210" s="47">
        <f t="shared" si="82"/>
        <v>0</v>
      </c>
      <c r="M210" s="47">
        <f t="shared" si="82"/>
        <v>0</v>
      </c>
      <c r="N210" s="47">
        <f t="shared" si="82"/>
        <v>0</v>
      </c>
      <c r="O210" s="47">
        <f t="shared" si="82"/>
        <v>0</v>
      </c>
      <c r="P210" s="47">
        <f>SUM(F210:O210)</f>
        <v>325.65885929191353</v>
      </c>
      <c r="Q210" s="48"/>
    </row>
    <row r="211" spans="1:17" ht="18" customHeight="1" thickBot="1" x14ac:dyDescent="0.3">
      <c r="A211" s="27"/>
      <c r="B211" s="322"/>
      <c r="C211" s="35"/>
      <c r="D211" s="46" t="s">
        <v>7688</v>
      </c>
      <c r="E211" s="47" t="s">
        <v>16</v>
      </c>
      <c r="F211" s="50">
        <f t="shared" si="82"/>
        <v>556.61878814938825</v>
      </c>
      <c r="G211" s="50">
        <f t="shared" si="82"/>
        <v>381.05470911277195</v>
      </c>
      <c r="H211" s="50">
        <f t="shared" si="82"/>
        <v>0</v>
      </c>
      <c r="I211" s="50">
        <f t="shared" si="82"/>
        <v>0</v>
      </c>
      <c r="J211" s="50">
        <f t="shared" si="82"/>
        <v>0</v>
      </c>
      <c r="K211" s="50">
        <f t="shared" si="82"/>
        <v>0</v>
      </c>
      <c r="L211" s="50">
        <f t="shared" si="82"/>
        <v>0</v>
      </c>
      <c r="M211" s="50">
        <f t="shared" si="82"/>
        <v>0</v>
      </c>
      <c r="N211" s="50">
        <f t="shared" si="82"/>
        <v>0</v>
      </c>
      <c r="O211" s="50">
        <f t="shared" si="82"/>
        <v>0</v>
      </c>
      <c r="P211" s="50">
        <f>SUM(F211:O211)</f>
        <v>937.67349726216025</v>
      </c>
      <c r="Q211" s="48"/>
    </row>
    <row r="212" spans="1:17" ht="18.75" customHeight="1" thickBot="1" x14ac:dyDescent="0.3">
      <c r="A212" s="27"/>
      <c r="B212" s="322"/>
      <c r="C212" s="35"/>
      <c r="D212" s="72"/>
      <c r="E212" s="73"/>
      <c r="F212" s="74">
        <f t="array" ref="F212">F208/$P208</f>
        <v>0.2977236183554442</v>
      </c>
      <c r="G212" s="74">
        <f t="array" ref="G212">G208/$P208</f>
        <v>0.23079251375161</v>
      </c>
      <c r="H212" s="74">
        <f t="array" ref="H212">H208/$P208</f>
        <v>6.2954339505302673E-2</v>
      </c>
      <c r="I212" s="74">
        <f t="array" ref="I212">I208/$P208</f>
        <v>0.10440834649574203</v>
      </c>
      <c r="J212" s="74">
        <f t="array" ref="J212">J208/$P208</f>
        <v>0.12302104513126211</v>
      </c>
      <c r="K212" s="74">
        <f t="array" ref="K212">K208/$P208</f>
        <v>5.7165889290652888E-2</v>
      </c>
      <c r="L212" s="74">
        <f t="array" ref="L212">L208/$P208</f>
        <v>3.2384129319646363E-2</v>
      </c>
      <c r="M212" s="74">
        <f t="array" ref="M212">M208/$P208</f>
        <v>2.4602890780656091E-2</v>
      </c>
      <c r="N212" s="74">
        <f t="array" ref="N212">N208/$P208</f>
        <v>2.6504068128804535E-2</v>
      </c>
      <c r="O212" s="74">
        <f t="array" ref="O212">O208/$P208</f>
        <v>4.0443159240879149E-2</v>
      </c>
      <c r="P212" s="74">
        <f t="array" ref="P212">P208/$P208</f>
        <v>1</v>
      </c>
      <c r="Q212" s="76"/>
    </row>
    <row r="213" spans="1:17" ht="18" customHeight="1" thickBot="1" x14ac:dyDescent="0.3">
      <c r="A213" s="27"/>
      <c r="B213" s="322"/>
      <c r="C213" s="35"/>
      <c r="D213" s="69" t="s">
        <v>7662</v>
      </c>
      <c r="E213" s="70">
        <f t="array" ref="E213">(SUMIF($D$14:$D$191,$D213,E$14:E$191))</f>
        <v>1000</v>
      </c>
      <c r="F213" s="70">
        <f t="array" ref="F213">SUMIF($D$14:$D$191,$D213,F$14:F$191)</f>
        <v>669.21537133840741</v>
      </c>
      <c r="G213" s="70">
        <f t="array" ref="G213">SUMIF($D$14:$D$191,$D213,G$14:G$191)</f>
        <v>458.88847490038603</v>
      </c>
      <c r="H213" s="70">
        <f t="array" ref="H213">SUMIF($D$14:$D$191,$D213,H$14:H$191)</f>
        <v>140.08218154650729</v>
      </c>
      <c r="I213" s="70">
        <f t="array" ref="I213">SUMIF($D$14:$D$191,$D213,I$14:I$191)</f>
        <v>268.09973103238332</v>
      </c>
      <c r="J213" s="70">
        <f t="array" ref="J213">SUMIF($D$14:$D$191,$D213,J$14:J$191)</f>
        <v>233.47030257751214</v>
      </c>
      <c r="K213" s="70">
        <f t="array" ref="K213">SUMIF($D$14:$D$191,$D213,K$14:K$191)</f>
        <v>124.51749470800648</v>
      </c>
      <c r="L213" s="70">
        <f t="array" ref="L213">SUMIF($D$14:$D$191,$D213,L$14:L$191)</f>
        <v>83.185429741003617</v>
      </c>
      <c r="M213" s="70">
        <f t="array" ref="M213">SUMIF($D$14:$D$191,$D213,M$14:M$191)</f>
        <v>54.476403934752838</v>
      </c>
      <c r="N213" s="70">
        <f t="array" ref="N213">SUMIF($D$14:$D$191,$D213,N$14:N$191)</f>
        <v>4.5033619723571165</v>
      </c>
      <c r="O213" s="70">
        <f t="array" ref="O213">SUMIF($D$14:$D$191,$D213,O$14:O$191)</f>
        <v>89.283750466940603</v>
      </c>
      <c r="P213" s="70">
        <f>SUM(F213:O213)</f>
        <v>2125.722502218257</v>
      </c>
      <c r="Q213" s="71">
        <f>P213/E213*1000</f>
        <v>2125.722502218257</v>
      </c>
    </row>
    <row r="214" spans="1:17" ht="15.75" thickBot="1" x14ac:dyDescent="0.3">
      <c r="A214" s="27"/>
      <c r="B214" s="322"/>
      <c r="C214" s="35"/>
      <c r="D214" s="46" t="s">
        <v>7686</v>
      </c>
      <c r="E214" s="47" t="s">
        <v>27</v>
      </c>
      <c r="F214" s="47">
        <f>F29</f>
        <v>0.14905880338687585</v>
      </c>
      <c r="G214" s="47">
        <f t="shared" ref="G214:O214" si="83">G29</f>
        <v>59.730781502926163</v>
      </c>
      <c r="H214" s="47">
        <f t="shared" si="83"/>
        <v>0</v>
      </c>
      <c r="I214" s="47">
        <f t="shared" si="83"/>
        <v>0</v>
      </c>
      <c r="J214" s="47">
        <f t="shared" si="83"/>
        <v>0</v>
      </c>
      <c r="K214" s="47">
        <f t="shared" si="83"/>
        <v>0</v>
      </c>
      <c r="L214" s="47">
        <f t="shared" si="83"/>
        <v>52.056056064002</v>
      </c>
      <c r="M214" s="47">
        <f t="shared" si="83"/>
        <v>0</v>
      </c>
      <c r="N214" s="47">
        <f t="shared" si="83"/>
        <v>4.5033619723571165</v>
      </c>
      <c r="O214" s="47">
        <f t="shared" si="83"/>
        <v>0.56503548748599175</v>
      </c>
      <c r="P214" s="47">
        <f>SUM(F214:O214)</f>
        <v>117.00429383015815</v>
      </c>
      <c r="Q214" s="48"/>
    </row>
    <row r="215" spans="1:17" ht="15.75" thickBot="1" x14ac:dyDescent="0.3">
      <c r="A215" s="27"/>
      <c r="B215" s="322"/>
      <c r="C215" s="35"/>
      <c r="D215" s="46" t="s">
        <v>7689</v>
      </c>
      <c r="E215" s="47" t="s">
        <v>16</v>
      </c>
      <c r="F215" s="47">
        <f t="shared" ref="F215:O216" si="84">F30</f>
        <v>0</v>
      </c>
      <c r="G215" s="47">
        <f t="shared" si="84"/>
        <v>62.56344555472544</v>
      </c>
      <c r="H215" s="47">
        <f t="shared" si="84"/>
        <v>0</v>
      </c>
      <c r="I215" s="47">
        <f t="shared" si="84"/>
        <v>0</v>
      </c>
      <c r="J215" s="47">
        <f t="shared" si="84"/>
        <v>0</v>
      </c>
      <c r="K215" s="47">
        <f t="shared" si="84"/>
        <v>0</v>
      </c>
      <c r="L215" s="47">
        <f t="shared" si="84"/>
        <v>0</v>
      </c>
      <c r="M215" s="47">
        <f t="shared" si="84"/>
        <v>0</v>
      </c>
      <c r="N215" s="47">
        <f t="shared" si="84"/>
        <v>0</v>
      </c>
      <c r="O215" s="47">
        <f t="shared" si="84"/>
        <v>0</v>
      </c>
      <c r="P215" s="47">
        <f>SUM(F215:O215)</f>
        <v>62.56344555472544</v>
      </c>
      <c r="Q215" s="48"/>
    </row>
    <row r="216" spans="1:17" ht="15.75" thickBot="1" x14ac:dyDescent="0.3">
      <c r="A216" s="27"/>
      <c r="B216" s="322"/>
      <c r="C216" s="35"/>
      <c r="D216" s="46" t="s">
        <v>7688</v>
      </c>
      <c r="E216" s="47" t="s">
        <v>16</v>
      </c>
      <c r="F216" s="50">
        <f t="shared" si="84"/>
        <v>145.83999750965009</v>
      </c>
      <c r="G216" s="50">
        <f t="shared" si="84"/>
        <v>93.945788195741514</v>
      </c>
      <c r="H216" s="50">
        <f t="shared" si="84"/>
        <v>0</v>
      </c>
      <c r="I216" s="50">
        <f t="shared" si="84"/>
        <v>0</v>
      </c>
      <c r="J216" s="50">
        <f t="shared" si="84"/>
        <v>0</v>
      </c>
      <c r="K216" s="50">
        <f t="shared" si="84"/>
        <v>0</v>
      </c>
      <c r="L216" s="50">
        <f t="shared" si="84"/>
        <v>0</v>
      </c>
      <c r="M216" s="50">
        <f t="shared" si="84"/>
        <v>0</v>
      </c>
      <c r="N216" s="50">
        <f t="shared" si="84"/>
        <v>0</v>
      </c>
      <c r="O216" s="50">
        <f t="shared" si="84"/>
        <v>0</v>
      </c>
      <c r="P216" s="50">
        <f>SUM(F216:O216)</f>
        <v>239.78578570539162</v>
      </c>
      <c r="Q216" s="48"/>
    </row>
    <row r="217" spans="1:17" ht="15.75" thickBot="1" x14ac:dyDescent="0.3">
      <c r="A217" s="27"/>
      <c r="B217" s="322"/>
      <c r="C217" s="35"/>
      <c r="D217" s="72"/>
      <c r="E217" s="73"/>
      <c r="F217" s="74">
        <f t="array" ref="F217">F213/$P213</f>
        <v>0.3148178422348451</v>
      </c>
      <c r="G217" s="74">
        <f t="array" ref="G217">G213/$P213</f>
        <v>0.21587412017397462</v>
      </c>
      <c r="H217" s="74">
        <f t="array" ref="H217">H213/$P213</f>
        <v>6.5898621010186995E-2</v>
      </c>
      <c r="I217" s="74">
        <f t="array" ref="I217">I213/$P213</f>
        <v>0.12612169780044807</v>
      </c>
      <c r="J217" s="74">
        <f t="array" ref="J217">J213/$P213</f>
        <v>0.10983103501697832</v>
      </c>
      <c r="K217" s="74">
        <f t="array" ref="K217">K213/$P213</f>
        <v>5.8576552009055101E-2</v>
      </c>
      <c r="L217" s="74">
        <f t="array" ref="L217">L213/$P213</f>
        <v>3.9132779398156181E-2</v>
      </c>
      <c r="M217" s="74">
        <f t="array" ref="M217">M213/$P213</f>
        <v>2.5627241503961607E-2</v>
      </c>
      <c r="N217" s="74">
        <f t="array" ref="N217">N213/$P213</f>
        <v>2.1185088682354916E-3</v>
      </c>
      <c r="O217" s="74">
        <f t="array" ref="O217">O213/$P213</f>
        <v>4.2001601984158449E-2</v>
      </c>
      <c r="P217" s="74">
        <f t="array" ref="P217">P213/$P213</f>
        <v>1</v>
      </c>
      <c r="Q217" s="76"/>
    </row>
    <row r="218" spans="1:17" ht="15.75" thickBot="1" x14ac:dyDescent="0.3">
      <c r="A218" s="27"/>
      <c r="B218" s="322"/>
      <c r="C218" s="35"/>
      <c r="D218" s="69" t="s">
        <v>7663</v>
      </c>
      <c r="E218" s="70">
        <f t="array" ref="E218">(SUMIF($D$14:$D$191,$D218,E$14:E$191))</f>
        <v>22460</v>
      </c>
      <c r="F218" s="70">
        <f t="array" ref="F218">SUMIF($D$14:$D$191,$D218,F$14:F$191)</f>
        <v>9498.6751147222349</v>
      </c>
      <c r="G218" s="70">
        <f t="array" ref="G218">SUMIF($D$14:$D$191,$D218,G$14:G$191)</f>
        <v>7521.2602377025351</v>
      </c>
      <c r="H218" s="70">
        <f t="array" ref="H218">SUMIF($D$14:$D$191,$D218,H$14:H$191)</f>
        <v>2007.8969272526761</v>
      </c>
      <c r="I218" s="70">
        <f t="array" ref="I218">SUMIF($D$14:$D$191,$D218,I$14:I$191)</f>
        <v>2314.0250520343616</v>
      </c>
      <c r="J218" s="70">
        <f t="array" ref="J218">SUMIF($D$14:$D$191,$D218,J$14:J$191)</f>
        <v>3703.9084850227705</v>
      </c>
      <c r="K218" s="70">
        <f t="array" ref="K218">SUMIF($D$14:$D$191,$D218,K$14:K$191)</f>
        <v>1831.1941366058677</v>
      </c>
      <c r="L218" s="70">
        <f t="array" ref="L218">SUMIF($D$14:$D$191,$D218,L$14:L$191)</f>
        <v>1284.0356917893985</v>
      </c>
      <c r="M218" s="70">
        <f t="array" ref="M218">SUMIF($D$14:$D$191,$D218,M$14:M$191)</f>
        <v>778.44655732255444</v>
      </c>
      <c r="N218" s="70">
        <f t="array" ref="N218">SUMIF($D$14:$D$191,$D218,N$14:N$191)</f>
        <v>651.98580941026694</v>
      </c>
      <c r="O218" s="70">
        <f t="array" ref="O218">SUMIF($D$14:$D$191,$D218,O$14:O$191)</f>
        <v>1302.1171097561669</v>
      </c>
      <c r="P218" s="70">
        <f>SUM(F218:O218)</f>
        <v>30893.545121618834</v>
      </c>
      <c r="Q218" s="71">
        <f>P218/E218*1000</f>
        <v>1375.4917685493692</v>
      </c>
    </row>
    <row r="219" spans="1:17" ht="15.75" thickBot="1" x14ac:dyDescent="0.3">
      <c r="A219" s="27"/>
      <c r="B219" s="322"/>
      <c r="C219" s="35"/>
      <c r="D219" s="46" t="s">
        <v>7686</v>
      </c>
      <c r="E219" s="47" t="s">
        <v>27</v>
      </c>
      <c r="F219" s="47">
        <f>F23+F74+F89+F104+F125+F140+F161+F188</f>
        <v>14.937419634385508</v>
      </c>
      <c r="G219" s="47">
        <f t="shared" ref="G219:O219" si="85">G23+G74+G89+G104+G125+G140+G161+G188</f>
        <v>1096.4405122604712</v>
      </c>
      <c r="H219" s="47">
        <f t="shared" si="85"/>
        <v>0</v>
      </c>
      <c r="I219" s="47">
        <f t="shared" si="85"/>
        <v>0</v>
      </c>
      <c r="J219" s="47">
        <f t="shared" si="85"/>
        <v>0</v>
      </c>
      <c r="K219" s="47">
        <f t="shared" si="85"/>
        <v>0.39345362684951285</v>
      </c>
      <c r="L219" s="47">
        <f t="shared" si="85"/>
        <v>604.7642247119345</v>
      </c>
      <c r="M219" s="47">
        <f t="shared" si="85"/>
        <v>9.3540238181162041E-4</v>
      </c>
      <c r="N219" s="47">
        <f t="shared" si="85"/>
        <v>592.11731334939623</v>
      </c>
      <c r="O219" s="47">
        <f t="shared" si="85"/>
        <v>4.0682555098991413</v>
      </c>
      <c r="P219" s="47">
        <f>SUM(F219:O219)</f>
        <v>2312.7221144953182</v>
      </c>
      <c r="Q219" s="48"/>
    </row>
    <row r="220" spans="1:17" ht="15.75" thickBot="1" x14ac:dyDescent="0.3">
      <c r="A220" s="27"/>
      <c r="B220" s="322"/>
      <c r="C220" s="35"/>
      <c r="D220" s="46" t="s">
        <v>7689</v>
      </c>
      <c r="E220" s="47" t="s">
        <v>16</v>
      </c>
      <c r="F220" s="47">
        <f t="shared" ref="F220:O221" si="86">F24+F75+F90+F105+F126+F141+F162+F189</f>
        <v>0</v>
      </c>
      <c r="G220" s="47">
        <f t="shared" si="86"/>
        <v>1333.4303864898402</v>
      </c>
      <c r="H220" s="47">
        <f t="shared" si="86"/>
        <v>0</v>
      </c>
      <c r="I220" s="47">
        <f t="shared" si="86"/>
        <v>0</v>
      </c>
      <c r="J220" s="47">
        <f t="shared" si="86"/>
        <v>0</v>
      </c>
      <c r="K220" s="47">
        <f t="shared" si="86"/>
        <v>0</v>
      </c>
      <c r="L220" s="47">
        <f t="shared" si="86"/>
        <v>0</v>
      </c>
      <c r="M220" s="47">
        <f t="shared" si="86"/>
        <v>0</v>
      </c>
      <c r="N220" s="47">
        <f t="shared" si="86"/>
        <v>0</v>
      </c>
      <c r="O220" s="47">
        <f t="shared" si="86"/>
        <v>0</v>
      </c>
      <c r="P220" s="47">
        <f>SUM(F220:O220)</f>
        <v>1333.4303864898402</v>
      </c>
      <c r="Q220" s="48"/>
    </row>
    <row r="221" spans="1:17" ht="15.75" thickBot="1" x14ac:dyDescent="0.3">
      <c r="A221" s="27"/>
      <c r="B221" s="322"/>
      <c r="C221" s="35"/>
      <c r="D221" s="46" t="s">
        <v>7688</v>
      </c>
      <c r="E221" s="47" t="s">
        <v>16</v>
      </c>
      <c r="F221" s="47">
        <f t="shared" si="86"/>
        <v>1958.7489838651031</v>
      </c>
      <c r="G221" s="47">
        <f t="shared" si="86"/>
        <v>1372.032378083904</v>
      </c>
      <c r="H221" s="47">
        <f t="shared" si="86"/>
        <v>0</v>
      </c>
      <c r="I221" s="47">
        <f t="shared" si="86"/>
        <v>0</v>
      </c>
      <c r="J221" s="47">
        <f t="shared" si="86"/>
        <v>0</v>
      </c>
      <c r="K221" s="47">
        <f t="shared" si="86"/>
        <v>0</v>
      </c>
      <c r="L221" s="47">
        <f t="shared" si="86"/>
        <v>0</v>
      </c>
      <c r="M221" s="47">
        <f t="shared" si="86"/>
        <v>0</v>
      </c>
      <c r="N221" s="47">
        <f t="shared" si="86"/>
        <v>0</v>
      </c>
      <c r="O221" s="47">
        <f t="shared" si="86"/>
        <v>0</v>
      </c>
      <c r="P221" s="50">
        <f>SUM(F221:O221)</f>
        <v>3330.7813619490071</v>
      </c>
      <c r="Q221" s="48"/>
    </row>
    <row r="222" spans="1:17" ht="15.75" thickBot="1" x14ac:dyDescent="0.3">
      <c r="A222" s="27"/>
      <c r="B222" s="322"/>
      <c r="C222" s="35"/>
      <c r="D222" s="72"/>
      <c r="E222" s="73"/>
      <c r="F222" s="74">
        <f t="array" ref="F222">F218/$P218</f>
        <v>0.30746471721936525</v>
      </c>
      <c r="G222" s="74">
        <f t="array" ref="G222">G218/$P218</f>
        <v>0.24345733738531908</v>
      </c>
      <c r="H222" s="74">
        <f t="array" ref="H222">H218/$P218</f>
        <v>6.4994060064915635E-2</v>
      </c>
      <c r="I222" s="74">
        <f t="array" ref="I222">I218/$P218</f>
        <v>7.4903189094185307E-2</v>
      </c>
      <c r="J222" s="74">
        <f t="array" ref="J222">J218/$P218</f>
        <v>0.1198926335725333</v>
      </c>
      <c r="K222" s="74">
        <f t="array" ref="K222">K218/$P218</f>
        <v>5.927432832318185E-2</v>
      </c>
      <c r="L222" s="74">
        <f t="array" ref="L222">L218/$P218</f>
        <v>4.1563235515203134E-2</v>
      </c>
      <c r="M222" s="74">
        <f t="array" ref="M222">M218/$P218</f>
        <v>2.5197708914857082E-2</v>
      </c>
      <c r="N222" s="74">
        <f t="array" ref="N222">N218/$P218</f>
        <v>2.1104272974939907E-2</v>
      </c>
      <c r="O222" s="74">
        <f t="array" ref="O222">O218/$P218</f>
        <v>4.2148516935499418E-2</v>
      </c>
      <c r="P222" s="74">
        <f t="array" ref="P222">P218/$P218</f>
        <v>1</v>
      </c>
      <c r="Q222" s="76"/>
    </row>
    <row r="223" spans="1:17" ht="15.75" thickBot="1" x14ac:dyDescent="0.3">
      <c r="A223" s="27"/>
      <c r="B223" s="322"/>
      <c r="C223" s="35"/>
      <c r="D223" s="69" t="s">
        <v>7665</v>
      </c>
      <c r="E223" s="70">
        <f t="array" ref="E223">(SUMIF($D$14:$D$191,$D223,E$14:E$191))</f>
        <v>8000</v>
      </c>
      <c r="F223" s="70">
        <f t="array" ref="F223">SUMIF($D$14:$D$191,$D223,F$14:F$191)</f>
        <v>20076.46114015222</v>
      </c>
      <c r="G223" s="70">
        <f t="array" ref="G223">SUMIF($D$14:$D$191,$D223,G$14:G$191)</f>
        <v>13766.654247011582</v>
      </c>
      <c r="H223" s="70">
        <f t="array" ref="H223">SUMIF($D$14:$D$191,$D223,H$14:H$191)</f>
        <v>4202.4654463952184</v>
      </c>
      <c r="I223" s="70">
        <f t="array" ref="I223">SUMIF($D$14:$D$191,$D223,I$14:I$191)</f>
        <v>7360</v>
      </c>
      <c r="J223" s="70">
        <f t="array" ref="J223">SUMIF($D$14:$D$191,$D223,J$14:J$191)</f>
        <v>7004.1090773253645</v>
      </c>
      <c r="K223" s="70">
        <f t="array" ref="K223">SUMIF($D$14:$D$191,$D223,K$14:K$191)</f>
        <v>3735.5248412401943</v>
      </c>
      <c r="L223" s="70">
        <f t="array" ref="L223">SUMIF($D$14:$D$191,$D223,L$14:L$191)</f>
        <v>2495.562892230108</v>
      </c>
      <c r="M223" s="70">
        <f t="array" ref="M223">SUMIF($D$14:$D$191,$D223,M$14:M$191)</f>
        <v>1634.2921180425849</v>
      </c>
      <c r="N223" s="70">
        <f t="array" ref="N223">SUMIF($D$14:$D$191,$D223,N$14:N$191)</f>
        <v>135.10085917071348</v>
      </c>
      <c r="O223" s="70">
        <f t="array" ref="O223">SUMIF($D$14:$D$191,$D223,O$14:O$191)</f>
        <v>2678.5125140082177</v>
      </c>
      <c r="P223" s="70">
        <f>SUM(F223:O223)</f>
        <v>63088.683135576204</v>
      </c>
      <c r="Q223" s="71">
        <f>P223/E223*1000</f>
        <v>7886.0853919470255</v>
      </c>
    </row>
    <row r="224" spans="1:17" ht="15.75" thickBot="1" x14ac:dyDescent="0.3">
      <c r="A224" s="27"/>
      <c r="B224" s="322"/>
      <c r="C224" s="35"/>
      <c r="D224" s="46" t="s">
        <v>7686</v>
      </c>
      <c r="E224" s="47" t="s">
        <v>27</v>
      </c>
      <c r="F224" s="47">
        <f>F35</f>
        <v>4.4717641016062757</v>
      </c>
      <c r="G224" s="47">
        <f t="shared" ref="G224:O224" si="87">G35</f>
        <v>1791.923445087785</v>
      </c>
      <c r="H224" s="47">
        <f t="shared" si="87"/>
        <v>0</v>
      </c>
      <c r="I224" s="47">
        <f t="shared" si="87"/>
        <v>0</v>
      </c>
      <c r="J224" s="47">
        <f t="shared" si="87"/>
        <v>0</v>
      </c>
      <c r="K224" s="47">
        <f t="shared" si="87"/>
        <v>0</v>
      </c>
      <c r="L224" s="47">
        <f t="shared" si="87"/>
        <v>1561.6816819200599</v>
      </c>
      <c r="M224" s="47">
        <f t="shared" si="87"/>
        <v>0</v>
      </c>
      <c r="N224" s="47">
        <f t="shared" si="87"/>
        <v>135.10085917071348</v>
      </c>
      <c r="O224" s="47">
        <f t="shared" si="87"/>
        <v>16.951064624579754</v>
      </c>
      <c r="P224" s="47">
        <f>SUM(F224:O224)</f>
        <v>3510.1288149047446</v>
      </c>
      <c r="Q224" s="48"/>
    </row>
    <row r="225" spans="1:17" ht="15.75" thickBot="1" x14ac:dyDescent="0.3">
      <c r="A225" s="27"/>
      <c r="B225" s="322"/>
      <c r="C225" s="35"/>
      <c r="D225" s="46" t="s">
        <v>7689</v>
      </c>
      <c r="E225" s="47" t="s">
        <v>16</v>
      </c>
      <c r="F225" s="47">
        <f t="shared" ref="F225:O226" si="88">F36</f>
        <v>0</v>
      </c>
      <c r="G225" s="47">
        <f t="shared" si="88"/>
        <v>1876.9033666417631</v>
      </c>
      <c r="H225" s="47">
        <f t="shared" si="88"/>
        <v>0</v>
      </c>
      <c r="I225" s="47">
        <f t="shared" si="88"/>
        <v>0</v>
      </c>
      <c r="J225" s="47">
        <f t="shared" si="88"/>
        <v>0</v>
      </c>
      <c r="K225" s="47">
        <f t="shared" si="88"/>
        <v>0</v>
      </c>
      <c r="L225" s="47">
        <f t="shared" si="88"/>
        <v>0</v>
      </c>
      <c r="M225" s="47">
        <f t="shared" si="88"/>
        <v>0</v>
      </c>
      <c r="N225" s="47">
        <f t="shared" si="88"/>
        <v>0</v>
      </c>
      <c r="O225" s="47">
        <f t="shared" si="88"/>
        <v>0</v>
      </c>
      <c r="P225" s="47">
        <f>SUM(F225:O225)</f>
        <v>1876.9033666417631</v>
      </c>
      <c r="Q225" s="48"/>
    </row>
    <row r="226" spans="1:17" ht="15.75" thickBot="1" x14ac:dyDescent="0.3">
      <c r="A226" s="27"/>
      <c r="B226" s="322"/>
      <c r="C226" s="35"/>
      <c r="D226" s="46" t="s">
        <v>7688</v>
      </c>
      <c r="E226" s="47" t="s">
        <v>16</v>
      </c>
      <c r="F226" s="50">
        <f t="shared" si="88"/>
        <v>4375.199925289503</v>
      </c>
      <c r="G226" s="50">
        <f t="shared" si="88"/>
        <v>2818.3736458722451</v>
      </c>
      <c r="H226" s="50">
        <f t="shared" si="88"/>
        <v>0</v>
      </c>
      <c r="I226" s="50">
        <f t="shared" si="88"/>
        <v>0</v>
      </c>
      <c r="J226" s="50">
        <f t="shared" si="88"/>
        <v>0</v>
      </c>
      <c r="K226" s="50">
        <f t="shared" si="88"/>
        <v>0</v>
      </c>
      <c r="L226" s="50">
        <f t="shared" si="88"/>
        <v>0</v>
      </c>
      <c r="M226" s="50">
        <f t="shared" si="88"/>
        <v>0</v>
      </c>
      <c r="N226" s="50">
        <f t="shared" si="88"/>
        <v>0</v>
      </c>
      <c r="O226" s="50">
        <f t="shared" si="88"/>
        <v>0</v>
      </c>
      <c r="P226" s="50">
        <f>SUM(F226:O226)</f>
        <v>7193.5735711617481</v>
      </c>
      <c r="Q226" s="48"/>
    </row>
    <row r="227" spans="1:17" ht="15.75" thickBot="1" x14ac:dyDescent="0.3">
      <c r="A227" s="27"/>
      <c r="B227" s="322"/>
      <c r="C227" s="35"/>
      <c r="D227" s="72"/>
      <c r="E227" s="73"/>
      <c r="F227" s="74">
        <f t="array" ref="F227">F223/$P223</f>
        <v>0.31822602949261664</v>
      </c>
      <c r="G227" s="74">
        <f t="array" ref="G227">G223/$P223</f>
        <v>0.21821115234609259</v>
      </c>
      <c r="H227" s="74">
        <f t="array" ref="H227">H223/$P223</f>
        <v>6.6612033054552933E-2</v>
      </c>
      <c r="I227" s="74">
        <f t="array" ref="I227">I223/$P223</f>
        <v>0.11666117652485344</v>
      </c>
      <c r="J227" s="74">
        <f t="array" ref="J227">J223/$P223</f>
        <v>0.11102005509092157</v>
      </c>
      <c r="K227" s="74">
        <f t="array" ref="K227">K223/$P223</f>
        <v>5.9210696048491503E-2</v>
      </c>
      <c r="L227" s="74">
        <f t="array" ref="L227">L223/$P223</f>
        <v>3.9556427051539458E-2</v>
      </c>
      <c r="M227" s="74">
        <f t="array" ref="M227">M223/$P223</f>
        <v>2.5904679521215029E-2</v>
      </c>
      <c r="N227" s="74">
        <f t="array" ref="N227">N223/$P223</f>
        <v>2.1414436386377675E-3</v>
      </c>
      <c r="O227" s="74">
        <f t="array" ref="O227">O223/$P223</f>
        <v>4.245630723107903E-2</v>
      </c>
      <c r="P227" s="74">
        <f t="array" ref="P227">P223/$P223</f>
        <v>1</v>
      </c>
      <c r="Q227" s="75"/>
    </row>
    <row r="228" spans="1:17" ht="15.75" thickBot="1" x14ac:dyDescent="0.3">
      <c r="A228" s="27"/>
      <c r="B228" s="322"/>
      <c r="C228" s="35"/>
      <c r="D228" s="69" t="s">
        <v>7667</v>
      </c>
      <c r="E228" s="70">
        <f t="array" ref="E228">(SUMIF($D$14:$D$191,$D228,E$14:E$191))</f>
        <v>500</v>
      </c>
      <c r="F228" s="70">
        <f t="array" ref="F228">SUMIF($D$14:$D$191,$D228,F$14:F$191)</f>
        <v>295.514989530219</v>
      </c>
      <c r="G228" s="70">
        <f t="array" ref="G228">SUMIF($D$14:$D$191,$D228,G$14:G$191)</f>
        <v>363.81244889485401</v>
      </c>
      <c r="H228" s="70">
        <f t="array" ref="H228">SUMIF($D$14:$D$191,$D228,H$14:H$191)</f>
        <v>65.693430656934311</v>
      </c>
      <c r="I228" s="70">
        <f t="array" ref="I228">SUMIF($D$14:$D$191,$D228,I$14:I$191)</f>
        <v>21.5200920762191</v>
      </c>
      <c r="J228" s="70">
        <f t="array" ref="J228">SUMIF($D$14:$D$191,$D228,J$14:J$191)</f>
        <v>218.97810218978103</v>
      </c>
      <c r="K228" s="70">
        <f t="array" ref="K228">SUMIF($D$14:$D$191,$D228,K$14:K$191)</f>
        <v>65.693430656934311</v>
      </c>
      <c r="L228" s="70">
        <f t="array" ref="L228">SUMIF($D$14:$D$191,$D228,L$14:L$191)</f>
        <v>8.7591240875912408</v>
      </c>
      <c r="M228" s="70">
        <f t="array" ref="M228">SUMIF($D$14:$D$191,$D228,M$14:M$191)</f>
        <v>26.277372262773724</v>
      </c>
      <c r="N228" s="70">
        <f t="array" ref="N228">SUMIF($D$14:$D$191,$D228,N$14:N$191)</f>
        <v>150.21897810218979</v>
      </c>
      <c r="O228" s="70">
        <f t="array" ref="O228">SUMIF($D$14:$D$191,$D228,O$14:O$191)</f>
        <v>43.79562043795621</v>
      </c>
      <c r="P228" s="70">
        <f>SUM(F228:O228)</f>
        <v>1260.2635888954528</v>
      </c>
      <c r="Q228" s="71">
        <f>P228/E228*1000</f>
        <v>2520.5271777909056</v>
      </c>
    </row>
    <row r="229" spans="1:17" ht="15.75" thickBot="1" x14ac:dyDescent="0.3">
      <c r="A229" s="27"/>
      <c r="B229" s="322"/>
      <c r="C229" s="35"/>
      <c r="D229" s="46" t="s">
        <v>7686</v>
      </c>
      <c r="E229" s="47" t="s">
        <v>27</v>
      </c>
      <c r="F229" s="47">
        <f>F167</f>
        <v>0</v>
      </c>
      <c r="G229" s="47">
        <f t="shared" ref="G229:O229" si="89">G167</f>
        <v>0</v>
      </c>
      <c r="H229" s="47">
        <f t="shared" si="89"/>
        <v>0</v>
      </c>
      <c r="I229" s="47">
        <f t="shared" si="89"/>
        <v>0</v>
      </c>
      <c r="J229" s="47">
        <f t="shared" si="89"/>
        <v>0</v>
      </c>
      <c r="K229" s="47">
        <f t="shared" si="89"/>
        <v>0</v>
      </c>
      <c r="L229" s="47">
        <f t="shared" si="89"/>
        <v>0</v>
      </c>
      <c r="M229" s="47">
        <f t="shared" si="89"/>
        <v>0</v>
      </c>
      <c r="N229" s="47">
        <f t="shared" si="89"/>
        <v>150.21897810218977</v>
      </c>
      <c r="O229" s="47">
        <f t="shared" si="89"/>
        <v>0</v>
      </c>
      <c r="P229" s="47">
        <f>SUM(F229:O229)</f>
        <v>150.21897810218977</v>
      </c>
      <c r="Q229" s="48"/>
    </row>
    <row r="230" spans="1:17" ht="15.75" thickBot="1" x14ac:dyDescent="0.3">
      <c r="A230" s="27"/>
      <c r="B230" s="322"/>
      <c r="C230" s="35"/>
      <c r="D230" s="46" t="s">
        <v>7689</v>
      </c>
      <c r="E230" s="47" t="s">
        <v>16</v>
      </c>
      <c r="F230" s="47">
        <f t="shared" ref="F230:O231" si="90">F168</f>
        <v>0</v>
      </c>
      <c r="G230" s="47">
        <f t="shared" si="90"/>
        <v>103.47639197080292</v>
      </c>
      <c r="H230" s="47">
        <f t="shared" si="90"/>
        <v>0</v>
      </c>
      <c r="I230" s="47">
        <f t="shared" si="90"/>
        <v>0</v>
      </c>
      <c r="J230" s="47">
        <f t="shared" si="90"/>
        <v>0</v>
      </c>
      <c r="K230" s="47">
        <f t="shared" si="90"/>
        <v>0</v>
      </c>
      <c r="L230" s="47">
        <f t="shared" si="90"/>
        <v>0</v>
      </c>
      <c r="M230" s="47">
        <f t="shared" si="90"/>
        <v>0</v>
      </c>
      <c r="N230" s="47">
        <f t="shared" si="90"/>
        <v>0</v>
      </c>
      <c r="O230" s="47">
        <f t="shared" si="90"/>
        <v>0</v>
      </c>
      <c r="P230" s="47">
        <f>SUM(F230:O230)</f>
        <v>103.47639197080292</v>
      </c>
      <c r="Q230" s="48"/>
    </row>
    <row r="231" spans="1:17" ht="15.75" thickBot="1" x14ac:dyDescent="0.3">
      <c r="A231" s="27"/>
      <c r="B231" s="322"/>
      <c r="C231" s="35"/>
      <c r="D231" s="46" t="s">
        <v>7688</v>
      </c>
      <c r="E231" s="47" t="s">
        <v>16</v>
      </c>
      <c r="F231" s="50">
        <f t="shared" si="90"/>
        <v>89.324096715328466</v>
      </c>
      <c r="G231" s="50">
        <f t="shared" si="90"/>
        <v>74.413008394160599</v>
      </c>
      <c r="H231" s="50">
        <f t="shared" si="90"/>
        <v>0</v>
      </c>
      <c r="I231" s="50">
        <f t="shared" si="90"/>
        <v>0</v>
      </c>
      <c r="J231" s="50">
        <f t="shared" si="90"/>
        <v>0</v>
      </c>
      <c r="K231" s="50">
        <f t="shared" si="90"/>
        <v>0</v>
      </c>
      <c r="L231" s="50">
        <f t="shared" si="90"/>
        <v>0</v>
      </c>
      <c r="M231" s="50">
        <f t="shared" si="90"/>
        <v>0</v>
      </c>
      <c r="N231" s="50">
        <f t="shared" si="90"/>
        <v>0</v>
      </c>
      <c r="O231" s="50">
        <f t="shared" si="90"/>
        <v>0</v>
      </c>
      <c r="P231" s="50">
        <f>SUM(F231:O231)</f>
        <v>163.73710510948905</v>
      </c>
      <c r="Q231" s="48"/>
    </row>
    <row r="232" spans="1:17" ht="15.75" thickBot="1" x14ac:dyDescent="0.3">
      <c r="A232" s="27"/>
      <c r="B232" s="322"/>
      <c r="C232" s="35"/>
      <c r="D232" s="72"/>
      <c r="E232" s="73"/>
      <c r="F232" s="74">
        <f t="array" ref="F232">F228/$P228</f>
        <v>0.2344866519465349</v>
      </c>
      <c r="G232" s="74">
        <f t="array" ref="G232">G228/$P228</f>
        <v>0.28867964773441906</v>
      </c>
      <c r="H232" s="74">
        <f t="array" ref="H232">H228/$P228</f>
        <v>5.2126738593242031E-2</v>
      </c>
      <c r="I232" s="74">
        <f t="array" ref="I232">I228/$P228</f>
        <v>1.7075865926651265E-2</v>
      </c>
      <c r="J232" s="74">
        <f t="array" ref="J232">J228/$P228</f>
        <v>0.17375579531080676</v>
      </c>
      <c r="K232" s="74">
        <f t="array" ref="K232">K228/$P228</f>
        <v>5.2126738593242031E-2</v>
      </c>
      <c r="L232" s="74">
        <f t="array" ref="L232">L228/$P228</f>
        <v>6.9502318124322702E-3</v>
      </c>
      <c r="M232" s="74">
        <f t="array" ref="M232">M228/$P228</f>
        <v>2.0850695437296812E-2</v>
      </c>
      <c r="N232" s="74">
        <f t="array" ref="N232">N228/$P228</f>
        <v>0.11919647558321345</v>
      </c>
      <c r="O232" s="74">
        <f t="array" ref="O232">O228/$P228</f>
        <v>3.4751159062161356E-2</v>
      </c>
      <c r="P232" s="74">
        <f t="array" ref="P232">P228/$P228</f>
        <v>1</v>
      </c>
      <c r="Q232" s="76"/>
    </row>
    <row r="233" spans="1:17" ht="15.75" thickBot="1" x14ac:dyDescent="0.3">
      <c r="A233" s="27"/>
      <c r="B233" s="322"/>
      <c r="C233" s="35"/>
      <c r="D233" s="69" t="s">
        <v>7669</v>
      </c>
      <c r="E233" s="70">
        <f t="array" ref="E233">(SUMIF($D$14:$D$191,$D233,E$14:E$191))</f>
        <v>390</v>
      </c>
      <c r="F233" s="70">
        <f t="array" ref="F233">SUMIF($D$14:$D$191,$D233,F$14:F$191)</f>
        <v>0</v>
      </c>
      <c r="G233" s="70">
        <f t="array" ref="G233">SUMIF($D$14:$D$191,$D233,G$14:G$191)</f>
        <v>0</v>
      </c>
      <c r="H233" s="70">
        <f t="array" ref="H233">SUMIF($D$14:$D$191,$D233,H$14:H$191)</f>
        <v>175.92926741248647</v>
      </c>
      <c r="I233" s="70">
        <f t="array" ref="I233">SUMIF($D$14:$D$191,$D233,I$14:I$191)</f>
        <v>0</v>
      </c>
      <c r="J233" s="70">
        <f t="array" ref="J233">SUMIF($D$14:$D$191,$D233,J$14:J$191)</f>
        <v>147.78058462648863</v>
      </c>
      <c r="K233" s="70">
        <f t="array" ref="K233">SUMIF($D$14:$D$191,$D233,K$14:K$191)</f>
        <v>154.83446860339228</v>
      </c>
      <c r="L233" s="70">
        <f t="array" ref="L233">SUMIF($D$14:$D$191,$D233,L$14:L$191)</f>
        <v>0</v>
      </c>
      <c r="M233" s="70">
        <f t="array" ref="M233">SUMIF($D$14:$D$191,$D233,M$14:M$191)</f>
        <v>76.005665824612052</v>
      </c>
      <c r="N233" s="70">
        <f t="array" ref="N233">SUMIF($D$14:$D$191,$D233,N$14:N$191)</f>
        <v>9.8520389750992425</v>
      </c>
      <c r="O233" s="70">
        <f t="array" ref="O233">SUMIF($D$14:$D$191,$D233,O$14:O$191)</f>
        <v>0</v>
      </c>
      <c r="P233" s="70">
        <f>SUM(F233:O233)</f>
        <v>564.40202544207875</v>
      </c>
      <c r="Q233" s="71">
        <f>P233/E233*1000</f>
        <v>1447.1846806207147</v>
      </c>
    </row>
    <row r="234" spans="1:17" ht="15.75" thickBot="1" x14ac:dyDescent="0.3">
      <c r="A234" s="27"/>
      <c r="B234" s="322"/>
      <c r="C234" s="35"/>
      <c r="D234" s="46" t="s">
        <v>7686</v>
      </c>
      <c r="E234" s="47" t="s">
        <v>27</v>
      </c>
      <c r="F234" s="77">
        <f>F110</f>
        <v>0</v>
      </c>
      <c r="G234" s="77">
        <f t="shared" ref="G234:O234" si="91">G110</f>
        <v>0</v>
      </c>
      <c r="H234" s="77">
        <f t="shared" si="91"/>
        <v>0</v>
      </c>
      <c r="I234" s="77">
        <f t="shared" si="91"/>
        <v>0</v>
      </c>
      <c r="J234" s="77">
        <f t="shared" si="91"/>
        <v>0</v>
      </c>
      <c r="K234" s="77">
        <f t="shared" si="91"/>
        <v>1.7760059545290507</v>
      </c>
      <c r="L234" s="77">
        <f t="shared" si="91"/>
        <v>0</v>
      </c>
      <c r="M234" s="77">
        <f t="shared" si="91"/>
        <v>4.2223024178996748E-3</v>
      </c>
      <c r="N234" s="77">
        <f t="shared" si="91"/>
        <v>9.8520389750992425</v>
      </c>
      <c r="O234" s="77">
        <f t="shared" si="91"/>
        <v>0</v>
      </c>
      <c r="P234" s="47">
        <f>SUM(F234:O234)</f>
        <v>11.632267232046193</v>
      </c>
      <c r="Q234" s="48"/>
    </row>
    <row r="235" spans="1:17" ht="15.75" thickBot="1" x14ac:dyDescent="0.3">
      <c r="A235" s="27"/>
      <c r="B235" s="322"/>
      <c r="C235" s="35"/>
      <c r="D235" s="46" t="s">
        <v>7689</v>
      </c>
      <c r="E235" s="47" t="s">
        <v>16</v>
      </c>
      <c r="F235" s="77">
        <f t="shared" ref="F235:O236" si="92">F111</f>
        <v>0</v>
      </c>
      <c r="G235" s="77">
        <f t="shared" si="92"/>
        <v>0</v>
      </c>
      <c r="H235" s="77">
        <f t="shared" si="92"/>
        <v>0</v>
      </c>
      <c r="I235" s="77">
        <f t="shared" si="92"/>
        <v>0</v>
      </c>
      <c r="J235" s="77">
        <f t="shared" si="92"/>
        <v>0</v>
      </c>
      <c r="K235" s="77">
        <f t="shared" si="92"/>
        <v>0</v>
      </c>
      <c r="L235" s="77">
        <f t="shared" si="92"/>
        <v>0</v>
      </c>
      <c r="M235" s="77">
        <f t="shared" si="92"/>
        <v>0</v>
      </c>
      <c r="N235" s="77">
        <f t="shared" si="92"/>
        <v>0</v>
      </c>
      <c r="O235" s="77">
        <f t="shared" si="92"/>
        <v>0</v>
      </c>
      <c r="P235" s="47">
        <f>SUM(F235:O235)</f>
        <v>0</v>
      </c>
      <c r="Q235" s="48"/>
    </row>
    <row r="236" spans="1:17" ht="15.75" thickBot="1" x14ac:dyDescent="0.3">
      <c r="A236" s="27"/>
      <c r="B236" s="322"/>
      <c r="C236" s="35"/>
      <c r="D236" s="46" t="s">
        <v>7688</v>
      </c>
      <c r="E236" s="47" t="s">
        <v>16</v>
      </c>
      <c r="F236" s="50">
        <f t="shared" si="92"/>
        <v>0</v>
      </c>
      <c r="G236" s="50">
        <f t="shared" si="92"/>
        <v>0</v>
      </c>
      <c r="H236" s="50">
        <f t="shared" si="92"/>
        <v>0</v>
      </c>
      <c r="I236" s="50">
        <f t="shared" si="92"/>
        <v>0</v>
      </c>
      <c r="J236" s="50">
        <f t="shared" si="92"/>
        <v>0</v>
      </c>
      <c r="K236" s="50">
        <f t="shared" si="92"/>
        <v>0</v>
      </c>
      <c r="L236" s="50">
        <f t="shared" si="92"/>
        <v>0</v>
      </c>
      <c r="M236" s="50">
        <f t="shared" si="92"/>
        <v>0</v>
      </c>
      <c r="N236" s="50">
        <f t="shared" si="92"/>
        <v>0</v>
      </c>
      <c r="O236" s="50">
        <f t="shared" si="92"/>
        <v>0</v>
      </c>
      <c r="P236" s="50">
        <f>SUM(F236:O236)</f>
        <v>0</v>
      </c>
      <c r="Q236" s="48"/>
    </row>
    <row r="237" spans="1:17" ht="15.75" thickBot="1" x14ac:dyDescent="0.3">
      <c r="A237" s="27"/>
      <c r="B237" s="322"/>
      <c r="C237" s="35"/>
      <c r="D237" s="69" t="s">
        <v>7664</v>
      </c>
      <c r="E237" s="70">
        <f t="array" ref="E237">(SUMIF($D$14:$D$191,$D237,E$14:E$191))</f>
        <v>300</v>
      </c>
      <c r="F237" s="70">
        <f t="array" ref="F237">SUMIF($D$14:$D$191,$D237,F$14:F$191)</f>
        <v>120.45876684091333</v>
      </c>
      <c r="G237" s="70">
        <f t="array" ref="G237">SUMIF($D$14:$D$191,$D237,G$14:G$191)</f>
        <v>82.599925482069494</v>
      </c>
      <c r="H237" s="70">
        <f t="array" ref="H237">SUMIF($D$14:$D$191,$D237,H$14:H$191)</f>
        <v>25.21479267837131</v>
      </c>
      <c r="I237" s="70">
        <f t="array" ref="I237">SUMIF($D$14:$D$191,$D237,I$14:I$191)</f>
        <v>46.224091557307467</v>
      </c>
      <c r="J237" s="70">
        <f t="array" ref="J237">SUMIF($D$14:$D$191,$D237,J$14:J$191)</f>
        <v>42.024654463952189</v>
      </c>
      <c r="K237" s="70">
        <f t="array" ref="K237">SUMIF($D$14:$D$191,$D237,K$14:K$191)</f>
        <v>22.413149047441166</v>
      </c>
      <c r="L237" s="70">
        <f t="array" ref="L237">SUMIF($D$14:$D$191,$D237,L$14:L$191)</f>
        <v>14.97337735338065</v>
      </c>
      <c r="M237" s="70">
        <f t="array" ref="M237">SUMIF($D$14:$D$191,$D237,M$14:M$191)</f>
        <v>9.8057527082555094</v>
      </c>
      <c r="N237" s="70">
        <f t="array" ref="N237">SUMIF($D$14:$D$191,$D237,N$14:N$191)</f>
        <v>0.81060515502428088</v>
      </c>
      <c r="O237" s="70">
        <f t="array" ref="O237">SUMIF($D$14:$D$191,$D237,O$14:O$191)</f>
        <v>16.071075084049308</v>
      </c>
      <c r="P237" s="70">
        <f>SUM(F237:O237)</f>
        <v>380.5961903707647</v>
      </c>
      <c r="Q237" s="71">
        <f>P237/E237*1000</f>
        <v>1268.6539679025491</v>
      </c>
    </row>
    <row r="238" spans="1:17" ht="15.75" thickBot="1" x14ac:dyDescent="0.3">
      <c r="A238" s="27"/>
      <c r="B238" s="322"/>
      <c r="C238" s="35"/>
      <c r="D238" s="46" t="s">
        <v>7686</v>
      </c>
      <c r="E238" s="47" t="s">
        <v>27</v>
      </c>
      <c r="F238" s="47">
        <f>F53</f>
        <v>2.6830584609637654E-2</v>
      </c>
      <c r="G238" s="47">
        <f t="shared" ref="G238:O238" si="93">G53</f>
        <v>10.751540670526708</v>
      </c>
      <c r="H238" s="47">
        <f t="shared" si="93"/>
        <v>0</v>
      </c>
      <c r="I238" s="47">
        <f t="shared" si="93"/>
        <v>0</v>
      </c>
      <c r="J238" s="47">
        <f t="shared" si="93"/>
        <v>0</v>
      </c>
      <c r="K238" s="47">
        <f t="shared" si="93"/>
        <v>0</v>
      </c>
      <c r="L238" s="47">
        <f t="shared" si="93"/>
        <v>9.3700900915203604</v>
      </c>
      <c r="M238" s="47">
        <f t="shared" si="93"/>
        <v>0</v>
      </c>
      <c r="N238" s="47">
        <f t="shared" si="93"/>
        <v>0.81060515502428099</v>
      </c>
      <c r="O238" s="47">
        <f t="shared" si="93"/>
        <v>0.10170638774747853</v>
      </c>
      <c r="P238" s="47">
        <f>SUM(F238:O238)</f>
        <v>21.060772889428463</v>
      </c>
      <c r="Q238" s="48"/>
    </row>
    <row r="239" spans="1:17" ht="15.75" thickBot="1" x14ac:dyDescent="0.3">
      <c r="A239" s="27"/>
      <c r="B239" s="322"/>
      <c r="C239" s="35"/>
      <c r="D239" s="46" t="s">
        <v>7689</v>
      </c>
      <c r="E239" s="47" t="s">
        <v>16</v>
      </c>
      <c r="F239" s="47">
        <f t="shared" ref="F239:O240" si="94">F54</f>
        <v>0</v>
      </c>
      <c r="G239" s="47">
        <f t="shared" si="94"/>
        <v>11.26142019985058</v>
      </c>
      <c r="H239" s="47">
        <f t="shared" si="94"/>
        <v>0</v>
      </c>
      <c r="I239" s="47">
        <f t="shared" si="94"/>
        <v>0</v>
      </c>
      <c r="J239" s="47">
        <f t="shared" si="94"/>
        <v>0</v>
      </c>
      <c r="K239" s="47">
        <f t="shared" si="94"/>
        <v>0</v>
      </c>
      <c r="L239" s="47">
        <f t="shared" si="94"/>
        <v>0</v>
      </c>
      <c r="M239" s="47">
        <f t="shared" si="94"/>
        <v>0</v>
      </c>
      <c r="N239" s="47">
        <f t="shared" si="94"/>
        <v>0</v>
      </c>
      <c r="O239" s="47">
        <f t="shared" si="94"/>
        <v>0</v>
      </c>
      <c r="P239" s="47">
        <f>SUM(F239:O239)</f>
        <v>11.26142019985058</v>
      </c>
      <c r="Q239" s="48"/>
    </row>
    <row r="240" spans="1:17" ht="15.75" thickBot="1" x14ac:dyDescent="0.3">
      <c r="A240" s="27"/>
      <c r="B240" s="322"/>
      <c r="C240" s="35"/>
      <c r="D240" s="46" t="s">
        <v>7688</v>
      </c>
      <c r="E240" s="47" t="s">
        <v>16</v>
      </c>
      <c r="F240" s="50">
        <f t="shared" si="94"/>
        <v>26.25119955173702</v>
      </c>
      <c r="G240" s="50">
        <f t="shared" si="94"/>
        <v>16.910241875233471</v>
      </c>
      <c r="H240" s="50">
        <f t="shared" si="94"/>
        <v>0</v>
      </c>
      <c r="I240" s="50">
        <f t="shared" si="94"/>
        <v>0</v>
      </c>
      <c r="J240" s="50">
        <f t="shared" si="94"/>
        <v>0</v>
      </c>
      <c r="K240" s="50">
        <f t="shared" si="94"/>
        <v>0</v>
      </c>
      <c r="L240" s="50">
        <f t="shared" si="94"/>
        <v>0</v>
      </c>
      <c r="M240" s="50">
        <f t="shared" si="94"/>
        <v>0</v>
      </c>
      <c r="N240" s="50">
        <f t="shared" si="94"/>
        <v>0</v>
      </c>
      <c r="O240" s="50">
        <f t="shared" si="94"/>
        <v>0</v>
      </c>
      <c r="P240" s="50">
        <f>SUM(F240:O240)</f>
        <v>43.161441426970491</v>
      </c>
      <c r="Q240" s="48"/>
    </row>
    <row r="241" spans="1:17" ht="15.75" thickBot="1" x14ac:dyDescent="0.3">
      <c r="A241" s="27"/>
      <c r="B241" s="322"/>
      <c r="C241" s="35"/>
      <c r="D241" s="72"/>
      <c r="E241" s="73"/>
      <c r="F241" s="74">
        <f t="array" ref="F241">F237/$P237</f>
        <v>0.31650019072331287</v>
      </c>
      <c r="G241" s="74">
        <f t="array" ref="G241">G237/$P237</f>
        <v>0.21702772537371767</v>
      </c>
      <c r="H241" s="74">
        <f t="array" ref="H241">H237/$P237</f>
        <v>6.6250775273940243E-2</v>
      </c>
      <c r="I241" s="74">
        <f t="array" ref="I241">I237/$P237</f>
        <v>0.12145179780248833</v>
      </c>
      <c r="J241" s="74">
        <f t="array" ref="J241">J237/$P237</f>
        <v>0.11041795878990041</v>
      </c>
      <c r="K241" s="74">
        <f t="array" ref="K241">K237/$P237</f>
        <v>5.8889578021280219E-2</v>
      </c>
      <c r="L241" s="74">
        <f t="array" ref="L241">L237/$P237</f>
        <v>3.9341900240236413E-2</v>
      </c>
      <c r="M241" s="74">
        <f t="array" ref="M241">M237/$P237</f>
        <v>2.5764190384310093E-2</v>
      </c>
      <c r="N241" s="74">
        <f t="array" ref="N241">N237/$P237</f>
        <v>2.1298299235066307E-3</v>
      </c>
      <c r="O241" s="74">
        <f t="array" ref="O241">O237/$P237</f>
        <v>4.2226053467307116E-2</v>
      </c>
      <c r="P241" s="74">
        <f t="array" ref="P241">P237/$P237</f>
        <v>1</v>
      </c>
      <c r="Q241" s="76"/>
    </row>
    <row r="242" spans="1:17" ht="15.75" thickBot="1" x14ac:dyDescent="0.3">
      <c r="A242" s="27"/>
      <c r="B242" s="323"/>
      <c r="C242" s="35"/>
      <c r="D242" s="72"/>
      <c r="E242" s="73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6"/>
    </row>
    <row r="243" spans="1:17" ht="15.75" thickBot="1" x14ac:dyDescent="0.3">
      <c r="A243" s="27"/>
      <c r="B243" s="78"/>
      <c r="C243" s="35"/>
      <c r="D243" s="27"/>
      <c r="E243" s="31"/>
      <c r="F243" s="74">
        <f t="array" ref="F243">F233/$P233</f>
        <v>0</v>
      </c>
      <c r="G243" s="74">
        <f t="array" ref="G243">G233/$P233</f>
        <v>0</v>
      </c>
      <c r="H243" s="74">
        <f t="array" ref="H243">H233/$P233</f>
        <v>0.3117091354778298</v>
      </c>
      <c r="I243" s="74">
        <f t="array" ref="I243">I233/$P233</f>
        <v>0</v>
      </c>
      <c r="J243" s="74">
        <f t="array" ref="J243">J233/$P233</f>
        <v>0.26183567380137701</v>
      </c>
      <c r="K243" s="74">
        <f t="array" ref="K243">K233/$P233</f>
        <v>0.27433365158836065</v>
      </c>
      <c r="L243" s="74">
        <f t="array" ref="L243">L233/$P233</f>
        <v>0</v>
      </c>
      <c r="M243" s="74">
        <f t="array" ref="M243">M233/$P233</f>
        <v>0.13466582754567394</v>
      </c>
      <c r="N243" s="74">
        <f t="array" ref="N243">N233/$P233</f>
        <v>1.745571158675847E-2</v>
      </c>
      <c r="O243" s="74">
        <f t="array" ref="O243">O233/$P233</f>
        <v>0</v>
      </c>
      <c r="P243" s="74">
        <f t="array" ref="P243">P233/$P233</f>
        <v>1</v>
      </c>
      <c r="Q243" s="66"/>
    </row>
    <row r="244" spans="1:17" ht="15.75" thickBot="1" x14ac:dyDescent="0.3">
      <c r="A244" s="27"/>
      <c r="B244" s="62"/>
      <c r="C244" s="63"/>
      <c r="D244" s="79" t="s">
        <v>7690</v>
      </c>
      <c r="E244" s="80">
        <f>E198+E203+E208+E213+E218+E223+E228+E233</f>
        <v>72503</v>
      </c>
      <c r="F244" s="80">
        <f t="shared" ref="F244:P244" si="95">F198+F203+F208+F213+F218+F223+F228+F233</f>
        <v>58953.539628927079</v>
      </c>
      <c r="G244" s="80">
        <f t="shared" si="95"/>
        <v>43248.830560430928</v>
      </c>
      <c r="H244" s="80">
        <f t="shared" si="95"/>
        <v>12594.785207321629</v>
      </c>
      <c r="I244" s="80">
        <f t="shared" si="95"/>
        <v>15233.878658442693</v>
      </c>
      <c r="J244" s="80">
        <f t="shared" si="95"/>
        <v>22107.975345536044</v>
      </c>
      <c r="K244" s="80">
        <f t="shared" si="95"/>
        <v>11358.63435095256</v>
      </c>
      <c r="L244" s="80">
        <f t="shared" si="95"/>
        <v>7343.6841126466179</v>
      </c>
      <c r="M244" s="80">
        <f t="shared" si="95"/>
        <v>4901.2062472917441</v>
      </c>
      <c r="N244" s="80">
        <f t="shared" si="95"/>
        <v>2816.485354844976</v>
      </c>
      <c r="O244" s="80">
        <f t="shared" si="95"/>
        <v>7812.2313249159497</v>
      </c>
      <c r="P244" s="80">
        <f t="shared" si="95"/>
        <v>186371.25079131022</v>
      </c>
      <c r="Q244" s="81">
        <f>P244/E244*1000</f>
        <v>2570.5315751253083</v>
      </c>
    </row>
    <row r="245" spans="1:17" ht="15.75" thickBot="1" x14ac:dyDescent="0.3">
      <c r="A245" s="82"/>
      <c r="B245" s="82"/>
      <c r="C245" s="83"/>
      <c r="D245" s="82"/>
      <c r="E245" s="84"/>
      <c r="F245" s="74">
        <f t="array" ref="F245">F244/$P244</f>
        <v>0.31632314200080403</v>
      </c>
      <c r="G245" s="74">
        <f t="array" ref="G245">G244/$P244</f>
        <v>0.23205741431042354</v>
      </c>
      <c r="H245" s="74">
        <f t="array" ref="H245">H244/$P244</f>
        <v>6.7579013146317715E-2</v>
      </c>
      <c r="I245" s="74">
        <f t="array" ref="I245">I244/$P244</f>
        <v>8.1739423831526867E-2</v>
      </c>
      <c r="J245" s="74">
        <f t="array" ref="J245">J244/$P244</f>
        <v>0.11862331369064813</v>
      </c>
      <c r="K245" s="74">
        <f t="array" ref="K245">K244/$P244</f>
        <v>6.0946279550763038E-2</v>
      </c>
      <c r="L245" s="74">
        <f t="array" ref="L245">L244/$P244</f>
        <v>3.9403524317544722E-2</v>
      </c>
      <c r="M245" s="74">
        <f t="array" ref="M245">M244/$P244</f>
        <v>2.6298080988788795E-2</v>
      </c>
      <c r="N245" s="74">
        <f t="array" ref="N245">N244/$P244</f>
        <v>1.5112230791425789E-2</v>
      </c>
      <c r="O245" s="74">
        <f t="array" ref="O245">O244/$P244</f>
        <v>4.1917577371757407E-2</v>
      </c>
      <c r="P245" s="74">
        <f t="array" ref="P245">P244/$P244</f>
        <v>1</v>
      </c>
      <c r="Q245" s="82"/>
    </row>
    <row r="246" spans="1:17" x14ac:dyDescent="0.25">
      <c r="A246" s="82"/>
      <c r="B246" s="82"/>
      <c r="C246" s="83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</row>
    <row r="247" spans="1:17" x14ac:dyDescent="0.25">
      <c r="A247" s="82"/>
      <c r="B247" s="324" t="str">
        <f ca="1">CELL("filename")</f>
        <v>G:\Google Drive\000_Projetos\[Projeção Safra 2017.xlsx]Resultado</v>
      </c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85"/>
      <c r="O247" s="82"/>
      <c r="P247" s="82"/>
      <c r="Q247" s="82"/>
    </row>
  </sheetData>
  <mergeCells count="9">
    <mergeCell ref="B247:M247"/>
    <mergeCell ref="B2:D3"/>
    <mergeCell ref="B7:E7"/>
    <mergeCell ref="B9:D10"/>
    <mergeCell ref="B198:B242"/>
    <mergeCell ref="Q9:Q10"/>
    <mergeCell ref="B14:B190"/>
    <mergeCell ref="B195:D196"/>
    <mergeCell ref="Q195:Q196"/>
  </mergeCells>
  <conditionalFormatting sqref="F13:P13">
    <cfRule type="cellIs" dxfId="7" priority="8" operator="notEqual">
      <formula>0</formula>
    </cfRule>
  </conditionalFormatting>
  <conditionalFormatting sqref="F58:P58">
    <cfRule type="cellIs" dxfId="6" priority="7" operator="notEqual">
      <formula>0</formula>
    </cfRule>
  </conditionalFormatting>
  <conditionalFormatting sqref="F79:P79">
    <cfRule type="cellIs" dxfId="5" priority="6" operator="notEqual">
      <formula>0</formula>
    </cfRule>
  </conditionalFormatting>
  <conditionalFormatting sqref="F94:P94">
    <cfRule type="cellIs" dxfId="4" priority="5" operator="notEqual">
      <formula>0</formula>
    </cfRule>
  </conditionalFormatting>
  <conditionalFormatting sqref="F115:P115">
    <cfRule type="cellIs" dxfId="3" priority="4" operator="notEqual">
      <formula>0</formula>
    </cfRule>
  </conditionalFormatting>
  <conditionalFormatting sqref="F130:P130">
    <cfRule type="cellIs" dxfId="2" priority="3" operator="notEqual">
      <formula>0</formula>
    </cfRule>
  </conditionalFormatting>
  <conditionalFormatting sqref="F145:P145">
    <cfRule type="cellIs" dxfId="1" priority="2" operator="notEqual">
      <formula>0</formula>
    </cfRule>
  </conditionalFormatting>
  <conditionalFormatting sqref="F178:P178">
    <cfRule type="cellIs" dxfId="0" priority="1" operator="notEqual">
      <formula>0</formula>
    </cfRule>
  </conditionalFormatting>
  <hyperlinks>
    <hyperlink ref="L9" location="'08-Depreciacao'!A1" display="'08-Depreciacao'!A1"/>
    <hyperlink ref="H9" location="'04-Combustivel'!A1" display="'04-Combustivel'!A1"/>
    <hyperlink ref="G9" location="'03-Fertilizante'!A1" display="'03-Fertilizante'!A1"/>
    <hyperlink ref="E9" location="'01-Area'!B1" display="'01-Area'!B1"/>
    <hyperlink ref="F9" location="'02-Defensivos'!A1" display="'02-Defensivos'!A1"/>
    <hyperlink ref="M9" location="'09-Comissao'!A1" display="'09-Comissao'!A1"/>
    <hyperlink ref="O9" location="'10-Outros'!A1" display="'10-Outros'!A1"/>
    <hyperlink ref="I9" location="'05-Frete'!A1" display="'05-Frete'!A1"/>
    <hyperlink ref="J9" location="'06-Folha'!A1" display="'06-Folha'!A1"/>
    <hyperlink ref="K9" location="'07-Manutencao'!A1" display="'07-Manutencao'!A1"/>
    <hyperlink ref="L195" location="'08-Depreciacao'!A1" display="'08-Depreciacao'!A1"/>
    <hyperlink ref="H195" location="'04-Combustivel'!A1" display="'04-Combustivel'!A1"/>
    <hyperlink ref="G195" location="'03-Fertilizante'!A1" display="'03-Fertilizante'!A1"/>
    <hyperlink ref="E195" location="'01-Area'!B1" display="'01-Area'!B1"/>
    <hyperlink ref="F195" location="'02-Defensivos'!A1" display="'02-Defensivos'!A1"/>
    <hyperlink ref="M195" location="'09-Comissao'!A1" display="'09-Comissao'!A1"/>
    <hyperlink ref="O195" location="'10-Outros'!A1" display="'10-Outros'!A1"/>
    <hyperlink ref="I195" location="'05-Frete'!A1" display="'05-Frete'!A1"/>
    <hyperlink ref="J195" location="'06-Folha'!A1" display="'06-Folha'!A1"/>
    <hyperlink ref="K195" location="'07-Manutencao'!A1" display="'07-Manutencao'!A1"/>
    <hyperlink ref="N9" location="'09-Comissao'!A1" display="'09-Comissao'!A1"/>
    <hyperlink ref="N195" location="'09-Comissao'!A1" display="'09-Comissao'!A1"/>
  </hyperlinks>
  <pageMargins left="0.511811024" right="0.511811024" top="0.78740157499999996" bottom="0.78740157499999996" header="0.31496062000000002" footer="0.31496062000000002"/>
  <pageSetup paperSize="9" scale="51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"/>
  <sheetViews>
    <sheetView topLeftCell="A5" zoomScale="70" zoomScaleNormal="70" workbookViewId="0">
      <selection activeCell="F83" sqref="F83"/>
    </sheetView>
  </sheetViews>
  <sheetFormatPr defaultColWidth="3.5703125" defaultRowHeight="15" x14ac:dyDescent="0.25"/>
  <cols>
    <col min="1" max="1" width="3.5703125" style="6"/>
    <col min="2" max="2" width="37" style="6" customWidth="1"/>
    <col min="3" max="3" width="1" style="6" customWidth="1"/>
    <col min="4" max="4" width="25.85546875" style="6" customWidth="1"/>
    <col min="5" max="5" width="1" style="6" customWidth="1"/>
    <col min="6" max="6" width="25" style="6" customWidth="1"/>
    <col min="7" max="7" width="1" style="6" customWidth="1"/>
    <col min="8" max="8" width="36.28515625" style="6" customWidth="1"/>
    <col min="9" max="9" width="1" style="6" customWidth="1"/>
    <col min="10" max="10" width="27.42578125" style="6" bestFit="1" customWidth="1"/>
    <col min="11" max="11" width="1" style="6" customWidth="1"/>
    <col min="12" max="12" width="20.7109375" style="6" customWidth="1"/>
    <col min="13" max="13" width="1" style="6" customWidth="1"/>
    <col min="14" max="14" width="23.140625" style="6" bestFit="1" customWidth="1"/>
    <col min="15" max="15" width="1" style="6" customWidth="1"/>
    <col min="16" max="16" width="31.42578125" style="6" bestFit="1" customWidth="1"/>
    <col min="17" max="17" width="1" style="6" customWidth="1"/>
    <col min="18" max="18" width="27" style="6" customWidth="1"/>
    <col min="19" max="19" width="1" style="6" customWidth="1"/>
    <col min="20" max="20" width="26.140625" style="6" bestFit="1" customWidth="1"/>
    <col min="21" max="21" width="1" style="6" customWidth="1"/>
    <col min="22" max="22" width="25.5703125" style="6" bestFit="1" customWidth="1"/>
    <col min="23" max="23" width="14.7109375" style="6" customWidth="1"/>
    <col min="24" max="24" width="26.28515625" style="6" customWidth="1"/>
    <col min="25" max="25" width="3.5703125" style="6"/>
    <col min="26" max="26" width="23.5703125" style="6" bestFit="1" customWidth="1"/>
    <col min="27" max="27" width="3.5703125" style="6"/>
    <col min="28" max="28" width="18.85546875" style="6" bestFit="1" customWidth="1"/>
    <col min="29" max="16384" width="3.5703125" style="6"/>
  </cols>
  <sheetData>
    <row r="1" spans="1:28" ht="16.5" customHeight="1" x14ac:dyDescent="0.25">
      <c r="A1" s="3"/>
      <c r="B1" s="4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</row>
    <row r="2" spans="1:28" ht="16.5" customHeight="1" x14ac:dyDescent="0.25">
      <c r="A2" s="3"/>
      <c r="B2" s="325" t="s">
        <v>7679</v>
      </c>
      <c r="C2" s="325"/>
      <c r="D2" s="325"/>
      <c r="E2" s="7"/>
      <c r="F2" s="7"/>
      <c r="G2" s="7"/>
      <c r="H2" s="7"/>
      <c r="I2" s="7"/>
      <c r="J2" s="7"/>
      <c r="M2" s="3"/>
      <c r="N2" s="3"/>
      <c r="O2" s="8"/>
      <c r="P2" s="3"/>
      <c r="Q2" s="3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 spans="1:28" ht="16.5" customHeight="1" x14ac:dyDescent="0.25">
      <c r="A3" s="3"/>
      <c r="B3" s="325"/>
      <c r="C3" s="325"/>
      <c r="D3" s="325"/>
      <c r="E3" s="7"/>
      <c r="F3" s="7"/>
      <c r="G3" s="7"/>
      <c r="H3" s="7"/>
      <c r="I3" s="7"/>
      <c r="J3" s="7"/>
      <c r="M3" s="3"/>
      <c r="N3" s="3"/>
      <c r="O3" s="8"/>
      <c r="P3" s="3"/>
      <c r="Q3" s="3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1:28" ht="18.75" x14ac:dyDescent="0.3">
      <c r="A4" s="3"/>
      <c r="B4" s="9" t="s">
        <v>7680</v>
      </c>
      <c r="C4" s="9"/>
      <c r="D4" s="7"/>
      <c r="E4" s="7"/>
      <c r="F4" s="7"/>
      <c r="G4" s="7"/>
      <c r="H4" s="7"/>
      <c r="I4" s="7"/>
      <c r="J4" s="7"/>
      <c r="M4" s="3"/>
      <c r="N4" s="3"/>
      <c r="O4" s="8"/>
      <c r="P4" s="3"/>
      <c r="Q4" s="3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</row>
    <row r="5" spans="1:28" ht="16.5" customHeight="1" thickBot="1" x14ac:dyDescent="0.35">
      <c r="A5" s="3"/>
      <c r="B5" s="9"/>
      <c r="C5" s="9"/>
      <c r="D5" s="7"/>
      <c r="E5" s="7"/>
      <c r="F5" s="7"/>
      <c r="G5" s="7"/>
      <c r="H5" s="7"/>
      <c r="I5" s="7"/>
      <c r="J5" s="7"/>
      <c r="M5" s="3"/>
      <c r="N5" s="3"/>
      <c r="O5" s="8"/>
      <c r="P5" s="3"/>
      <c r="Q5" s="3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</row>
    <row r="6" spans="1:28" ht="16.5" customHeight="1" x14ac:dyDescent="0.25">
      <c r="A6" s="3"/>
      <c r="B6" s="10" t="s">
        <v>7787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82"/>
      <c r="X6" s="82"/>
      <c r="Y6" s="82"/>
      <c r="Z6" s="82"/>
      <c r="AA6" s="82"/>
      <c r="AB6" s="82"/>
    </row>
    <row r="7" spans="1:28" ht="16.5" customHeight="1" thickBot="1" x14ac:dyDescent="0.3">
      <c r="A7" s="3"/>
      <c r="B7" s="326">
        <f ca="1">TODAY()</f>
        <v>42601</v>
      </c>
      <c r="C7" s="326"/>
      <c r="D7" s="326"/>
      <c r="E7" s="326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25"/>
      <c r="U7" s="13"/>
      <c r="V7" s="13"/>
      <c r="W7" s="82"/>
      <c r="X7" s="82"/>
      <c r="Y7" s="82"/>
      <c r="Z7" s="82"/>
      <c r="AA7" s="82"/>
      <c r="AB7" s="82"/>
    </row>
    <row r="8" spans="1:28" x14ac:dyDescent="0.25">
      <c r="A8" s="126"/>
      <c r="B8" s="124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7">
        <f>Pedidos!N1</f>
        <v>3.4036000506175865</v>
      </c>
      <c r="S8" s="127"/>
      <c r="T8" s="127">
        <v>3.2</v>
      </c>
      <c r="U8" s="127"/>
      <c r="V8" s="127"/>
      <c r="W8" s="128"/>
    </row>
    <row r="9" spans="1:28" ht="15.75" x14ac:dyDescent="0.25">
      <c r="A9" s="126"/>
      <c r="B9" s="129" t="s">
        <v>7694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1"/>
      <c r="S9" s="131"/>
      <c r="T9" s="131"/>
      <c r="U9" s="131"/>
      <c r="V9" s="131"/>
      <c r="W9" s="128" t="s">
        <v>7695</v>
      </c>
    </row>
    <row r="10" spans="1:28" ht="18.75" x14ac:dyDescent="0.3">
      <c r="A10" s="126"/>
      <c r="B10" s="132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7"/>
      <c r="S10" s="127"/>
      <c r="T10" s="127"/>
      <c r="U10" s="127"/>
      <c r="V10" s="127"/>
      <c r="W10" s="128"/>
    </row>
    <row r="11" spans="1:28" x14ac:dyDescent="0.25">
      <c r="A11" s="133"/>
      <c r="B11" s="134" t="s">
        <v>7696</v>
      </c>
      <c r="C11" s="133"/>
      <c r="D11" s="134" t="s">
        <v>7697</v>
      </c>
      <c r="E11" s="133"/>
      <c r="F11" s="134" t="s">
        <v>7698</v>
      </c>
      <c r="G11" s="133"/>
      <c r="H11" s="134" t="s">
        <v>7699</v>
      </c>
      <c r="I11" s="133"/>
      <c r="J11" s="134" t="s">
        <v>7700</v>
      </c>
      <c r="K11" s="133"/>
      <c r="L11" s="134" t="s">
        <v>7701</v>
      </c>
      <c r="M11" s="133"/>
      <c r="N11" s="134" t="s">
        <v>7702</v>
      </c>
      <c r="O11" s="133"/>
      <c r="P11" s="134" t="s">
        <v>7703</v>
      </c>
      <c r="Q11" s="135"/>
      <c r="R11" s="136" t="s">
        <v>7704</v>
      </c>
      <c r="S11" s="137"/>
      <c r="T11" s="136" t="s">
        <v>7705</v>
      </c>
      <c r="U11" s="137"/>
      <c r="V11" s="136" t="s">
        <v>7706</v>
      </c>
      <c r="W11" s="128"/>
    </row>
    <row r="12" spans="1:28" x14ac:dyDescent="0.25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26"/>
      <c r="R12" s="138"/>
      <c r="S12" s="127"/>
      <c r="T12" s="138"/>
      <c r="U12" s="127"/>
      <c r="V12" s="138"/>
      <c r="W12" s="128"/>
    </row>
    <row r="13" spans="1:28" x14ac:dyDescent="0.25">
      <c r="A13" s="133"/>
      <c r="B13" s="139">
        <f>ProjecaoAreas!D13</f>
        <v>8000</v>
      </c>
      <c r="C13" s="124"/>
      <c r="D13" s="140">
        <v>115</v>
      </c>
      <c r="E13" s="124"/>
      <c r="F13" s="139">
        <f>D13*B13</f>
        <v>920000</v>
      </c>
      <c r="G13" s="124"/>
      <c r="H13" s="141">
        <v>23.15</v>
      </c>
      <c r="I13" s="124"/>
      <c r="J13" s="141">
        <f>H13*F13</f>
        <v>21298000</v>
      </c>
      <c r="K13" s="124"/>
      <c r="L13" s="142" t="s">
        <v>7707</v>
      </c>
      <c r="M13" s="133"/>
      <c r="N13" s="143">
        <f>V13/B13*1000</f>
        <v>7886.0853919470255</v>
      </c>
      <c r="O13" s="133"/>
      <c r="P13" s="143">
        <f>(ResumoCusto!P223-ResumoCusto!P225)-(ResumoCusto!P226*Resultado!T8)</f>
        <v>38192.344341216849</v>
      </c>
      <c r="Q13" s="142"/>
      <c r="R13" s="143">
        <f>ResumoCusto!P225</f>
        <v>1876.9033666417631</v>
      </c>
      <c r="S13" s="142"/>
      <c r="T13" s="143">
        <f>ResumoCusto!P226*Resultado!T8</f>
        <v>23019.435427717595</v>
      </c>
      <c r="U13" s="142"/>
      <c r="V13" s="143">
        <f>P13+R13+T13</f>
        <v>63088.683135576204</v>
      </c>
      <c r="W13" s="144">
        <f>(H13*D13*$D$58)-N13</f>
        <v>633.1146080529752</v>
      </c>
    </row>
    <row r="14" spans="1:28" x14ac:dyDescent="0.25">
      <c r="A14" s="133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33"/>
      <c r="N14" s="124"/>
      <c r="O14" s="133"/>
      <c r="P14" s="124"/>
      <c r="Q14" s="124"/>
      <c r="R14" s="145"/>
      <c r="S14" s="145"/>
      <c r="T14" s="145"/>
      <c r="U14" s="145"/>
      <c r="V14" s="145"/>
      <c r="W14" s="146"/>
    </row>
    <row r="15" spans="1:28" ht="15.75" x14ac:dyDescent="0.25">
      <c r="A15" s="126"/>
      <c r="B15" s="147" t="s">
        <v>7708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9"/>
      <c r="S15" s="149"/>
      <c r="T15" s="149"/>
      <c r="U15" s="149"/>
      <c r="V15" s="149"/>
      <c r="W15" s="144"/>
    </row>
    <row r="16" spans="1:28" ht="18.75" x14ac:dyDescent="0.3">
      <c r="A16" s="126"/>
      <c r="B16" s="132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7"/>
      <c r="S16" s="127"/>
      <c r="T16" s="127"/>
      <c r="U16" s="127"/>
      <c r="V16" s="127"/>
      <c r="W16" s="128"/>
    </row>
    <row r="17" spans="1:23" x14ac:dyDescent="0.25">
      <c r="A17" s="133"/>
      <c r="B17" s="134" t="s">
        <v>7696</v>
      </c>
      <c r="C17" s="133"/>
      <c r="D17" s="134" t="s">
        <v>7709</v>
      </c>
      <c r="E17" s="133"/>
      <c r="F17" s="134" t="s">
        <v>7710</v>
      </c>
      <c r="G17" s="133"/>
      <c r="H17" s="134" t="s">
        <v>7711</v>
      </c>
      <c r="I17" s="133"/>
      <c r="J17" s="134" t="s">
        <v>7712</v>
      </c>
      <c r="K17" s="133"/>
      <c r="L17" s="134" t="s">
        <v>7701</v>
      </c>
      <c r="M17" s="133"/>
      <c r="N17" s="134" t="s">
        <v>7702</v>
      </c>
      <c r="O17" s="133"/>
      <c r="P17" s="134" t="s">
        <v>7703</v>
      </c>
      <c r="Q17" s="135"/>
      <c r="R17" s="136" t="s">
        <v>7704</v>
      </c>
      <c r="S17" s="137"/>
      <c r="T17" s="136" t="s">
        <v>7705</v>
      </c>
      <c r="U17" s="137"/>
      <c r="V17" s="136" t="s">
        <v>7706</v>
      </c>
      <c r="W17" s="128"/>
    </row>
    <row r="18" spans="1:23" x14ac:dyDescent="0.25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26"/>
      <c r="R18" s="138"/>
      <c r="S18" s="127"/>
      <c r="T18" s="138"/>
      <c r="U18" s="127"/>
      <c r="V18" s="138"/>
      <c r="W18" s="128"/>
    </row>
    <row r="19" spans="1:23" x14ac:dyDescent="0.25">
      <c r="A19" s="133"/>
      <c r="B19" s="139">
        <f>B13</f>
        <v>8000</v>
      </c>
      <c r="C19" s="124"/>
      <c r="D19" s="140">
        <v>2250</v>
      </c>
      <c r="E19" s="124"/>
      <c r="F19" s="139">
        <f>D19*B19</f>
        <v>18000000</v>
      </c>
      <c r="G19" s="124"/>
      <c r="H19" s="150">
        <v>420</v>
      </c>
      <c r="I19" s="151"/>
      <c r="J19" s="152">
        <f>H19*F19/1000</f>
        <v>7560000</v>
      </c>
      <c r="K19" s="124"/>
      <c r="L19" s="142" t="s">
        <v>7707</v>
      </c>
      <c r="M19" s="133"/>
      <c r="N19" s="142"/>
      <c r="O19" s="133"/>
      <c r="P19" s="142"/>
      <c r="Q19" s="142"/>
      <c r="R19" s="142"/>
      <c r="S19" s="142"/>
      <c r="T19" s="142"/>
      <c r="U19" s="142"/>
      <c r="V19" s="142"/>
      <c r="W19" s="144">
        <f>((H19*D19)-N19)/1000</f>
        <v>945</v>
      </c>
    </row>
    <row r="20" spans="1:23" x14ac:dyDescent="0.25">
      <c r="A20" s="133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33"/>
      <c r="N20" s="124"/>
      <c r="O20" s="133"/>
      <c r="P20" s="124"/>
      <c r="Q20" s="124"/>
      <c r="R20" s="145"/>
      <c r="S20" s="145"/>
      <c r="T20" s="145"/>
      <c r="U20" s="145"/>
      <c r="V20" s="145"/>
      <c r="W20" s="128"/>
    </row>
    <row r="21" spans="1:23" ht="15.75" x14ac:dyDescent="0.25">
      <c r="A21" s="126"/>
      <c r="B21" s="147" t="s">
        <v>7713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53"/>
      <c r="S21" s="153"/>
      <c r="T21" s="153"/>
      <c r="U21" s="153"/>
      <c r="V21" s="153"/>
      <c r="W21" s="128"/>
    </row>
    <row r="22" spans="1:23" ht="18.75" x14ac:dyDescent="0.3">
      <c r="A22" s="126"/>
      <c r="B22" s="132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7"/>
      <c r="S22" s="127"/>
      <c r="T22" s="127"/>
      <c r="U22" s="127"/>
      <c r="V22" s="127"/>
      <c r="W22" s="128"/>
    </row>
    <row r="23" spans="1:23" x14ac:dyDescent="0.25">
      <c r="A23" s="133"/>
      <c r="B23" s="134" t="s">
        <v>7696</v>
      </c>
      <c r="C23" s="133"/>
      <c r="D23" s="134" t="s">
        <v>7714</v>
      </c>
      <c r="E23" s="133"/>
      <c r="F23" s="134" t="s">
        <v>7715</v>
      </c>
      <c r="G23" s="133"/>
      <c r="H23" s="134" t="s">
        <v>7716</v>
      </c>
      <c r="I23" s="133"/>
      <c r="J23" s="134" t="s">
        <v>7717</v>
      </c>
      <c r="K23" s="133"/>
      <c r="L23" s="134" t="s">
        <v>7701</v>
      </c>
      <c r="M23" s="133"/>
      <c r="N23" s="134" t="s">
        <v>7702</v>
      </c>
      <c r="O23" s="133"/>
      <c r="P23" s="134" t="s">
        <v>7703</v>
      </c>
      <c r="Q23" s="135"/>
      <c r="R23" s="136" t="s">
        <v>7704</v>
      </c>
      <c r="S23" s="137"/>
      <c r="T23" s="136" t="s">
        <v>7705</v>
      </c>
      <c r="U23" s="137"/>
      <c r="V23" s="136" t="s">
        <v>7706</v>
      </c>
      <c r="W23" s="128"/>
    </row>
    <row r="24" spans="1:23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26"/>
      <c r="R24" s="138"/>
      <c r="S24" s="127"/>
      <c r="T24" s="138"/>
      <c r="U24" s="127"/>
      <c r="V24" s="138"/>
      <c r="W24" s="128"/>
    </row>
    <row r="25" spans="1:23" x14ac:dyDescent="0.25">
      <c r="A25" s="133"/>
      <c r="B25" s="329">
        <f>ProjecaoAreas!D8+ProjecaoAreas!D7</f>
        <v>36653</v>
      </c>
      <c r="C25" s="124"/>
      <c r="D25" s="330">
        <v>55</v>
      </c>
      <c r="E25" s="124"/>
      <c r="F25" s="329">
        <f>D25*B25</f>
        <v>2015915</v>
      </c>
      <c r="G25" s="124"/>
      <c r="H25" s="141">
        <v>20.07</v>
      </c>
      <c r="I25" s="154"/>
      <c r="J25" s="254">
        <f>F25*0.68*H25</f>
        <v>27512401.554000005</v>
      </c>
      <c r="K25" s="124"/>
      <c r="L25" s="331" t="s">
        <v>7718</v>
      </c>
      <c r="M25" s="133"/>
      <c r="N25" s="332">
        <f>V25/B25*1000</f>
        <v>2192.7774163297022</v>
      </c>
      <c r="O25" s="133"/>
      <c r="P25" s="332">
        <f>(ResumoCusto!P198+ResumoCusto!P203-ResumoCusto!P200-ResumoCusto!P205)-((ResumoCusto!P201+ResumoCusto!P206)*Resultado!T8)</f>
        <v>47904.448341248732</v>
      </c>
      <c r="Q25" s="142"/>
      <c r="R25" s="332">
        <f>ResumoCusto!P200+ResumoCusto!P205</f>
        <v>3273.7589798511044</v>
      </c>
      <c r="S25" s="142"/>
      <c r="T25" s="332">
        <f>(ResumoCusto!P201+ResumoCusto!P206)*T8</f>
        <v>29193.663319632749</v>
      </c>
      <c r="U25" s="142"/>
      <c r="V25" s="332">
        <f>P25+R25+T25</f>
        <v>80371.870640732581</v>
      </c>
      <c r="W25" s="327">
        <f>(H25*D25*$D$58)-N25</f>
        <v>1339.5425836702975</v>
      </c>
    </row>
    <row r="26" spans="1:23" x14ac:dyDescent="0.25">
      <c r="A26" s="133"/>
      <c r="B26" s="329"/>
      <c r="C26" s="124"/>
      <c r="D26" s="330"/>
      <c r="E26" s="124"/>
      <c r="F26" s="329"/>
      <c r="G26" s="124"/>
      <c r="H26" s="155">
        <v>76.331999999999994</v>
      </c>
      <c r="I26" s="154"/>
      <c r="J26" s="155">
        <f>F25*0.32*H26</f>
        <v>49241223.6096</v>
      </c>
      <c r="K26" s="124"/>
      <c r="L26" s="331"/>
      <c r="M26" s="133"/>
      <c r="N26" s="332"/>
      <c r="O26" s="133"/>
      <c r="P26" s="328"/>
      <c r="Q26" s="142"/>
      <c r="R26" s="328"/>
      <c r="S26" s="142"/>
      <c r="T26" s="328"/>
      <c r="U26" s="142"/>
      <c r="V26" s="328"/>
      <c r="W26" s="328"/>
    </row>
    <row r="27" spans="1:23" x14ac:dyDescent="0.25">
      <c r="A27" s="133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33"/>
      <c r="N27" s="124"/>
      <c r="O27" s="133"/>
      <c r="P27" s="124"/>
      <c r="Q27" s="124"/>
      <c r="R27" s="145"/>
      <c r="S27" s="145"/>
      <c r="T27" s="145"/>
      <c r="U27" s="145"/>
      <c r="V27" s="145"/>
      <c r="W27" s="128"/>
    </row>
    <row r="28" spans="1:23" ht="15.75" x14ac:dyDescent="0.25">
      <c r="A28" s="126"/>
      <c r="B28" s="147" t="s">
        <v>7719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53"/>
      <c r="S28" s="153"/>
      <c r="T28" s="153"/>
      <c r="U28" s="153"/>
      <c r="V28" s="153"/>
      <c r="W28" s="128"/>
    </row>
    <row r="29" spans="1:23" ht="18.75" x14ac:dyDescent="0.3">
      <c r="A29" s="126"/>
      <c r="B29" s="132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7"/>
      <c r="S29" s="127"/>
      <c r="T29" s="127"/>
      <c r="U29" s="127"/>
      <c r="V29" s="127"/>
      <c r="W29" s="128"/>
    </row>
    <row r="30" spans="1:23" x14ac:dyDescent="0.25">
      <c r="A30" s="133"/>
      <c r="B30" s="134" t="s">
        <v>7696</v>
      </c>
      <c r="C30" s="133"/>
      <c r="D30" s="134" t="s">
        <v>7714</v>
      </c>
      <c r="E30" s="133"/>
      <c r="F30" s="134" t="s">
        <v>7715</v>
      </c>
      <c r="G30" s="133"/>
      <c r="H30" s="134" t="s">
        <v>7711</v>
      </c>
      <c r="I30" s="133"/>
      <c r="J30" s="134" t="s">
        <v>7712</v>
      </c>
      <c r="K30" s="133"/>
      <c r="L30" s="134" t="s">
        <v>7701</v>
      </c>
      <c r="M30" s="133"/>
      <c r="N30" s="134" t="s">
        <v>7702</v>
      </c>
      <c r="O30" s="133"/>
      <c r="P30" s="134" t="s">
        <v>7703</v>
      </c>
      <c r="Q30" s="135"/>
      <c r="R30" s="136" t="s">
        <v>7704</v>
      </c>
      <c r="S30" s="137"/>
      <c r="T30" s="136" t="s">
        <v>7705</v>
      </c>
      <c r="U30" s="137"/>
      <c r="V30" s="136" t="s">
        <v>7706</v>
      </c>
      <c r="W30" s="128"/>
    </row>
    <row r="31" spans="1:23" x14ac:dyDescent="0.25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26"/>
      <c r="R31" s="138"/>
      <c r="S31" s="127"/>
      <c r="T31" s="138"/>
      <c r="U31" s="127"/>
      <c r="V31" s="138"/>
      <c r="W31" s="128"/>
    </row>
    <row r="32" spans="1:23" x14ac:dyDescent="0.25">
      <c r="A32" s="133"/>
      <c r="B32" s="139">
        <f>ProjecaoAreas!D11</f>
        <v>22460</v>
      </c>
      <c r="C32" s="124"/>
      <c r="D32" s="140">
        <v>100</v>
      </c>
      <c r="E32" s="124"/>
      <c r="F32" s="139">
        <f>D32*B32</f>
        <v>2246000</v>
      </c>
      <c r="G32" s="124"/>
      <c r="H32" s="150">
        <v>23.5</v>
      </c>
      <c r="I32" s="151"/>
      <c r="J32" s="150">
        <f>H32*F32</f>
        <v>52781000</v>
      </c>
      <c r="K32" s="124"/>
      <c r="L32" s="142" t="s">
        <v>7707</v>
      </c>
      <c r="M32" s="133"/>
      <c r="N32" s="143">
        <f>V32/B32*1000</f>
        <v>1375.4917685493692</v>
      </c>
      <c r="O32" s="133"/>
      <c r="P32" s="143">
        <f>(ResumoCusto!P218-ResumoCusto!P220)-(ResumoCusto!P221*Resultado!T8)</f>
        <v>18901.614376892172</v>
      </c>
      <c r="Q32" s="142"/>
      <c r="R32" s="143">
        <f>ResumoCusto!P220</f>
        <v>1333.4303864898402</v>
      </c>
      <c r="S32" s="142"/>
      <c r="T32" s="143">
        <f>ResumoCusto!P221*Resultado!T8</f>
        <v>10658.500358236823</v>
      </c>
      <c r="U32" s="142"/>
      <c r="V32" s="143">
        <f>P32+R32+T32</f>
        <v>30893.545121618834</v>
      </c>
      <c r="W32" s="144">
        <f t="array" ref="W32">((H32*D32)-N32)</f>
        <v>974.50823145063077</v>
      </c>
    </row>
    <row r="33" spans="1:23" x14ac:dyDescent="0.25">
      <c r="A33" s="13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33"/>
      <c r="N33" s="124"/>
      <c r="O33" s="133"/>
      <c r="P33" s="124"/>
      <c r="Q33" s="124"/>
      <c r="R33" s="145"/>
      <c r="S33" s="145"/>
      <c r="T33" s="145"/>
      <c r="U33" s="145"/>
      <c r="V33" s="145"/>
      <c r="W33" s="128"/>
    </row>
    <row r="34" spans="1:23" ht="15.75" x14ac:dyDescent="0.25">
      <c r="A34" s="126"/>
      <c r="B34" s="147" t="s">
        <v>7720</v>
      </c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53"/>
      <c r="S34" s="153"/>
      <c r="T34" s="153"/>
      <c r="U34" s="153"/>
      <c r="V34" s="153"/>
      <c r="W34" s="128"/>
    </row>
    <row r="35" spans="1:23" ht="18.75" x14ac:dyDescent="0.3">
      <c r="A35" s="126"/>
      <c r="B35" s="132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7"/>
      <c r="S35" s="127"/>
      <c r="T35" s="127"/>
      <c r="U35" s="127"/>
      <c r="V35" s="127"/>
      <c r="W35" s="128"/>
    </row>
    <row r="36" spans="1:23" x14ac:dyDescent="0.25">
      <c r="A36" s="133"/>
      <c r="B36" s="134" t="s">
        <v>7696</v>
      </c>
      <c r="C36" s="133"/>
      <c r="D36" s="134" t="s">
        <v>7714</v>
      </c>
      <c r="E36" s="133"/>
      <c r="F36" s="134" t="s">
        <v>7715</v>
      </c>
      <c r="G36" s="133"/>
      <c r="H36" s="134" t="s">
        <v>7711</v>
      </c>
      <c r="I36" s="133"/>
      <c r="J36" s="134" t="s">
        <v>7712</v>
      </c>
      <c r="K36" s="133"/>
      <c r="L36" s="134" t="s">
        <v>7701</v>
      </c>
      <c r="M36" s="133"/>
      <c r="N36" s="134" t="s">
        <v>7702</v>
      </c>
      <c r="O36" s="133"/>
      <c r="P36" s="134" t="s">
        <v>7703</v>
      </c>
      <c r="Q36" s="135"/>
      <c r="R36" s="136" t="s">
        <v>7704</v>
      </c>
      <c r="S36" s="137"/>
      <c r="T36" s="136" t="s">
        <v>7705</v>
      </c>
      <c r="U36" s="137"/>
      <c r="V36" s="136" t="s">
        <v>7706</v>
      </c>
      <c r="W36" s="128"/>
    </row>
    <row r="37" spans="1:23" x14ac:dyDescent="0.2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26"/>
      <c r="R37" s="138"/>
      <c r="S37" s="127"/>
      <c r="T37" s="138"/>
      <c r="U37" s="127"/>
      <c r="V37" s="138"/>
      <c r="W37" s="128"/>
    </row>
    <row r="38" spans="1:23" x14ac:dyDescent="0.25">
      <c r="A38" s="133"/>
      <c r="B38" s="139">
        <f>ResumoCusto!E208+ResumoCusto!E213</f>
        <v>4500</v>
      </c>
      <c r="C38" s="124"/>
      <c r="D38" s="140">
        <v>37</v>
      </c>
      <c r="E38" s="124"/>
      <c r="F38" s="139">
        <f>D38*B38</f>
        <v>166500</v>
      </c>
      <c r="G38" s="124"/>
      <c r="H38" s="156">
        <v>120</v>
      </c>
      <c r="I38" s="154"/>
      <c r="J38" s="155">
        <f>H38*120000</f>
        <v>14400000</v>
      </c>
      <c r="K38" s="124"/>
      <c r="L38" s="142" t="s">
        <v>7707</v>
      </c>
      <c r="M38" s="133"/>
      <c r="N38" s="143">
        <f>V38/B38*1000</f>
        <v>2264.9969508989088</v>
      </c>
      <c r="O38" s="133"/>
      <c r="P38" s="143">
        <f>(ResumoCusto!P208+ResumoCusto!P213-ResumoCusto!P210-ResumoCusto!P215)-((ResumoCusto!P211+ResumoCusto!P216)*Resultado!T8)</f>
        <v>6036.3942687022845</v>
      </c>
      <c r="Q38" s="142"/>
      <c r="R38" s="143">
        <f>ResumoCusto!P210+ResumoCusto!P215</f>
        <v>388.22230484663896</v>
      </c>
      <c r="S38" s="142"/>
      <c r="T38" s="143">
        <f>(ResumoCusto!P211+ResumoCusto!P216)*T8</f>
        <v>3767.8697054961663</v>
      </c>
      <c r="U38" s="142"/>
      <c r="V38" s="143">
        <f>P38+R38+T38</f>
        <v>10192.48627904509</v>
      </c>
      <c r="W38" s="144">
        <f t="array" ref="W38">((H38*D38*$D$58)-N38)*0.8</f>
        <v>9554.4024392808733</v>
      </c>
    </row>
    <row r="39" spans="1:23" x14ac:dyDescent="0.25">
      <c r="A39" s="133"/>
      <c r="B39" s="139"/>
      <c r="C39" s="124"/>
      <c r="D39" s="140"/>
      <c r="E39" s="124"/>
      <c r="F39" s="139"/>
      <c r="G39" s="124"/>
      <c r="H39" s="157"/>
      <c r="I39" s="124"/>
      <c r="J39" s="142"/>
      <c r="K39" s="124"/>
      <c r="L39" s="142"/>
      <c r="M39" s="133"/>
      <c r="N39" s="142"/>
      <c r="O39" s="133"/>
      <c r="P39" s="142"/>
      <c r="Q39" s="142"/>
      <c r="R39" s="142"/>
      <c r="S39" s="142"/>
      <c r="T39" s="142"/>
      <c r="U39" s="142"/>
      <c r="V39" s="142"/>
      <c r="W39" s="128"/>
    </row>
    <row r="40" spans="1:23" ht="15.75" x14ac:dyDescent="0.25">
      <c r="A40" s="133"/>
      <c r="B40" s="147" t="s">
        <v>7721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53"/>
      <c r="S40" s="153"/>
      <c r="T40" s="153"/>
      <c r="U40" s="153"/>
      <c r="V40" s="153"/>
      <c r="W40" s="128"/>
    </row>
    <row r="41" spans="1:23" ht="18.75" x14ac:dyDescent="0.3">
      <c r="A41" s="133"/>
      <c r="B41" s="132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7"/>
      <c r="S41" s="127"/>
      <c r="T41" s="127"/>
      <c r="U41" s="127"/>
      <c r="V41" s="127"/>
      <c r="W41" s="128"/>
    </row>
    <row r="42" spans="1:23" x14ac:dyDescent="0.25">
      <c r="A42" s="133"/>
      <c r="B42" s="134" t="s">
        <v>7696</v>
      </c>
      <c r="C42" s="133"/>
      <c r="D42" s="134" t="s">
        <v>7714</v>
      </c>
      <c r="E42" s="133"/>
      <c r="F42" s="134" t="s">
        <v>7715</v>
      </c>
      <c r="G42" s="133"/>
      <c r="H42" s="134" t="s">
        <v>7711</v>
      </c>
      <c r="I42" s="133"/>
      <c r="J42" s="134" t="s">
        <v>7712</v>
      </c>
      <c r="K42" s="133"/>
      <c r="L42" s="134" t="s">
        <v>7701</v>
      </c>
      <c r="M42" s="133"/>
      <c r="N42" s="134" t="s">
        <v>7702</v>
      </c>
      <c r="O42" s="133"/>
      <c r="P42" s="134" t="s">
        <v>7703</v>
      </c>
      <c r="Q42" s="135"/>
      <c r="R42" s="136" t="s">
        <v>7704</v>
      </c>
      <c r="S42" s="137"/>
      <c r="T42" s="136" t="s">
        <v>7705</v>
      </c>
      <c r="U42" s="137"/>
      <c r="V42" s="136" t="s">
        <v>7706</v>
      </c>
      <c r="W42" s="128"/>
    </row>
    <row r="43" spans="1:23" x14ac:dyDescent="0.25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26"/>
      <c r="R43" s="138"/>
      <c r="S43" s="127"/>
      <c r="T43" s="138"/>
      <c r="U43" s="127"/>
      <c r="V43" s="138"/>
      <c r="W43" s="128"/>
    </row>
    <row r="44" spans="1:23" x14ac:dyDescent="0.25">
      <c r="A44" s="133"/>
      <c r="B44" s="139">
        <f>ResumoCusto!E228</f>
        <v>500</v>
      </c>
      <c r="C44" s="124"/>
      <c r="D44" s="140">
        <v>45</v>
      </c>
      <c r="E44" s="124"/>
      <c r="F44" s="139">
        <f>D44*B44</f>
        <v>22500</v>
      </c>
      <c r="G44" s="124"/>
      <c r="H44" s="158">
        <v>45</v>
      </c>
      <c r="I44" s="151"/>
      <c r="J44" s="150">
        <f>H44*F44</f>
        <v>1012500</v>
      </c>
      <c r="K44" s="124"/>
      <c r="L44" s="142" t="s">
        <v>7707</v>
      </c>
      <c r="M44" s="133"/>
      <c r="N44" s="143">
        <f>V44/B44*1000</f>
        <v>2520.5271777909056</v>
      </c>
      <c r="O44" s="133"/>
      <c r="P44" s="143">
        <f>(ResumoCusto!P228-ResumoCusto!P230)-(ResumoCusto!P231*Resultado!T8)</f>
        <v>632.8284605742848</v>
      </c>
      <c r="Q44" s="142"/>
      <c r="R44" s="143">
        <f>ResumoCusto!P230</f>
        <v>103.47639197080292</v>
      </c>
      <c r="S44" s="142"/>
      <c r="T44" s="143">
        <f>ResumoCusto!P231*T8</f>
        <v>523.95873635036503</v>
      </c>
      <c r="U44" s="142"/>
      <c r="V44" s="143">
        <f>P44+R44+T44</f>
        <v>1260.2635888954528</v>
      </c>
      <c r="W44" s="144">
        <f t="array" ref="W44">((H44*D44)-N44)</f>
        <v>-495.52717779090563</v>
      </c>
    </row>
    <row r="45" spans="1:23" x14ac:dyDescent="0.25">
      <c r="A45" s="133"/>
      <c r="B45" s="140"/>
      <c r="C45" s="124"/>
      <c r="D45" s="140"/>
      <c r="E45" s="124"/>
      <c r="F45" s="139"/>
      <c r="G45" s="124"/>
      <c r="H45" s="142"/>
      <c r="I45" s="124"/>
      <c r="J45" s="142"/>
      <c r="K45" s="124"/>
      <c r="L45" s="142"/>
      <c r="M45" s="133"/>
      <c r="N45" s="142"/>
      <c r="O45" s="133"/>
      <c r="P45" s="142"/>
      <c r="Q45" s="142"/>
      <c r="R45" s="142"/>
      <c r="S45" s="142"/>
      <c r="T45" s="142"/>
      <c r="U45" s="142"/>
      <c r="V45" s="142"/>
      <c r="W45" s="128"/>
    </row>
    <row r="46" spans="1:23" ht="15.75" x14ac:dyDescent="0.25">
      <c r="A46" s="133"/>
      <c r="B46" s="147" t="s">
        <v>7722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53"/>
      <c r="S46" s="153"/>
      <c r="T46" s="153"/>
      <c r="U46" s="153"/>
      <c r="V46" s="153"/>
      <c r="W46" s="128"/>
    </row>
    <row r="47" spans="1:23" ht="18.75" x14ac:dyDescent="0.3">
      <c r="A47" s="133"/>
      <c r="B47" s="132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7"/>
      <c r="S47" s="127"/>
      <c r="T47" s="127"/>
      <c r="U47" s="127"/>
      <c r="V47" s="127"/>
      <c r="W47" s="128"/>
    </row>
    <row r="48" spans="1:23" x14ac:dyDescent="0.25">
      <c r="A48" s="133"/>
      <c r="B48" s="134" t="s">
        <v>7723</v>
      </c>
      <c r="C48" s="133"/>
      <c r="D48" s="134" t="s">
        <v>7724</v>
      </c>
      <c r="E48" s="133"/>
      <c r="F48" s="134" t="s">
        <v>7698</v>
      </c>
      <c r="G48" s="133"/>
      <c r="H48" s="134" t="s">
        <v>7711</v>
      </c>
      <c r="I48" s="133"/>
      <c r="J48" s="134" t="s">
        <v>7712</v>
      </c>
      <c r="K48" s="133"/>
      <c r="L48" s="134" t="s">
        <v>7701</v>
      </c>
      <c r="M48" s="133"/>
      <c r="N48" s="134" t="s">
        <v>7725</v>
      </c>
      <c r="O48" s="133"/>
      <c r="P48" s="134" t="s">
        <v>7703</v>
      </c>
      <c r="Q48" s="135"/>
      <c r="R48" s="136" t="s">
        <v>7704</v>
      </c>
      <c r="S48" s="137"/>
      <c r="T48" s="136" t="s">
        <v>7705</v>
      </c>
      <c r="U48" s="137"/>
      <c r="V48" s="136" t="s">
        <v>7706</v>
      </c>
      <c r="W48" s="128"/>
    </row>
    <row r="49" spans="1:23" x14ac:dyDescent="0.25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26"/>
      <c r="R49" s="138"/>
      <c r="S49" s="127"/>
      <c r="T49" s="138"/>
      <c r="U49" s="127"/>
      <c r="V49" s="138"/>
      <c r="W49" s="128"/>
    </row>
    <row r="50" spans="1:23" x14ac:dyDescent="0.25">
      <c r="A50" s="133"/>
      <c r="B50" s="139">
        <f>8000</f>
        <v>8000</v>
      </c>
      <c r="C50" s="124"/>
      <c r="D50" s="140">
        <v>20</v>
      </c>
      <c r="E50" s="124"/>
      <c r="F50" s="139">
        <f>D50*B50</f>
        <v>160000</v>
      </c>
      <c r="G50" s="124"/>
      <c r="H50" s="158">
        <v>146</v>
      </c>
      <c r="I50" s="151"/>
      <c r="J50" s="150">
        <f>H50*F50</f>
        <v>23360000</v>
      </c>
      <c r="K50" s="124"/>
      <c r="L50" s="159" t="s">
        <v>7726</v>
      </c>
      <c r="M50" s="133"/>
      <c r="N50" s="143">
        <f>V50/B50*1000</f>
        <v>2043.9999999999995</v>
      </c>
      <c r="O50" s="133"/>
      <c r="P50" s="143">
        <f>J50*0.7/1000</f>
        <v>16351.999999999998</v>
      </c>
      <c r="Q50" s="142"/>
      <c r="R50" s="143">
        <v>0</v>
      </c>
      <c r="S50" s="142"/>
      <c r="T50" s="143">
        <v>0</v>
      </c>
      <c r="U50" s="142"/>
      <c r="V50" s="143">
        <f>P50+R50+T50</f>
        <v>16351.999999999998</v>
      </c>
      <c r="W50" s="144">
        <f>((H50*D50)-N50)</f>
        <v>876.00000000000045</v>
      </c>
    </row>
    <row r="51" spans="1:23" x14ac:dyDescent="0.25">
      <c r="A51" s="133"/>
      <c r="B51" s="140"/>
      <c r="C51" s="124"/>
      <c r="D51" s="140"/>
      <c r="E51" s="124"/>
      <c r="F51" s="139"/>
      <c r="G51" s="124"/>
      <c r="H51" s="142"/>
      <c r="I51" s="124"/>
      <c r="J51" s="142"/>
      <c r="K51" s="124"/>
      <c r="L51" s="142"/>
      <c r="M51" s="133"/>
      <c r="N51" s="142"/>
      <c r="O51" s="133"/>
      <c r="P51" s="142"/>
      <c r="Q51" s="142"/>
      <c r="R51" s="142"/>
      <c r="S51" s="142"/>
      <c r="T51" s="142"/>
      <c r="U51" s="142"/>
      <c r="V51" s="142"/>
      <c r="W51" s="128"/>
    </row>
    <row r="52" spans="1:23" ht="15.75" x14ac:dyDescent="0.25">
      <c r="A52" s="133"/>
      <c r="B52" s="147" t="s">
        <v>7727</v>
      </c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53"/>
      <c r="S52" s="153"/>
      <c r="T52" s="153"/>
      <c r="U52" s="153"/>
      <c r="V52" s="153"/>
      <c r="W52" s="128"/>
    </row>
    <row r="53" spans="1:23" ht="18.75" x14ac:dyDescent="0.3">
      <c r="A53" s="133"/>
      <c r="B53" s="132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7"/>
      <c r="S53" s="127"/>
      <c r="T53" s="127"/>
      <c r="U53" s="127"/>
      <c r="V53" s="127"/>
      <c r="W53" s="128"/>
    </row>
    <row r="54" spans="1:23" x14ac:dyDescent="0.25">
      <c r="A54" s="133"/>
      <c r="B54" s="134" t="s">
        <v>7728</v>
      </c>
      <c r="C54" s="133"/>
      <c r="D54" s="134" t="s">
        <v>7729</v>
      </c>
      <c r="E54" s="133"/>
      <c r="F54" s="134" t="s">
        <v>7730</v>
      </c>
      <c r="G54" s="133"/>
      <c r="H54" s="134" t="s">
        <v>7711</v>
      </c>
      <c r="I54" s="133"/>
      <c r="J54" s="134" t="s">
        <v>7712</v>
      </c>
      <c r="K54" s="133"/>
      <c r="L54" s="134" t="s">
        <v>7701</v>
      </c>
      <c r="M54" s="133"/>
      <c r="N54" s="134" t="s">
        <v>7702</v>
      </c>
      <c r="O54" s="133"/>
      <c r="P54" s="134" t="s">
        <v>7703</v>
      </c>
      <c r="Q54" s="135"/>
      <c r="R54" s="136" t="s">
        <v>7704</v>
      </c>
      <c r="S54" s="137"/>
      <c r="T54" s="136" t="s">
        <v>7705</v>
      </c>
      <c r="U54" s="137"/>
      <c r="V54" s="136" t="s">
        <v>7706</v>
      </c>
      <c r="W54" s="128"/>
    </row>
    <row r="55" spans="1:23" x14ac:dyDescent="0.25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26"/>
      <c r="R55" s="138"/>
      <c r="S55" s="127"/>
      <c r="T55" s="138"/>
      <c r="U55" s="127"/>
      <c r="V55" s="138"/>
      <c r="W55" s="128"/>
    </row>
    <row r="56" spans="1:23" x14ac:dyDescent="0.25">
      <c r="A56" s="133"/>
      <c r="B56" s="139">
        <f>ResumoCusto!E233</f>
        <v>390</v>
      </c>
      <c r="C56" s="124"/>
      <c r="D56" s="140">
        <v>0</v>
      </c>
      <c r="E56" s="124"/>
      <c r="F56" s="139">
        <v>0</v>
      </c>
      <c r="G56" s="124"/>
      <c r="H56" s="158">
        <v>0</v>
      </c>
      <c r="I56" s="151"/>
      <c r="J56" s="150">
        <v>0</v>
      </c>
      <c r="K56" s="124"/>
      <c r="L56" s="159" t="s">
        <v>277</v>
      </c>
      <c r="M56" s="133"/>
      <c r="N56" s="143">
        <f>V56/B56*1000</f>
        <v>29.826326236015877</v>
      </c>
      <c r="O56" s="133"/>
      <c r="P56" s="143">
        <f>ResumoCusto!P234</f>
        <v>11.632267232046193</v>
      </c>
      <c r="Q56" s="142"/>
      <c r="R56" s="143">
        <f>ResumoCusto!P235</f>
        <v>0</v>
      </c>
      <c r="S56" s="142"/>
      <c r="T56" s="143">
        <f>ResumoCusto!P236*Resultado!T8</f>
        <v>0</v>
      </c>
      <c r="U56" s="142"/>
      <c r="V56" s="143">
        <f>P56+R56+T56</f>
        <v>11.632267232046193</v>
      </c>
      <c r="W56" s="144">
        <f>((H56*D56)-N56)</f>
        <v>-29.826326236015877</v>
      </c>
    </row>
    <row r="57" spans="1:23" x14ac:dyDescent="0.25">
      <c r="A57" s="133"/>
      <c r="B57" s="140"/>
      <c r="C57" s="124"/>
      <c r="D57" s="140"/>
      <c r="E57" s="124"/>
      <c r="F57" s="139"/>
      <c r="G57" s="124"/>
      <c r="H57" s="142"/>
      <c r="I57" s="160"/>
      <c r="J57" s="142"/>
      <c r="K57" s="124"/>
      <c r="L57" s="142"/>
      <c r="M57" s="161"/>
      <c r="N57" s="142"/>
      <c r="O57" s="133"/>
      <c r="P57" s="142"/>
      <c r="Q57" s="142"/>
      <c r="R57" s="142"/>
      <c r="S57" s="142"/>
      <c r="T57" s="142"/>
      <c r="U57" s="142"/>
      <c r="V57" s="142"/>
      <c r="W57" s="128"/>
    </row>
    <row r="58" spans="1:23" ht="15.75" x14ac:dyDescent="0.25">
      <c r="A58" s="133"/>
      <c r="B58" s="255" t="s">
        <v>7731</v>
      </c>
      <c r="C58" s="170"/>
      <c r="D58" s="256">
        <v>3.2</v>
      </c>
      <c r="E58" s="162"/>
      <c r="F58" s="162"/>
      <c r="G58" s="163"/>
      <c r="H58" s="163" t="s">
        <v>7732</v>
      </c>
      <c r="I58" s="164"/>
      <c r="J58" s="165">
        <f t="array" ref="J58">((J13*D59)+((J25*D58))+J19+J32+J44+J50+J26+J38)</f>
        <v>304548008.58240002</v>
      </c>
      <c r="K58" s="166"/>
      <c r="L58" s="163"/>
      <c r="M58" s="164"/>
      <c r="N58" s="163"/>
      <c r="O58" s="163"/>
      <c r="P58" s="165">
        <f>(P13+P19+P25+P32+P38+P44+P50+P56)*1000</f>
        <v>128031262.05586636</v>
      </c>
      <c r="Q58" s="165">
        <f t="shared" ref="Q58:V58" si="0">(Q13+Q19+Q25+Q32+Q38+Q44+Q50+Q56)*1000</f>
        <v>0</v>
      </c>
      <c r="R58" s="165">
        <f t="shared" si="0"/>
        <v>6975791.42980015</v>
      </c>
      <c r="S58" s="165">
        <f t="shared" si="0"/>
        <v>0</v>
      </c>
      <c r="T58" s="165">
        <f t="shared" si="0"/>
        <v>67163427.547433704</v>
      </c>
      <c r="U58" s="165">
        <f t="shared" si="0"/>
        <v>0</v>
      </c>
      <c r="V58" s="165">
        <f t="shared" si="0"/>
        <v>202170481.03310019</v>
      </c>
      <c r="W58" s="128"/>
    </row>
    <row r="59" spans="1:23" ht="15.75" x14ac:dyDescent="0.25">
      <c r="A59" s="133"/>
      <c r="B59" s="257" t="s">
        <v>7733</v>
      </c>
      <c r="C59" s="257"/>
      <c r="D59" s="258">
        <v>3.2</v>
      </c>
      <c r="E59" s="126"/>
      <c r="F59" s="126"/>
      <c r="G59" s="167"/>
      <c r="H59" s="167"/>
      <c r="I59" s="168"/>
      <c r="J59" s="167"/>
      <c r="K59" s="167"/>
      <c r="L59" s="167"/>
      <c r="M59" s="168"/>
      <c r="N59" s="167"/>
      <c r="O59" s="167"/>
      <c r="P59" s="271">
        <f>P58/$V$58</f>
        <v>0.6332836594225868</v>
      </c>
      <c r="Q59" s="272"/>
      <c r="R59" s="271">
        <f>R58/$V$58</f>
        <v>3.4504500331371542E-2</v>
      </c>
      <c r="S59" s="272"/>
      <c r="T59" s="271">
        <f>T58/$V$58</f>
        <v>0.33221184024604178</v>
      </c>
      <c r="U59" s="271">
        <f>U58/$V$58</f>
        <v>0</v>
      </c>
      <c r="V59" s="271">
        <f>V58/$V$58</f>
        <v>1</v>
      </c>
      <c r="W59" s="128"/>
    </row>
    <row r="60" spans="1:23" ht="15.75" x14ac:dyDescent="0.25">
      <c r="A60" s="126"/>
      <c r="B60" s="169" t="s">
        <v>7734</v>
      </c>
      <c r="C60" s="170"/>
      <c r="D60" s="259">
        <f>J13+J25</f>
        <v>48810401.554000005</v>
      </c>
      <c r="E60" s="124"/>
      <c r="F60" s="139"/>
      <c r="M60" s="171"/>
      <c r="N60" s="172"/>
      <c r="O60" s="172"/>
      <c r="U60" s="173"/>
      <c r="V60" s="173"/>
      <c r="W60" s="128"/>
    </row>
    <row r="61" spans="1:23" x14ac:dyDescent="0.25">
      <c r="B61" s="174" t="s">
        <v>7735</v>
      </c>
      <c r="C61" s="124"/>
      <c r="D61" s="150">
        <f>J19+J32+J44+J50+J56+J26+J38</f>
        <v>148354723.60960001</v>
      </c>
      <c r="J61" s="175"/>
      <c r="L61" s="175"/>
      <c r="M61" s="55"/>
    </row>
    <row r="62" spans="1:23" x14ac:dyDescent="0.25">
      <c r="J62" s="175"/>
      <c r="L62" s="175"/>
      <c r="M62" s="55"/>
    </row>
    <row r="63" spans="1:23" ht="16.5" customHeight="1" x14ac:dyDescent="0.25">
      <c r="A63" s="128"/>
      <c r="B63" s="128"/>
      <c r="C63" s="128"/>
      <c r="D63" s="128"/>
      <c r="E63" s="128"/>
      <c r="F63" s="128"/>
      <c r="J63" s="175"/>
      <c r="L63" s="175"/>
      <c r="M63" s="176"/>
      <c r="N63" s="128"/>
      <c r="O63" s="128"/>
      <c r="P63" s="128"/>
      <c r="Q63" s="128"/>
      <c r="R63" s="128"/>
      <c r="S63" s="128"/>
      <c r="T63" s="128"/>
      <c r="U63" s="128"/>
      <c r="V63" s="128"/>
      <c r="W63" s="128"/>
    </row>
    <row r="64" spans="1:23" ht="16.5" customHeight="1" x14ac:dyDescent="0.25">
      <c r="I64" s="177"/>
      <c r="J64" s="178"/>
      <c r="L64" s="175"/>
      <c r="M64" s="55"/>
      <c r="N64" s="175"/>
    </row>
    <row r="65" spans="2:28" x14ac:dyDescent="0.25">
      <c r="H65" s="7"/>
      <c r="I65" s="7"/>
      <c r="J65" s="179"/>
      <c r="L65" s="175"/>
      <c r="M65" s="55"/>
    </row>
    <row r="66" spans="2:28" x14ac:dyDescent="0.25">
      <c r="H66" s="7"/>
      <c r="I66" s="7"/>
      <c r="J66" s="179"/>
      <c r="L66" s="175"/>
      <c r="M66" s="55"/>
    </row>
    <row r="67" spans="2:28" x14ac:dyDescent="0.25">
      <c r="J67" s="175"/>
      <c r="L67" s="175"/>
      <c r="M67" s="55"/>
    </row>
    <row r="68" spans="2:28" x14ac:dyDescent="0.25">
      <c r="M68" s="55"/>
    </row>
    <row r="69" spans="2:28" x14ac:dyDescent="0.25">
      <c r="H69" s="180" t="s">
        <v>7736</v>
      </c>
      <c r="M69" s="55"/>
      <c r="P69" s="180" t="s">
        <v>7737</v>
      </c>
    </row>
    <row r="70" spans="2:28" x14ac:dyDescent="0.25">
      <c r="I70" s="55"/>
      <c r="K70" s="55"/>
      <c r="M70" s="55"/>
      <c r="N70" s="55"/>
      <c r="Q70" s="55"/>
      <c r="S70" s="55"/>
      <c r="W70" s="181"/>
      <c r="X70" s="182" t="s">
        <v>7815</v>
      </c>
      <c r="Y70" s="182"/>
      <c r="Z70" s="182"/>
      <c r="AA70" s="181"/>
      <c r="AB70" s="181"/>
    </row>
    <row r="71" spans="2:28" ht="15.75" x14ac:dyDescent="0.25">
      <c r="G71" s="183"/>
      <c r="H71" s="184" t="s">
        <v>7816</v>
      </c>
      <c r="I71" s="185"/>
      <c r="J71" s="186">
        <f>J58</f>
        <v>304548008.58240002</v>
      </c>
      <c r="K71" s="187"/>
      <c r="L71" s="188">
        <f>J71/J58</f>
        <v>1</v>
      </c>
      <c r="M71" s="55"/>
      <c r="N71" s="55"/>
      <c r="O71" s="183"/>
      <c r="P71" s="184" t="s">
        <v>7738</v>
      </c>
      <c r="Q71" s="185"/>
      <c r="R71" s="186">
        <f>J58</f>
        <v>304548008.58240002</v>
      </c>
      <c r="S71" s="187"/>
      <c r="T71" s="188">
        <f>R71/R58</f>
        <v>43.657843220683141</v>
      </c>
      <c r="W71" s="181"/>
      <c r="X71" s="189" t="s">
        <v>7739</v>
      </c>
      <c r="Y71" s="190"/>
      <c r="Z71" s="189" t="s">
        <v>7740</v>
      </c>
      <c r="AA71" s="181"/>
      <c r="AB71" s="181"/>
    </row>
    <row r="72" spans="2:28" x14ac:dyDescent="0.25">
      <c r="I72" s="55"/>
      <c r="K72" s="55"/>
      <c r="M72" s="55"/>
      <c r="N72" s="55"/>
      <c r="Q72" s="55"/>
      <c r="S72" s="55"/>
      <c r="W72" s="181"/>
      <c r="X72" s="191"/>
      <c r="Y72" s="192"/>
      <c r="Z72" s="191"/>
      <c r="AA72" s="181"/>
      <c r="AB72" s="181"/>
    </row>
    <row r="73" spans="2:28" ht="15.75" x14ac:dyDescent="0.25">
      <c r="B73" s="180" t="s">
        <v>7741</v>
      </c>
      <c r="G73" s="163"/>
      <c r="H73" s="163" t="s">
        <v>7738</v>
      </c>
      <c r="I73" s="164"/>
      <c r="J73" s="165">
        <f>SUM(J61:J66)</f>
        <v>0</v>
      </c>
      <c r="K73" s="193"/>
      <c r="L73" s="194">
        <f>J73/J71</f>
        <v>0</v>
      </c>
      <c r="M73" s="55"/>
      <c r="N73" s="55"/>
      <c r="O73" s="163"/>
      <c r="P73" s="163" t="s">
        <v>7742</v>
      </c>
      <c r="Q73" s="164"/>
      <c r="R73" s="165">
        <f>V58</f>
        <v>202170481.03310019</v>
      </c>
      <c r="S73" s="193"/>
      <c r="T73" s="194"/>
      <c r="W73" s="181"/>
      <c r="X73" s="195" t="s">
        <v>7743</v>
      </c>
      <c r="Y73" s="192"/>
      <c r="Z73" s="195" t="s">
        <v>7744</v>
      </c>
      <c r="AA73" s="181"/>
      <c r="AB73" s="181"/>
    </row>
    <row r="74" spans="2:28" x14ac:dyDescent="0.25">
      <c r="M74" s="55"/>
      <c r="N74" s="55"/>
      <c r="Q74" s="55"/>
      <c r="S74" s="55"/>
      <c r="W74" s="181"/>
      <c r="X74" s="191"/>
      <c r="Y74" s="192"/>
      <c r="Z74" s="191"/>
      <c r="AA74" s="181"/>
      <c r="AB74" s="181"/>
    </row>
    <row r="75" spans="2:28" ht="15.75" x14ac:dyDescent="0.25">
      <c r="B75" s="184" t="s">
        <v>7745</v>
      </c>
      <c r="C75" s="185"/>
      <c r="D75" s="186">
        <f>J58</f>
        <v>304548008.58240002</v>
      </c>
      <c r="G75" s="163"/>
      <c r="H75" s="163" t="s">
        <v>7817</v>
      </c>
      <c r="I75" s="164"/>
      <c r="J75" s="165">
        <f>V58</f>
        <v>202170481.03310019</v>
      </c>
      <c r="K75" s="193"/>
      <c r="L75" s="194">
        <f>J75/J71</f>
        <v>0.66383780335375242</v>
      </c>
      <c r="M75" s="55"/>
      <c r="N75" s="55"/>
      <c r="O75" s="147"/>
      <c r="P75" s="196" t="s">
        <v>7747</v>
      </c>
      <c r="Q75" s="164"/>
      <c r="R75" s="197">
        <f>R71-R73</f>
        <v>102377527.54929984</v>
      </c>
      <c r="S75" s="193"/>
      <c r="T75" s="198">
        <f>R75/(R71)</f>
        <v>0.33616219664624752</v>
      </c>
      <c r="W75" s="181"/>
      <c r="X75" s="195" t="s">
        <v>7748</v>
      </c>
      <c r="Y75" s="192"/>
      <c r="Z75" s="195" t="s">
        <v>7749</v>
      </c>
      <c r="AA75" s="181"/>
      <c r="AB75" s="181"/>
    </row>
    <row r="76" spans="2:28" x14ac:dyDescent="0.25">
      <c r="I76" s="55"/>
      <c r="K76" s="55"/>
      <c r="M76" s="55"/>
      <c r="N76" s="55"/>
      <c r="Q76" s="55"/>
      <c r="S76" s="55"/>
      <c r="W76" s="181"/>
      <c r="X76" s="191"/>
      <c r="Y76" s="192"/>
      <c r="Z76" s="191"/>
      <c r="AA76" s="181"/>
      <c r="AB76" s="181"/>
    </row>
    <row r="77" spans="2:28" ht="15.75" x14ac:dyDescent="0.25">
      <c r="B77" s="163" t="s">
        <v>7742</v>
      </c>
      <c r="C77" s="164"/>
      <c r="D77" s="165">
        <f>V58</f>
        <v>202170481.03310019</v>
      </c>
      <c r="G77" s="163"/>
      <c r="H77" s="163" t="s">
        <v>7746</v>
      </c>
      <c r="I77" s="164"/>
      <c r="J77" s="165">
        <f>SUM(L61:L66)</f>
        <v>0</v>
      </c>
      <c r="K77" s="193"/>
      <c r="L77" s="194" t="e">
        <f>J77/J73</f>
        <v>#DIV/0!</v>
      </c>
      <c r="M77" s="55"/>
      <c r="O77" s="163"/>
      <c r="P77" s="163" t="s">
        <v>7750</v>
      </c>
      <c r="Q77" s="164"/>
      <c r="R77" s="165">
        <f>X72+Z72</f>
        <v>0</v>
      </c>
      <c r="S77" s="193"/>
      <c r="T77" s="199"/>
      <c r="W77" s="181"/>
      <c r="X77" s="195" t="s">
        <v>7751</v>
      </c>
      <c r="Y77" s="192"/>
      <c r="Z77" s="195" t="s">
        <v>7752</v>
      </c>
      <c r="AA77" s="181"/>
      <c r="AB77" s="181"/>
    </row>
    <row r="78" spans="2:28" x14ac:dyDescent="0.25">
      <c r="B78" s="200"/>
      <c r="C78" s="200"/>
      <c r="D78" s="201"/>
      <c r="M78" s="55"/>
      <c r="Q78" s="55"/>
      <c r="S78" s="55"/>
      <c r="W78" s="181"/>
      <c r="X78" s="191"/>
      <c r="Y78" s="192"/>
      <c r="Z78" s="191"/>
      <c r="AA78" s="181"/>
      <c r="AB78" s="181"/>
    </row>
    <row r="79" spans="2:28" ht="15.75" x14ac:dyDescent="0.25">
      <c r="B79" s="196" t="s">
        <v>7747</v>
      </c>
      <c r="C79" s="164"/>
      <c r="D79" s="197">
        <f>D75-D77</f>
        <v>102377527.54929984</v>
      </c>
      <c r="G79" s="147"/>
      <c r="H79" s="196" t="s">
        <v>7747</v>
      </c>
      <c r="I79" s="164"/>
      <c r="J79" s="197">
        <f>J71+J73-J75-J77</f>
        <v>102377527.54929984</v>
      </c>
      <c r="K79" s="193"/>
      <c r="L79" s="198">
        <f>J79/(J71+J73)</f>
        <v>0.33616219664624752</v>
      </c>
      <c r="M79" s="55"/>
      <c r="O79" s="163"/>
      <c r="P79" s="163" t="s">
        <v>7753</v>
      </c>
      <c r="Q79" s="164"/>
      <c r="R79" s="165">
        <f>X74+Z74</f>
        <v>0</v>
      </c>
      <c r="S79" s="193"/>
      <c r="T79" s="199"/>
      <c r="W79" s="181"/>
      <c r="X79" s="195" t="s">
        <v>7754</v>
      </c>
      <c r="Y79" s="192"/>
      <c r="Z79" s="195" t="s">
        <v>7755</v>
      </c>
      <c r="AA79" s="181"/>
      <c r="AB79" s="181"/>
    </row>
    <row r="80" spans="2:28" x14ac:dyDescent="0.25">
      <c r="B80" s="202"/>
      <c r="C80" s="202"/>
      <c r="D80" s="203"/>
      <c r="I80" s="55"/>
      <c r="K80" s="55"/>
      <c r="M80" s="55"/>
      <c r="Q80" s="55"/>
      <c r="S80" s="55"/>
      <c r="W80" s="181"/>
      <c r="X80" s="191"/>
      <c r="Y80" s="192"/>
      <c r="Z80" s="191"/>
      <c r="AA80" s="181"/>
      <c r="AB80" s="181"/>
    </row>
    <row r="81" spans="2:28" ht="15.75" x14ac:dyDescent="0.25">
      <c r="B81" s="163" t="s">
        <v>7750</v>
      </c>
      <c r="C81" s="164"/>
      <c r="D81" s="165">
        <f>X72+Z72</f>
        <v>0</v>
      </c>
      <c r="G81" s="163"/>
      <c r="H81" s="163" t="s">
        <v>7750</v>
      </c>
      <c r="I81" s="164"/>
      <c r="J81" s="165">
        <f>X72+Z72</f>
        <v>0</v>
      </c>
      <c r="K81" s="193"/>
      <c r="L81" s="199"/>
      <c r="M81" s="55"/>
      <c r="O81" s="163"/>
      <c r="P81" s="163" t="s">
        <v>7756</v>
      </c>
      <c r="Q81" s="164"/>
      <c r="R81" s="165">
        <f>X80+Z80</f>
        <v>0</v>
      </c>
      <c r="S81" s="193"/>
      <c r="T81" s="199"/>
      <c r="W81" s="181"/>
      <c r="X81" s="204" t="s">
        <v>7757</v>
      </c>
      <c r="Y81" s="190"/>
      <c r="Z81" s="204" t="s">
        <v>7758</v>
      </c>
      <c r="AA81" s="181"/>
      <c r="AB81" s="181"/>
    </row>
    <row r="82" spans="2:28" x14ac:dyDescent="0.25">
      <c r="C82" s="55"/>
      <c r="I82" s="55"/>
      <c r="K82" s="55"/>
      <c r="M82" s="55"/>
      <c r="Q82" s="55"/>
      <c r="S82" s="55"/>
      <c r="W82" s="181"/>
      <c r="X82" s="191"/>
      <c r="Y82" s="205"/>
      <c r="Z82" s="191"/>
      <c r="AA82" s="181"/>
      <c r="AB82" s="181"/>
    </row>
    <row r="83" spans="2:28" ht="15.75" x14ac:dyDescent="0.25">
      <c r="B83" s="163" t="s">
        <v>7756</v>
      </c>
      <c r="C83" s="164"/>
      <c r="D83" s="165">
        <f>X80+Z80</f>
        <v>0</v>
      </c>
      <c r="G83" s="163"/>
      <c r="H83" s="163" t="s">
        <v>7753</v>
      </c>
      <c r="I83" s="164"/>
      <c r="J83" s="165">
        <f>X74+Z74</f>
        <v>0</v>
      </c>
      <c r="K83" s="193"/>
      <c r="L83" s="199"/>
      <c r="M83" s="55"/>
      <c r="O83" s="147"/>
      <c r="P83" s="196" t="s">
        <v>7759</v>
      </c>
      <c r="Q83" s="164"/>
      <c r="R83" s="197">
        <f>R75-R77-R79-R81</f>
        <v>102377527.54929984</v>
      </c>
      <c r="S83" s="193"/>
      <c r="T83" s="206">
        <f>R83/R71</f>
        <v>0.33616219664624752</v>
      </c>
      <c r="W83" s="181"/>
      <c r="X83" s="205"/>
      <c r="Y83" s="205"/>
      <c r="Z83" s="205"/>
      <c r="AA83" s="181"/>
      <c r="AB83" s="181"/>
    </row>
    <row r="84" spans="2:28" x14ac:dyDescent="0.25">
      <c r="I84" s="55"/>
      <c r="K84" s="55"/>
      <c r="M84" s="55"/>
      <c r="Q84" s="55"/>
      <c r="S84" s="55"/>
      <c r="W84" s="181"/>
      <c r="X84" s="205"/>
      <c r="Y84" s="205"/>
      <c r="Z84" s="205"/>
      <c r="AA84" s="181"/>
      <c r="AB84" s="181"/>
    </row>
    <row r="85" spans="2:28" ht="15.75" x14ac:dyDescent="0.25">
      <c r="B85" s="196" t="s">
        <v>7760</v>
      </c>
      <c r="C85" s="164"/>
      <c r="D85" s="197">
        <f>D79-D81-D83</f>
        <v>102377527.54929984</v>
      </c>
      <c r="G85" s="163"/>
      <c r="H85" s="163" t="s">
        <v>7756</v>
      </c>
      <c r="I85" s="164"/>
      <c r="J85" s="165">
        <f>X80+Z80</f>
        <v>0</v>
      </c>
      <c r="K85" s="193"/>
      <c r="L85" s="199"/>
      <c r="M85" s="55"/>
      <c r="O85" s="163"/>
      <c r="P85" s="163" t="s">
        <v>7761</v>
      </c>
      <c r="Q85" s="164"/>
      <c r="R85" s="165">
        <f>X82</f>
        <v>0</v>
      </c>
      <c r="S85" s="193"/>
      <c r="T85" s="199"/>
      <c r="W85" s="207"/>
      <c r="X85" s="205"/>
      <c r="Y85" s="205"/>
      <c r="Z85" s="205"/>
      <c r="AA85" s="181"/>
      <c r="AB85" s="181"/>
    </row>
    <row r="86" spans="2:28" x14ac:dyDescent="0.25">
      <c r="I86" s="55"/>
      <c r="K86" s="55"/>
      <c r="M86" s="55"/>
      <c r="Q86" s="55"/>
      <c r="S86" s="55"/>
      <c r="W86" s="208"/>
      <c r="X86" s="181"/>
      <c r="Y86" s="181"/>
      <c r="Z86" s="181"/>
      <c r="AA86" s="181"/>
      <c r="AB86" s="181"/>
    </row>
    <row r="87" spans="2:28" ht="15.75" x14ac:dyDescent="0.25">
      <c r="B87" s="163" t="s">
        <v>7762</v>
      </c>
      <c r="C87" s="164"/>
      <c r="D87" s="165">
        <v>0</v>
      </c>
      <c r="G87" s="147"/>
      <c r="H87" s="196" t="s">
        <v>7759</v>
      </c>
      <c r="I87" s="164"/>
      <c r="J87" s="197">
        <f>J79-J81-J83-J85</f>
        <v>102377527.54929984</v>
      </c>
      <c r="K87" s="193"/>
      <c r="L87" s="206">
        <f>J87/J71</f>
        <v>0.33616219664624752</v>
      </c>
      <c r="M87" s="55"/>
      <c r="O87" s="163"/>
      <c r="P87" s="163" t="s">
        <v>7763</v>
      </c>
      <c r="Q87" s="164"/>
      <c r="R87" s="165">
        <f>Z82</f>
        <v>0</v>
      </c>
      <c r="S87" s="193"/>
      <c r="T87" s="199"/>
      <c r="W87" s="190"/>
      <c r="X87" s="181"/>
      <c r="Y87" s="181"/>
      <c r="Z87" s="181"/>
      <c r="AA87" s="181"/>
      <c r="AB87" s="181"/>
    </row>
    <row r="88" spans="2:28" x14ac:dyDescent="0.25">
      <c r="I88" s="55"/>
      <c r="K88" s="55"/>
      <c r="M88" s="55"/>
      <c r="Q88" s="55"/>
      <c r="S88" s="55"/>
      <c r="W88" s="190"/>
      <c r="X88" s="181"/>
      <c r="Y88" s="181"/>
      <c r="Z88" s="181"/>
      <c r="AA88" s="181"/>
      <c r="AB88" s="181"/>
    </row>
    <row r="89" spans="2:28" ht="15.75" x14ac:dyDescent="0.25">
      <c r="B89" s="163" t="s">
        <v>7764</v>
      </c>
      <c r="C89" s="164"/>
      <c r="D89" s="165">
        <f>X78+Z78</f>
        <v>0</v>
      </c>
      <c r="G89" s="163"/>
      <c r="H89" s="163" t="s">
        <v>7761</v>
      </c>
      <c r="I89" s="164"/>
      <c r="J89" s="165">
        <f>X82</f>
        <v>0</v>
      </c>
      <c r="K89" s="193"/>
      <c r="L89" s="199"/>
      <c r="M89" s="55"/>
      <c r="O89" s="147"/>
      <c r="P89" s="196" t="s">
        <v>7765</v>
      </c>
      <c r="Q89" s="164"/>
      <c r="R89" s="197">
        <f>R83-R85-R87</f>
        <v>102377527.54929984</v>
      </c>
      <c r="S89" s="193"/>
      <c r="T89" s="198">
        <f>R89/R71</f>
        <v>0.33616219664624752</v>
      </c>
      <c r="W89" s="208"/>
      <c r="X89" s="181"/>
      <c r="Y89" s="181"/>
      <c r="Z89" s="181"/>
      <c r="AA89" s="181"/>
      <c r="AB89" s="181"/>
    </row>
    <row r="90" spans="2:28" x14ac:dyDescent="0.25">
      <c r="I90" s="55"/>
      <c r="K90" s="55"/>
      <c r="M90" s="55"/>
      <c r="Q90" s="55"/>
      <c r="S90" s="55"/>
      <c r="W90" s="190"/>
      <c r="X90" s="191" t="s">
        <v>16</v>
      </c>
      <c r="Y90" s="190"/>
      <c r="Z90" s="191"/>
      <c r="AA90" s="181"/>
      <c r="AB90" s="181">
        <f>X76-Z91</f>
        <v>0</v>
      </c>
    </row>
    <row r="91" spans="2:28" ht="15.75" x14ac:dyDescent="0.25">
      <c r="B91" s="163" t="s">
        <v>7766</v>
      </c>
      <c r="C91" s="164"/>
      <c r="D91" s="165">
        <f>X76+Z76</f>
        <v>0</v>
      </c>
      <c r="G91" s="163"/>
      <c r="H91" s="163" t="s">
        <v>7763</v>
      </c>
      <c r="I91" s="164"/>
      <c r="J91" s="165">
        <f>Z82</f>
        <v>0</v>
      </c>
      <c r="K91" s="193"/>
      <c r="L91" s="199"/>
      <c r="M91" s="209"/>
      <c r="O91" s="163"/>
      <c r="P91" s="163" t="s">
        <v>7762</v>
      </c>
      <c r="Q91" s="164"/>
      <c r="R91" s="165">
        <v>0</v>
      </c>
      <c r="S91" s="193"/>
      <c r="T91" s="199"/>
      <c r="W91" s="190"/>
      <c r="X91" s="191" t="s">
        <v>27</v>
      </c>
      <c r="Y91" s="190"/>
      <c r="Z91" s="191"/>
      <c r="AA91" s="181"/>
      <c r="AB91" s="181"/>
    </row>
    <row r="92" spans="2:28" x14ac:dyDescent="0.25">
      <c r="I92" s="55"/>
      <c r="K92" s="55"/>
      <c r="Q92" s="55"/>
      <c r="S92" s="55"/>
      <c r="W92" s="207"/>
      <c r="X92" s="210"/>
      <c r="Y92" s="190"/>
      <c r="Z92" s="210"/>
      <c r="AA92" s="181"/>
      <c r="AB92" s="181"/>
    </row>
    <row r="93" spans="2:28" ht="15.75" x14ac:dyDescent="0.25">
      <c r="B93" s="163" t="s">
        <v>7767</v>
      </c>
      <c r="C93" s="164"/>
      <c r="D93" s="165">
        <v>0</v>
      </c>
      <c r="G93" s="147"/>
      <c r="H93" s="196" t="s">
        <v>7765</v>
      </c>
      <c r="I93" s="164"/>
      <c r="J93" s="197">
        <f>J87-J89-J91</f>
        <v>102377527.54929984</v>
      </c>
      <c r="K93" s="193"/>
      <c r="L93" s="198">
        <f>J93/J71</f>
        <v>0.33616219664624752</v>
      </c>
      <c r="O93" s="163"/>
      <c r="P93" s="163" t="s">
        <v>7766</v>
      </c>
      <c r="Q93" s="164"/>
      <c r="R93" s="165">
        <f>X76+Z76</f>
        <v>0</v>
      </c>
      <c r="S93" s="193"/>
      <c r="T93" s="199"/>
      <c r="W93" s="207"/>
      <c r="X93" s="191" t="s">
        <v>7768</v>
      </c>
      <c r="Y93" s="181"/>
      <c r="Z93" s="211" t="e">
        <f>AB90/Z90</f>
        <v>#DIV/0!</v>
      </c>
      <c r="AA93" s="181"/>
      <c r="AB93" s="181"/>
    </row>
    <row r="94" spans="2:28" x14ac:dyDescent="0.25">
      <c r="I94" s="55"/>
      <c r="K94" s="55"/>
      <c r="Q94" s="55"/>
      <c r="S94" s="55"/>
      <c r="W94" s="207"/>
      <c r="X94" s="210"/>
      <c r="Y94" s="190"/>
      <c r="Z94" s="204"/>
      <c r="AA94" s="181"/>
      <c r="AB94" s="181"/>
    </row>
    <row r="95" spans="2:28" ht="15.75" x14ac:dyDescent="0.25">
      <c r="B95" s="196" t="s">
        <v>7765</v>
      </c>
      <c r="C95" s="164"/>
      <c r="D95" s="197">
        <f>D85-D87-D89-D91+D93</f>
        <v>102377527.54929984</v>
      </c>
      <c r="G95" s="163"/>
      <c r="H95" s="163" t="s">
        <v>7762</v>
      </c>
      <c r="I95" s="164"/>
      <c r="J95" s="165">
        <v>0</v>
      </c>
      <c r="K95" s="193"/>
      <c r="L95" s="199"/>
      <c r="O95" s="163"/>
      <c r="P95" s="163" t="s">
        <v>7769</v>
      </c>
      <c r="Q95" s="164"/>
      <c r="R95" s="165">
        <f>X78+Z78</f>
        <v>0</v>
      </c>
      <c r="S95" s="193"/>
      <c r="T95" s="199"/>
      <c r="W95" s="181"/>
      <c r="X95" s="212" t="s">
        <v>7770</v>
      </c>
      <c r="Y95" s="190"/>
      <c r="Z95" s="204"/>
      <c r="AA95" s="181"/>
      <c r="AB95" s="181">
        <f>Z76-Z98</f>
        <v>0</v>
      </c>
    </row>
    <row r="96" spans="2:28" x14ac:dyDescent="0.25">
      <c r="I96" s="55"/>
      <c r="K96" s="55"/>
      <c r="Q96" s="55"/>
      <c r="S96" s="55"/>
      <c r="W96" s="181"/>
      <c r="X96" s="210"/>
      <c r="Y96" s="181"/>
      <c r="Z96" s="210"/>
      <c r="AA96" s="181"/>
      <c r="AB96" s="181"/>
    </row>
    <row r="97" spans="7:28" ht="15.75" x14ac:dyDescent="0.25">
      <c r="G97" s="163"/>
      <c r="H97" s="163" t="s">
        <v>7766</v>
      </c>
      <c r="I97" s="164"/>
      <c r="J97" s="165">
        <f>X76+Z76</f>
        <v>0</v>
      </c>
      <c r="K97" s="193"/>
      <c r="L97" s="199"/>
      <c r="O97" s="163"/>
      <c r="P97" s="163" t="s">
        <v>7767</v>
      </c>
      <c r="Q97" s="164"/>
      <c r="R97" s="165">
        <v>0</v>
      </c>
      <c r="S97" s="193"/>
      <c r="T97" s="199"/>
      <c r="W97" s="181"/>
      <c r="X97" s="211" t="s">
        <v>16</v>
      </c>
      <c r="Y97" s="190"/>
      <c r="Z97" s="191"/>
      <c r="AA97" s="181"/>
      <c r="AB97" s="181"/>
    </row>
    <row r="98" spans="7:28" x14ac:dyDescent="0.25">
      <c r="I98" s="55"/>
      <c r="K98" s="55"/>
      <c r="Q98" s="55"/>
      <c r="S98" s="55"/>
      <c r="W98" s="181"/>
      <c r="X98" s="211" t="s">
        <v>27</v>
      </c>
      <c r="Y98" s="190"/>
      <c r="Z98" s="191"/>
      <c r="AA98" s="181"/>
      <c r="AB98" s="181"/>
    </row>
    <row r="99" spans="7:28" ht="15.75" x14ac:dyDescent="0.25">
      <c r="G99" s="163"/>
      <c r="H99" s="163" t="s">
        <v>7769</v>
      </c>
      <c r="I99" s="164"/>
      <c r="J99" s="165">
        <f>X78+Z78</f>
        <v>0</v>
      </c>
      <c r="K99" s="193"/>
      <c r="L99" s="199"/>
      <c r="O99" s="147"/>
      <c r="P99" s="196" t="s">
        <v>7771</v>
      </c>
      <c r="Q99" s="164"/>
      <c r="R99" s="197">
        <f>R89-R91-R93-R95+R97</f>
        <v>102377527.54929984</v>
      </c>
      <c r="S99" s="193"/>
      <c r="T99" s="198">
        <f>R99/R71</f>
        <v>0.33616219664624752</v>
      </c>
      <c r="W99" s="181"/>
      <c r="X99" s="210"/>
      <c r="Y99" s="181"/>
      <c r="Z99" s="210"/>
      <c r="AA99" s="181"/>
      <c r="AB99" s="181"/>
    </row>
    <row r="100" spans="7:28" x14ac:dyDescent="0.25">
      <c r="I100" s="55"/>
      <c r="K100" s="55"/>
      <c r="W100" s="181"/>
      <c r="X100" s="211" t="s">
        <v>7772</v>
      </c>
      <c r="Y100" s="190"/>
      <c r="Z100" s="211" t="e">
        <f>AB95/Z97</f>
        <v>#DIV/0!</v>
      </c>
      <c r="AA100" s="181"/>
      <c r="AB100" s="181"/>
    </row>
    <row r="101" spans="7:28" ht="15.75" x14ac:dyDescent="0.25">
      <c r="G101" s="163"/>
      <c r="H101" s="163" t="s">
        <v>7767</v>
      </c>
      <c r="I101" s="164"/>
      <c r="J101" s="165">
        <v>0</v>
      </c>
      <c r="K101" s="193"/>
      <c r="L101" s="199"/>
      <c r="U101" s="181"/>
      <c r="V101" s="181"/>
      <c r="W101" s="181"/>
      <c r="X101" s="181"/>
    </row>
  </sheetData>
  <mergeCells count="12">
    <mergeCell ref="W25:W26"/>
    <mergeCell ref="B2:D3"/>
    <mergeCell ref="B7:E7"/>
    <mergeCell ref="B25:B26"/>
    <mergeCell ref="D25:D26"/>
    <mergeCell ref="F25:F26"/>
    <mergeCell ref="L25:L26"/>
    <mergeCell ref="N25:N26"/>
    <mergeCell ref="P25:P26"/>
    <mergeCell ref="R25:R26"/>
    <mergeCell ref="T25:T26"/>
    <mergeCell ref="V25:V26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opLeftCell="A13" zoomScale="70" zoomScaleNormal="70" workbookViewId="0">
      <selection activeCell="T25" sqref="T25"/>
    </sheetView>
  </sheetViews>
  <sheetFormatPr defaultRowHeight="15" x14ac:dyDescent="0.25"/>
  <cols>
    <col min="1" max="1" width="2.5703125" style="6" bestFit="1" customWidth="1"/>
    <col min="2" max="2" width="9.7109375" style="6" customWidth="1"/>
    <col min="3" max="3" width="4.28515625" style="6" bestFit="1" customWidth="1"/>
    <col min="4" max="4" width="35.28515625" style="6" customWidth="1"/>
    <col min="5" max="5" width="11.42578125" style="6" customWidth="1"/>
    <col min="6" max="16" width="16" style="6" customWidth="1"/>
    <col min="17" max="17" width="14.7109375" style="6" bestFit="1" customWidth="1"/>
    <col min="18" max="16384" width="9.140625" style="6"/>
  </cols>
  <sheetData>
    <row r="1" spans="1:17" ht="17.25" customHeight="1" thickBot="1" x14ac:dyDescent="0.3">
      <c r="A1" s="27"/>
      <c r="B1" s="325" t="s">
        <v>7679</v>
      </c>
      <c r="C1" s="325"/>
      <c r="D1" s="325"/>
      <c r="E1" s="7"/>
      <c r="F1" s="7"/>
      <c r="G1" s="7"/>
      <c r="H1" s="7"/>
      <c r="I1" s="7"/>
      <c r="J1" s="7"/>
      <c r="M1" s="3"/>
      <c r="N1" s="3"/>
      <c r="O1" s="8"/>
      <c r="P1" s="3"/>
      <c r="Q1" s="3"/>
    </row>
    <row r="2" spans="1:17" ht="17.25" customHeight="1" thickBot="1" x14ac:dyDescent="0.3">
      <c r="A2" s="27"/>
      <c r="B2" s="325"/>
      <c r="C2" s="325"/>
      <c r="D2" s="325"/>
      <c r="E2" s="7"/>
      <c r="F2" s="7"/>
      <c r="G2" s="7"/>
      <c r="H2" s="7"/>
      <c r="I2" s="7"/>
      <c r="J2" s="7"/>
      <c r="M2" s="3"/>
      <c r="N2" s="3"/>
      <c r="O2" s="8"/>
      <c r="P2" s="3"/>
      <c r="Q2" s="3"/>
    </row>
    <row r="3" spans="1:17" ht="24" customHeight="1" thickBot="1" x14ac:dyDescent="0.35">
      <c r="A3" s="27"/>
      <c r="B3" s="9" t="s">
        <v>7680</v>
      </c>
      <c r="C3" s="9"/>
      <c r="D3" s="7"/>
      <c r="E3" s="7"/>
      <c r="F3" s="7"/>
      <c r="G3" s="7"/>
      <c r="H3" s="7"/>
      <c r="I3" s="7"/>
      <c r="J3" s="7"/>
      <c r="M3" s="3"/>
      <c r="N3" s="3"/>
      <c r="O3" s="8"/>
      <c r="P3" s="3"/>
      <c r="Q3" s="3"/>
    </row>
    <row r="4" spans="1:17" ht="9" customHeight="1" thickBot="1" x14ac:dyDescent="0.35">
      <c r="A4" s="27"/>
      <c r="B4" s="9"/>
      <c r="C4" s="9"/>
      <c r="D4" s="7"/>
      <c r="E4" s="7"/>
      <c r="F4" s="7"/>
      <c r="G4" s="7"/>
      <c r="H4" s="7"/>
      <c r="I4" s="7"/>
      <c r="J4" s="7"/>
      <c r="M4" s="3"/>
      <c r="N4" s="3"/>
      <c r="O4" s="8"/>
      <c r="P4" s="3"/>
      <c r="Q4" s="3"/>
    </row>
    <row r="5" spans="1:17" ht="21.75" customHeight="1" thickBot="1" x14ac:dyDescent="0.3">
      <c r="A5" s="27"/>
      <c r="B5" s="213" t="s">
        <v>7787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20.25" customHeight="1" thickBot="1" x14ac:dyDescent="0.3">
      <c r="A6" s="27"/>
      <c r="B6" s="338">
        <f ca="1">TODAY()</f>
        <v>42601</v>
      </c>
      <c r="C6" s="338"/>
      <c r="D6" s="338"/>
      <c r="E6" s="338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6.5" customHeight="1" thickBot="1" x14ac:dyDescent="0.3">
      <c r="A7" s="27"/>
      <c r="B7" s="214"/>
      <c r="C7" s="215"/>
      <c r="D7" s="216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217"/>
    </row>
    <row r="8" spans="1:17" ht="16.5" customHeight="1" thickBot="1" x14ac:dyDescent="0.3">
      <c r="A8" s="15"/>
      <c r="B8" s="339" t="s">
        <v>7773</v>
      </c>
      <c r="C8" s="340"/>
      <c r="D8" s="341"/>
      <c r="E8" s="345"/>
      <c r="F8" s="346"/>
      <c r="G8" s="346"/>
      <c r="H8" s="346"/>
      <c r="I8" s="346"/>
      <c r="J8" s="346"/>
      <c r="K8" s="346"/>
      <c r="L8" s="346"/>
      <c r="M8" s="346"/>
      <c r="N8" s="346"/>
      <c r="O8" s="346"/>
      <c r="P8" s="347"/>
      <c r="Q8" s="348" t="s">
        <v>7681</v>
      </c>
    </row>
    <row r="9" spans="1:17" ht="35.25" customHeight="1" thickBot="1" x14ac:dyDescent="0.3">
      <c r="A9" s="218"/>
      <c r="B9" s="342"/>
      <c r="C9" s="343"/>
      <c r="D9" s="344"/>
      <c r="E9" s="219" t="s">
        <v>7682</v>
      </c>
      <c r="F9" s="219" t="s">
        <v>20</v>
      </c>
      <c r="G9" s="219" t="s">
        <v>330</v>
      </c>
      <c r="H9" s="219" t="s">
        <v>322</v>
      </c>
      <c r="I9" s="219" t="s">
        <v>336</v>
      </c>
      <c r="J9" s="219" t="s">
        <v>7675</v>
      </c>
      <c r="K9" s="219" t="s">
        <v>156</v>
      </c>
      <c r="L9" s="219" t="s">
        <v>42</v>
      </c>
      <c r="M9" s="219" t="s">
        <v>7774</v>
      </c>
      <c r="N9" s="219" t="s">
        <v>29</v>
      </c>
      <c r="O9" s="220" t="s">
        <v>7775</v>
      </c>
      <c r="P9" s="219" t="s">
        <v>7683</v>
      </c>
      <c r="Q9" s="349"/>
    </row>
    <row r="10" spans="1:17" ht="15.75" thickBot="1" x14ac:dyDescent="0.3">
      <c r="A10" s="27"/>
      <c r="B10" s="221"/>
      <c r="C10" s="222"/>
      <c r="D10" s="27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6"/>
    </row>
    <row r="11" spans="1:17" ht="18" customHeight="1" thickBot="1" x14ac:dyDescent="0.3">
      <c r="A11" s="27"/>
      <c r="B11" s="333" t="s">
        <v>7693</v>
      </c>
      <c r="C11" s="223"/>
      <c r="D11" s="39" t="s">
        <v>7659</v>
      </c>
      <c r="E11" s="40">
        <f>ResumoCusto!E198</f>
        <v>12800</v>
      </c>
      <c r="F11" s="40">
        <f>ResumoCusto!F198</f>
        <v>8804.4971374501929</v>
      </c>
      <c r="G11" s="40">
        <f>ResumoCusto!G198</f>
        <v>6392.0785461331116</v>
      </c>
      <c r="H11" s="40">
        <f>ResumoCusto!H198</f>
        <v>1807.7025899839889</v>
      </c>
      <c r="I11" s="40">
        <f>ResumoCusto!I198</f>
        <v>3074.2390711962744</v>
      </c>
      <c r="J11" s="40">
        <f>ResumoCusto!J198</f>
        <v>3218.5588354653337</v>
      </c>
      <c r="K11" s="40">
        <f>ResumoCusto!K198</f>
        <v>1608.5645557254427</v>
      </c>
      <c r="L11" s="40">
        <f>ResumoCusto!L198</f>
        <v>1119.6427407727101</v>
      </c>
      <c r="M11" s="40">
        <f>ResumoCusto!M198</f>
        <v>708.94666967285286</v>
      </c>
      <c r="N11" s="40">
        <f>ResumoCusto!N198</f>
        <v>339.69605738109954</v>
      </c>
      <c r="O11" s="40">
        <f>ResumoCusto!O198</f>
        <v>1204.788821808743</v>
      </c>
      <c r="P11" s="40">
        <f t="array" ref="P11">SUM(F11:O11)</f>
        <v>28278.71502558975</v>
      </c>
      <c r="Q11" s="42">
        <f t="array" ref="Q11">(P11/E11)*1000</f>
        <v>2209.2746113741996</v>
      </c>
    </row>
    <row r="12" spans="1:17" ht="15.75" thickBot="1" x14ac:dyDescent="0.3">
      <c r="A12" s="27"/>
      <c r="B12" s="334"/>
      <c r="C12" s="223"/>
      <c r="D12" s="224"/>
      <c r="E12" s="225"/>
      <c r="F12" s="226">
        <f t="array" ref="F12">F11/$P11</f>
        <v>0.31134714323062052</v>
      </c>
      <c r="G12" s="226">
        <f t="array" ref="G12">G11/$P11</f>
        <v>0.22603850777338513</v>
      </c>
      <c r="H12" s="226">
        <f t="array" ref="H12">H11/$P11</f>
        <v>6.3924495449958638E-2</v>
      </c>
      <c r="I12" s="226">
        <f t="array" ref="I12">I11/$P11</f>
        <v>0.10871212034968203</v>
      </c>
      <c r="J12" s="226">
        <f t="array" ref="J12">J11/$P11</f>
        <v>0.11381559708610596</v>
      </c>
      <c r="K12" s="226">
        <f t="array" ref="K12">K11/$P11</f>
        <v>5.6882519388516531E-2</v>
      </c>
      <c r="L12" s="226">
        <f t="array" ref="L12">L11/$P11</f>
        <v>3.959312648256938E-2</v>
      </c>
      <c r="M12" s="226">
        <f t="array" ref="M12">M11/$P11</f>
        <v>2.5069974679942795E-2</v>
      </c>
      <c r="N12" s="226">
        <f t="array" ref="N12">N11/$P11</f>
        <v>1.2012429032709035E-2</v>
      </c>
      <c r="O12" s="226">
        <f t="array" ref="O12">O11/$P11</f>
        <v>4.260408652650996E-2</v>
      </c>
      <c r="P12" s="226">
        <f t="array" ref="P12">P11/$P11</f>
        <v>1</v>
      </c>
      <c r="Q12" s="227"/>
    </row>
    <row r="13" spans="1:17" ht="15.75" thickBot="1" x14ac:dyDescent="0.3">
      <c r="A13" s="27"/>
      <c r="B13" s="334"/>
      <c r="C13" s="223"/>
      <c r="D13" s="39" t="s">
        <v>7660</v>
      </c>
      <c r="E13" s="40">
        <f>ResumoCusto!E203</f>
        <v>23853</v>
      </c>
      <c r="F13" s="40">
        <f>ResumoCusto!F203</f>
        <v>17207.509775678296</v>
      </c>
      <c r="G13" s="40">
        <f>ResumoCusto!G203</f>
        <v>12884.387915894171</v>
      </c>
      <c r="H13" s="40">
        <f>ResumoCusto!H203</f>
        <v>3687.1775785583832</v>
      </c>
      <c r="I13" s="40">
        <f>ResumoCusto!I203</f>
        <v>1353.7572445932169</v>
      </c>
      <c r="J13" s="40">
        <f>ResumoCusto!J203</f>
        <v>6588.7882476765526</v>
      </c>
      <c r="K13" s="40">
        <f>ResumoCusto!K203</f>
        <v>3377.1616984127895</v>
      </c>
      <c r="L13" s="40">
        <f>ResumoCusto!L203</f>
        <v>2091.2631126860078</v>
      </c>
      <c r="M13" s="40">
        <f>ResumoCusto!M203</f>
        <v>1424.2957520769901</v>
      </c>
      <c r="N13" s="40">
        <f>ResumoCusto!N203</f>
        <v>1311.3261931132586</v>
      </c>
      <c r="O13" s="40">
        <f>ResumoCusto!O203</f>
        <v>2167.4880964531621</v>
      </c>
      <c r="P13" s="40">
        <f t="array" ref="P13">SUM(F13:O13)</f>
        <v>52093.15561514283</v>
      </c>
      <c r="Q13" s="42">
        <f t="array" ref="Q13">(P13/E13)*1000</f>
        <v>2183.92468935324</v>
      </c>
    </row>
    <row r="14" spans="1:17" ht="15.75" thickBot="1" x14ac:dyDescent="0.3">
      <c r="A14" s="27"/>
      <c r="B14" s="334"/>
      <c r="C14" s="223"/>
      <c r="D14" s="224"/>
      <c r="E14" s="225"/>
      <c r="F14" s="226">
        <f t="array" ref="F14">F13/$P13</f>
        <v>0.33032189301038017</v>
      </c>
      <c r="G14" s="226">
        <f t="array" ref="G14">G13/$P13</f>
        <v>0.24733360388228889</v>
      </c>
      <c r="H14" s="226">
        <f t="array" ref="H14">H13/$P13</f>
        <v>7.0780461176104426E-2</v>
      </c>
      <c r="I14" s="226">
        <f t="array" ref="I14">I13/$P13</f>
        <v>2.5987238219826649E-2</v>
      </c>
      <c r="J14" s="226">
        <f t="array" ref="J14">J13/$P13</f>
        <v>0.12648088160282758</v>
      </c>
      <c r="K14" s="226">
        <f t="array" ref="K14">K13/$P13</f>
        <v>6.4829278597802797E-2</v>
      </c>
      <c r="L14" s="226">
        <f t="array" ref="L14">L13/$P13</f>
        <v>4.0144680966075007E-2</v>
      </c>
      <c r="M14" s="226">
        <f t="array" ref="M14">M13/$P13</f>
        <v>2.7341322199781751E-2</v>
      </c>
      <c r="N14" s="226">
        <f t="array" ref="N14">N13/$P13</f>
        <v>2.5172715640441493E-2</v>
      </c>
      <c r="O14" s="226">
        <f t="array" ref="O14">O13/$P13</f>
        <v>4.1607924704471166E-2</v>
      </c>
      <c r="P14" s="226">
        <f t="array" ref="P14">P13/$P13</f>
        <v>1</v>
      </c>
      <c r="Q14" s="227"/>
    </row>
    <row r="15" spans="1:17" ht="15.75" thickBot="1" x14ac:dyDescent="0.3">
      <c r="A15" s="27"/>
      <c r="B15" s="334"/>
      <c r="C15" s="223"/>
      <c r="D15" s="39" t="s">
        <v>7661</v>
      </c>
      <c r="E15" s="40">
        <f>ResumoCusto!E208</f>
        <v>3500</v>
      </c>
      <c r="F15" s="40">
        <f>ResumoCusto!F208</f>
        <v>2401.6661000555141</v>
      </c>
      <c r="G15" s="40">
        <f>ResumoCusto!G208</f>
        <v>1861.7486898942968</v>
      </c>
      <c r="H15" s="40">
        <f>ResumoCusto!H208</f>
        <v>507.83778551543423</v>
      </c>
      <c r="I15" s="40">
        <f>ResumoCusto!I208</f>
        <v>842.2374675102368</v>
      </c>
      <c r="J15" s="40">
        <f>ResumoCusto!J208</f>
        <v>992.38171065224446</v>
      </c>
      <c r="K15" s="40">
        <f>ResumoCusto!K208</f>
        <v>461.14372499993181</v>
      </c>
      <c r="L15" s="40">
        <f>ResumoCusto!L208</f>
        <v>261.23512133979915</v>
      </c>
      <c r="M15" s="40">
        <f>ResumoCusto!M208</f>
        <v>198.46570815462346</v>
      </c>
      <c r="N15" s="40">
        <f>ResumoCusto!N208</f>
        <v>213.80205671999101</v>
      </c>
      <c r="O15" s="40">
        <f>ResumoCusto!O208</f>
        <v>326.24541198476339</v>
      </c>
      <c r="P15" s="40">
        <f t="array" ref="P15">SUM(F15:O15)</f>
        <v>8066.7637768268351</v>
      </c>
      <c r="Q15" s="42">
        <f t="array" ref="Q15">(P15/E15)*1000</f>
        <v>2304.7896505219528</v>
      </c>
    </row>
    <row r="16" spans="1:17" ht="15.75" thickBot="1" x14ac:dyDescent="0.3">
      <c r="A16" s="27"/>
      <c r="B16" s="334"/>
      <c r="C16" s="223"/>
      <c r="D16" s="224"/>
      <c r="E16" s="225"/>
      <c r="F16" s="226">
        <f t="array" ref="F16">F15/$P15</f>
        <v>0.2977236183554442</v>
      </c>
      <c r="G16" s="226">
        <f t="array" ref="G16">G15/$P15</f>
        <v>0.23079251375161</v>
      </c>
      <c r="H16" s="226">
        <f t="array" ref="H16">H15/$P15</f>
        <v>6.2954339505302673E-2</v>
      </c>
      <c r="I16" s="226">
        <f t="array" ref="I16">I15/$P15</f>
        <v>0.10440834649574203</v>
      </c>
      <c r="J16" s="226">
        <f t="array" ref="J16">J15/$P15</f>
        <v>0.12302104513126211</v>
      </c>
      <c r="K16" s="226">
        <f t="array" ref="K16">K15/$P15</f>
        <v>5.7165889290652888E-2</v>
      </c>
      <c r="L16" s="226">
        <f t="array" ref="L16">L15/$P15</f>
        <v>3.2384129319646363E-2</v>
      </c>
      <c r="M16" s="226">
        <f t="array" ref="M16">M15/$P15</f>
        <v>2.4602890780656091E-2</v>
      </c>
      <c r="N16" s="226">
        <f t="array" ref="N16">N15/$P15</f>
        <v>2.6504068128804535E-2</v>
      </c>
      <c r="O16" s="226">
        <f t="array" ref="O16">O15/$P15</f>
        <v>4.0443159240879149E-2</v>
      </c>
      <c r="P16" s="226">
        <f t="array" ref="P16">P15/$P15</f>
        <v>1</v>
      </c>
      <c r="Q16" s="227"/>
    </row>
    <row r="17" spans="1:17" ht="15.75" thickBot="1" x14ac:dyDescent="0.3">
      <c r="A17" s="27"/>
      <c r="B17" s="334"/>
      <c r="C17" s="223"/>
      <c r="D17" s="39" t="s">
        <v>7662</v>
      </c>
      <c r="E17" s="40">
        <f>ResumoCusto!E213</f>
        <v>1000</v>
      </c>
      <c r="F17" s="40">
        <f>ResumoCusto!F213</f>
        <v>669.21537133840741</v>
      </c>
      <c r="G17" s="40">
        <f>ResumoCusto!G213</f>
        <v>458.88847490038603</v>
      </c>
      <c r="H17" s="40">
        <f>ResumoCusto!H213</f>
        <v>140.08218154650729</v>
      </c>
      <c r="I17" s="40">
        <f>ResumoCusto!I213</f>
        <v>268.09973103238332</v>
      </c>
      <c r="J17" s="40">
        <f>ResumoCusto!J213</f>
        <v>233.47030257751214</v>
      </c>
      <c r="K17" s="40">
        <f>ResumoCusto!K213</f>
        <v>124.51749470800648</v>
      </c>
      <c r="L17" s="40">
        <f>ResumoCusto!L213</f>
        <v>83.185429741003617</v>
      </c>
      <c r="M17" s="40">
        <f>ResumoCusto!M213</f>
        <v>54.476403934752838</v>
      </c>
      <c r="N17" s="40">
        <f>ResumoCusto!N213</f>
        <v>4.5033619723571165</v>
      </c>
      <c r="O17" s="40">
        <f>ResumoCusto!O213</f>
        <v>89.283750466940603</v>
      </c>
      <c r="P17" s="40">
        <f t="array" ref="P17">SUM(F17:O17)</f>
        <v>2125.722502218257</v>
      </c>
      <c r="Q17" s="42">
        <f t="array" ref="Q17">(P17/E17)*1000</f>
        <v>2125.722502218257</v>
      </c>
    </row>
    <row r="18" spans="1:17" ht="15.75" thickBot="1" x14ac:dyDescent="0.3">
      <c r="A18" s="27"/>
      <c r="B18" s="334"/>
      <c r="C18" s="223"/>
      <c r="D18" s="224"/>
      <c r="E18" s="225"/>
      <c r="F18" s="226">
        <f t="array" ref="F18">F17/$P17</f>
        <v>0.3148178422348451</v>
      </c>
      <c r="G18" s="226">
        <f t="array" ref="G18">G17/$P17</f>
        <v>0.21587412017397462</v>
      </c>
      <c r="H18" s="226">
        <f t="array" ref="H18">H17/$P17</f>
        <v>6.5898621010186995E-2</v>
      </c>
      <c r="I18" s="226">
        <f t="array" ref="I18">I17/$P17</f>
        <v>0.12612169780044807</v>
      </c>
      <c r="J18" s="226">
        <f t="array" ref="J18">J17/$P17</f>
        <v>0.10983103501697832</v>
      </c>
      <c r="K18" s="226">
        <f t="array" ref="K18">K17/$P17</f>
        <v>5.8576552009055101E-2</v>
      </c>
      <c r="L18" s="226">
        <f t="array" ref="L18">L17/$P17</f>
        <v>3.9132779398156181E-2</v>
      </c>
      <c r="M18" s="226">
        <f t="array" ref="M18">M17/$P17</f>
        <v>2.5627241503961607E-2</v>
      </c>
      <c r="N18" s="226">
        <f t="array" ref="N18">N17/$P17</f>
        <v>2.1185088682354916E-3</v>
      </c>
      <c r="O18" s="226">
        <f t="array" ref="O18">O17/$P17</f>
        <v>4.2001601984158449E-2</v>
      </c>
      <c r="P18" s="226">
        <f t="array" ref="P18">P17/$P17</f>
        <v>1</v>
      </c>
      <c r="Q18" s="228"/>
    </row>
    <row r="19" spans="1:17" ht="15.75" thickBot="1" x14ac:dyDescent="0.3">
      <c r="A19" s="27"/>
      <c r="B19" s="334"/>
      <c r="C19" s="223"/>
      <c r="D19" s="39" t="s">
        <v>7663</v>
      </c>
      <c r="E19" s="40">
        <f>ResumoCusto!E218</f>
        <v>22460</v>
      </c>
      <c r="F19" s="40">
        <f>ResumoCusto!F218</f>
        <v>9498.6751147222349</v>
      </c>
      <c r="G19" s="40">
        <f>ResumoCusto!G218</f>
        <v>7521.2602377025351</v>
      </c>
      <c r="H19" s="40">
        <f>ResumoCusto!H218</f>
        <v>2007.8969272526761</v>
      </c>
      <c r="I19" s="40">
        <f>ResumoCusto!I218</f>
        <v>2314.0250520343616</v>
      </c>
      <c r="J19" s="40">
        <f>ResumoCusto!J218</f>
        <v>3703.9084850227705</v>
      </c>
      <c r="K19" s="40">
        <f>ResumoCusto!K218</f>
        <v>1831.1941366058677</v>
      </c>
      <c r="L19" s="40">
        <f>ResumoCusto!L218</f>
        <v>1284.0356917893985</v>
      </c>
      <c r="M19" s="40">
        <f>ResumoCusto!M218</f>
        <v>778.44655732255444</v>
      </c>
      <c r="N19" s="40">
        <f>ResumoCusto!N218</f>
        <v>651.98580941026694</v>
      </c>
      <c r="O19" s="40">
        <f>ResumoCusto!O218</f>
        <v>1302.1171097561669</v>
      </c>
      <c r="P19" s="40">
        <f t="array" ref="P19">SUM(F19:O19)</f>
        <v>30893.545121618834</v>
      </c>
      <c r="Q19" s="42">
        <f t="array" ref="Q19">(P19/E19)*1000</f>
        <v>1375.4917685493692</v>
      </c>
    </row>
    <row r="20" spans="1:17" ht="15.75" thickBot="1" x14ac:dyDescent="0.3">
      <c r="A20" s="27"/>
      <c r="B20" s="334"/>
      <c r="C20" s="223"/>
      <c r="D20" s="224"/>
      <c r="E20" s="225"/>
      <c r="F20" s="226">
        <f t="array" ref="F20">F19/$P19</f>
        <v>0.30746471721936525</v>
      </c>
      <c r="G20" s="226">
        <f t="array" ref="G20">G19/$P19</f>
        <v>0.24345733738531908</v>
      </c>
      <c r="H20" s="226">
        <f t="array" ref="H20">H19/$P19</f>
        <v>6.4994060064915635E-2</v>
      </c>
      <c r="I20" s="226">
        <f t="array" ref="I20">I19/$P19</f>
        <v>7.4903189094185307E-2</v>
      </c>
      <c r="J20" s="226">
        <f t="array" ref="J20">J19/$P19</f>
        <v>0.1198926335725333</v>
      </c>
      <c r="K20" s="226">
        <f t="array" ref="K20">K19/$P19</f>
        <v>5.927432832318185E-2</v>
      </c>
      <c r="L20" s="226">
        <f t="array" ref="L20">L19/$P19</f>
        <v>4.1563235515203134E-2</v>
      </c>
      <c r="M20" s="226">
        <f t="array" ref="M20">M19/$P19</f>
        <v>2.5197708914857082E-2</v>
      </c>
      <c r="N20" s="226">
        <f t="array" ref="N20">N19/$P19</f>
        <v>2.1104272974939907E-2</v>
      </c>
      <c r="O20" s="226">
        <f t="array" ref="O20">O19/$P19</f>
        <v>4.2148516935499418E-2</v>
      </c>
      <c r="P20" s="226">
        <f t="array" ref="P20">P19/$P19</f>
        <v>1</v>
      </c>
      <c r="Q20" s="227"/>
    </row>
    <row r="21" spans="1:17" ht="15.75" thickBot="1" x14ac:dyDescent="0.3">
      <c r="A21" s="27"/>
      <c r="B21" s="334"/>
      <c r="C21" s="223"/>
      <c r="D21" s="39" t="s">
        <v>7665</v>
      </c>
      <c r="E21" s="40">
        <f>ResumoCusto!E223</f>
        <v>8000</v>
      </c>
      <c r="F21" s="40">
        <f>ResumoCusto!F223</f>
        <v>20076.46114015222</v>
      </c>
      <c r="G21" s="40">
        <f>ResumoCusto!G223</f>
        <v>13766.654247011582</v>
      </c>
      <c r="H21" s="40">
        <f>ResumoCusto!H223</f>
        <v>4202.4654463952184</v>
      </c>
      <c r="I21" s="40">
        <f>ResumoCusto!I223</f>
        <v>7360</v>
      </c>
      <c r="J21" s="40">
        <f>ResumoCusto!J223</f>
        <v>7004.1090773253645</v>
      </c>
      <c r="K21" s="40">
        <f>ResumoCusto!K223</f>
        <v>3735.5248412401943</v>
      </c>
      <c r="L21" s="40">
        <f>ResumoCusto!L223</f>
        <v>2495.562892230108</v>
      </c>
      <c r="M21" s="40">
        <f>ResumoCusto!M223</f>
        <v>1634.2921180425849</v>
      </c>
      <c r="N21" s="40">
        <f>ResumoCusto!N223</f>
        <v>135.10085917071348</v>
      </c>
      <c r="O21" s="40">
        <f>ResumoCusto!O223</f>
        <v>2678.5125140082177</v>
      </c>
      <c r="P21" s="40">
        <f t="array" ref="P21">SUM(F21:O21)</f>
        <v>63088.683135576204</v>
      </c>
      <c r="Q21" s="42">
        <f t="array" ref="Q21">(P21/E21)*1000</f>
        <v>7886.0853919470255</v>
      </c>
    </row>
    <row r="22" spans="1:17" ht="15.75" thickBot="1" x14ac:dyDescent="0.3">
      <c r="A22" s="27"/>
      <c r="B22" s="334"/>
      <c r="C22" s="223"/>
      <c r="D22" s="224"/>
      <c r="E22" s="225"/>
      <c r="F22" s="226">
        <f t="array" ref="F22">F21/$P21</f>
        <v>0.31822602949261664</v>
      </c>
      <c r="G22" s="226">
        <f t="array" ref="G22">G21/$P21</f>
        <v>0.21821115234609259</v>
      </c>
      <c r="H22" s="226">
        <f t="array" ref="H22">H21/$P21</f>
        <v>6.6612033054552933E-2</v>
      </c>
      <c r="I22" s="226">
        <f t="array" ref="I22">I21/$P21</f>
        <v>0.11666117652485344</v>
      </c>
      <c r="J22" s="226">
        <f t="array" ref="J22">J21/$P21</f>
        <v>0.11102005509092157</v>
      </c>
      <c r="K22" s="226">
        <f t="array" ref="K22">K21/$P21</f>
        <v>5.9210696048491503E-2</v>
      </c>
      <c r="L22" s="226">
        <f t="array" ref="L22">L21/$P21</f>
        <v>3.9556427051539458E-2</v>
      </c>
      <c r="M22" s="226">
        <f t="array" ref="M22">M21/$P21</f>
        <v>2.5904679521215029E-2</v>
      </c>
      <c r="N22" s="226">
        <f t="array" ref="N22">N21/$P21</f>
        <v>2.1414436386377675E-3</v>
      </c>
      <c r="O22" s="226">
        <f t="array" ref="O22">O21/$P21</f>
        <v>4.245630723107903E-2</v>
      </c>
      <c r="P22" s="226">
        <f t="array" ref="P22">P21/$P21</f>
        <v>1</v>
      </c>
      <c r="Q22" s="227"/>
    </row>
    <row r="23" spans="1:17" ht="15.75" thickBot="1" x14ac:dyDescent="0.3">
      <c r="A23" s="27"/>
      <c r="B23" s="334"/>
      <c r="C23" s="223"/>
      <c r="D23" s="39" t="s">
        <v>7667</v>
      </c>
      <c r="E23" s="40">
        <f>ResumoCusto!E228</f>
        <v>500</v>
      </c>
      <c r="F23" s="40">
        <f>ResumoCusto!F228</f>
        <v>295.514989530219</v>
      </c>
      <c r="G23" s="40">
        <f>ResumoCusto!G228</f>
        <v>363.81244889485401</v>
      </c>
      <c r="H23" s="40">
        <f>ResumoCusto!H228</f>
        <v>65.693430656934311</v>
      </c>
      <c r="I23" s="40">
        <f>ResumoCusto!I228</f>
        <v>21.5200920762191</v>
      </c>
      <c r="J23" s="40">
        <f>ResumoCusto!J228</f>
        <v>218.97810218978103</v>
      </c>
      <c r="K23" s="40">
        <f>ResumoCusto!K228</f>
        <v>65.693430656934311</v>
      </c>
      <c r="L23" s="40">
        <f>ResumoCusto!L228</f>
        <v>8.7591240875912408</v>
      </c>
      <c r="M23" s="40">
        <f>ResumoCusto!M228</f>
        <v>26.277372262773724</v>
      </c>
      <c r="N23" s="40">
        <f>ResumoCusto!N228</f>
        <v>150.21897810218979</v>
      </c>
      <c r="O23" s="40">
        <f>ResumoCusto!O228</f>
        <v>43.79562043795621</v>
      </c>
      <c r="P23" s="40">
        <f t="array" ref="P23">SUM(F23:O23)</f>
        <v>1260.2635888954528</v>
      </c>
      <c r="Q23" s="42">
        <f t="array" ref="Q23">(P23/E23)*1000</f>
        <v>2520.5271777909056</v>
      </c>
    </row>
    <row r="24" spans="1:17" ht="15.75" thickBot="1" x14ac:dyDescent="0.3">
      <c r="A24" s="27"/>
      <c r="B24" s="334"/>
      <c r="C24" s="223"/>
      <c r="D24" s="224"/>
      <c r="E24" s="225"/>
      <c r="F24" s="226">
        <f t="array" ref="F24">F23/$P23</f>
        <v>0.2344866519465349</v>
      </c>
      <c r="G24" s="226">
        <f t="array" ref="G24">G23/$P23</f>
        <v>0.28867964773441906</v>
      </c>
      <c r="H24" s="226">
        <f t="array" ref="H24">H23/$P23</f>
        <v>5.2126738593242031E-2</v>
      </c>
      <c r="I24" s="226">
        <f t="array" ref="I24">I23/$P23</f>
        <v>1.7075865926651265E-2</v>
      </c>
      <c r="J24" s="226">
        <f t="array" ref="J24">J23/$P23</f>
        <v>0.17375579531080676</v>
      </c>
      <c r="K24" s="226">
        <f t="array" ref="K24">K23/$P23</f>
        <v>5.2126738593242031E-2</v>
      </c>
      <c r="L24" s="226">
        <f t="array" ref="L24">L23/$P23</f>
        <v>6.9502318124322702E-3</v>
      </c>
      <c r="M24" s="226">
        <f t="array" ref="M24">M23/$P23</f>
        <v>2.0850695437296812E-2</v>
      </c>
      <c r="N24" s="226">
        <f t="array" ref="N24">N23/$P23</f>
        <v>0.11919647558321345</v>
      </c>
      <c r="O24" s="226">
        <f t="array" ref="O24">O23/$P23</f>
        <v>3.4751159062161356E-2</v>
      </c>
      <c r="P24" s="226">
        <f t="array" ref="P24">P23/$P23</f>
        <v>1</v>
      </c>
      <c r="Q24" s="227"/>
    </row>
    <row r="25" spans="1:17" s="55" customFormat="1" ht="15.75" thickBot="1" x14ac:dyDescent="0.3">
      <c r="A25" s="51"/>
      <c r="B25" s="335"/>
      <c r="C25" s="260"/>
      <c r="D25" s="53"/>
      <c r="E25" s="261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61"/>
    </row>
    <row r="26" spans="1:17" ht="15.75" thickBot="1" x14ac:dyDescent="0.3">
      <c r="A26" s="27"/>
      <c r="B26" s="229"/>
      <c r="C26" s="223"/>
      <c r="D26" s="230" t="s">
        <v>7683</v>
      </c>
      <c r="E26" s="231">
        <f>+E21+E19+E17+E15+E13+E11+E23</f>
        <v>72113</v>
      </c>
      <c r="F26" s="231">
        <f t="shared" ref="F26:P26" si="0">+F21+F19+F17+F15+F13+F11+F23</f>
        <v>58953.539628927079</v>
      </c>
      <c r="G26" s="231">
        <f t="shared" si="0"/>
        <v>43248.830560430928</v>
      </c>
      <c r="H26" s="231">
        <f t="shared" si="0"/>
        <v>12418.855939909141</v>
      </c>
      <c r="I26" s="231">
        <f t="shared" si="0"/>
        <v>15233.878658442693</v>
      </c>
      <c r="J26" s="231">
        <f t="shared" si="0"/>
        <v>21960.194760909559</v>
      </c>
      <c r="K26" s="231">
        <f t="shared" si="0"/>
        <v>11203.799882349167</v>
      </c>
      <c r="L26" s="231">
        <f t="shared" si="0"/>
        <v>7343.6841126466179</v>
      </c>
      <c r="M26" s="231">
        <f t="shared" si="0"/>
        <v>4825.200581467132</v>
      </c>
      <c r="N26" s="231">
        <f t="shared" si="0"/>
        <v>2806.6333158698762</v>
      </c>
      <c r="O26" s="231">
        <f t="shared" si="0"/>
        <v>7812.2313249159497</v>
      </c>
      <c r="P26" s="231">
        <f t="shared" si="0"/>
        <v>185806.84876586814</v>
      </c>
      <c r="Q26" s="232"/>
    </row>
    <row r="27" spans="1:17" ht="15.75" thickBot="1" x14ac:dyDescent="0.3">
      <c r="A27" s="27"/>
      <c r="B27" s="233"/>
      <c r="C27" s="234"/>
      <c r="D27" s="82"/>
      <c r="E27" s="235"/>
      <c r="F27" s="226">
        <f t="array" ref="F27">F26/$P26</f>
        <v>0.31728399690591264</v>
      </c>
      <c r="G27" s="226">
        <f t="array" ref="G27">G26/$P26</f>
        <v>0.23276230584443094</v>
      </c>
      <c r="H27" s="226">
        <f t="array" ref="H27">H26/$P26</f>
        <v>6.6837449870095572E-2</v>
      </c>
      <c r="I27" s="226">
        <f t="array" ref="I27">I26/$P26</f>
        <v>8.1987713368082721E-2</v>
      </c>
      <c r="J27" s="226">
        <f t="array" ref="J27">J26/$P26</f>
        <v>0.11818829557020906</v>
      </c>
      <c r="K27" s="226">
        <f t="array" ref="K27">K26/$P26</f>
        <v>6.0298099648990189E-2</v>
      </c>
      <c r="L27" s="226">
        <f t="array" ref="L27">L26/$P26</f>
        <v>3.9523215432711319E-2</v>
      </c>
      <c r="M27" s="226">
        <f t="array" ref="M27">M26/$P26</f>
        <v>2.5968905955384241E-2</v>
      </c>
      <c r="N27" s="226">
        <f t="array" ref="N27">N26/$P26</f>
        <v>1.5105112295437852E-2</v>
      </c>
      <c r="O27" s="226">
        <f t="array" ref="O27">O26/$P26</f>
        <v>4.2044905108745485E-2</v>
      </c>
      <c r="P27" s="226">
        <f t="array" ref="P27">P26/$P26</f>
        <v>1</v>
      </c>
      <c r="Q27" s="82"/>
    </row>
    <row r="28" spans="1:17" ht="15.75" thickBot="1" x14ac:dyDescent="0.3">
      <c r="A28" s="82"/>
      <c r="B28" s="82"/>
      <c r="C28" s="83"/>
    </row>
    <row r="29" spans="1:17" ht="15.75" thickBot="1" x14ac:dyDescent="0.3">
      <c r="A29" s="82"/>
      <c r="B29" s="82"/>
      <c r="C29" s="83"/>
      <c r="D29" s="236"/>
    </row>
    <row r="30" spans="1:17" ht="15.75" thickBot="1" x14ac:dyDescent="0.3">
      <c r="A30" s="82"/>
      <c r="B30" s="82"/>
      <c r="C30" s="83"/>
    </row>
    <row r="31" spans="1:17" ht="30.75" thickBot="1" x14ac:dyDescent="0.3">
      <c r="A31" s="82"/>
      <c r="B31" s="82"/>
      <c r="C31" s="83"/>
      <c r="D31" s="352" t="s">
        <v>7776</v>
      </c>
      <c r="E31" s="353"/>
      <c r="F31" s="219" t="s">
        <v>20</v>
      </c>
      <c r="G31" s="219" t="s">
        <v>37</v>
      </c>
      <c r="H31" s="219" t="s">
        <v>322</v>
      </c>
      <c r="I31" s="219" t="s">
        <v>336</v>
      </c>
      <c r="J31" s="219" t="s">
        <v>7675</v>
      </c>
      <c r="K31" s="219" t="s">
        <v>156</v>
      </c>
      <c r="L31" s="219" t="s">
        <v>42</v>
      </c>
      <c r="M31" s="219" t="s">
        <v>7774</v>
      </c>
      <c r="N31" s="219" t="s">
        <v>29</v>
      </c>
      <c r="O31" s="220" t="s">
        <v>7775</v>
      </c>
      <c r="P31" s="219" t="s">
        <v>7683</v>
      </c>
    </row>
    <row r="32" spans="1:17" ht="15.75" thickBot="1" x14ac:dyDescent="0.3">
      <c r="A32" s="82"/>
      <c r="B32" s="82"/>
      <c r="C32" s="83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</row>
    <row r="33" spans="2:16" ht="16.5" customHeight="1" thickBot="1" x14ac:dyDescent="0.3">
      <c r="B33" s="333" t="s">
        <v>7693</v>
      </c>
      <c r="D33" s="354" t="s">
        <v>7659</v>
      </c>
      <c r="E33" s="237" t="s">
        <v>27</v>
      </c>
      <c r="F33" s="238">
        <f t="array" ref="F33">(F11/$E11)*1000</f>
        <v>687.85133886329629</v>
      </c>
      <c r="G33" s="238">
        <f t="array" ref="G33">(G11/$E11)*1000</f>
        <v>499.38113641664933</v>
      </c>
      <c r="H33" s="238">
        <f t="array" ref="H33">(H11/$E11)*1000</f>
        <v>141.22676484249914</v>
      </c>
      <c r="I33" s="238">
        <f t="array" ref="I33">(I11/$E11)*1000</f>
        <v>240.17492743720894</v>
      </c>
      <c r="J33" s="238">
        <f t="array" ref="J33">(J11/$E11)*1000</f>
        <v>251.44990902072917</v>
      </c>
      <c r="K33" s="238">
        <f t="array" ref="K33">(K11/$E11)*1000</f>
        <v>125.66910591605021</v>
      </c>
      <c r="L33" s="238">
        <f t="array" ref="L33">(L11/$E11)*1000</f>
        <v>87.472089122867985</v>
      </c>
      <c r="M33" s="238">
        <f t="array" ref="M33">(M11/$E11)*1000</f>
        <v>55.386458568191635</v>
      </c>
      <c r="N33" s="238">
        <f t="array" ref="N33">(N11/$E11)*1000</f>
        <v>26.538754482898401</v>
      </c>
      <c r="O33" s="238">
        <f t="array" ref="O33">(O11/$E11)*1000</f>
        <v>94.124126703808045</v>
      </c>
      <c r="P33" s="238">
        <f t="array" ref="P33">SUM(F33:O33)</f>
        <v>2209.2746113741991</v>
      </c>
    </row>
    <row r="34" spans="2:16" ht="15.75" thickBot="1" x14ac:dyDescent="0.3">
      <c r="B34" s="334"/>
      <c r="D34" s="354"/>
      <c r="E34" s="239" t="s">
        <v>16</v>
      </c>
      <c r="F34" s="269">
        <f>F33/$F$58</f>
        <v>202.0952311181465</v>
      </c>
      <c r="G34" s="269">
        <f t="shared" ref="G34:O34" si="1">G33/$F$58</f>
        <v>146.72145052002691</v>
      </c>
      <c r="H34" s="269">
        <f t="shared" si="1"/>
        <v>41.49334902521035</v>
      </c>
      <c r="I34" s="269">
        <f t="shared" si="1"/>
        <v>70.564967641726582</v>
      </c>
      <c r="J34" s="269">
        <f t="shared" si="1"/>
        <v>73.877631120349562</v>
      </c>
      <c r="K34" s="269">
        <f t="shared" si="1"/>
        <v>36.92240687716744</v>
      </c>
      <c r="L34" s="269">
        <f t="shared" si="1"/>
        <v>25.699873023270197</v>
      </c>
      <c r="M34" s="269">
        <f t="shared" si="1"/>
        <v>16.272904496561431</v>
      </c>
      <c r="N34" s="269">
        <f t="shared" si="1"/>
        <v>7.7972599859618992</v>
      </c>
      <c r="O34" s="269">
        <f t="shared" si="1"/>
        <v>27.654285257966524</v>
      </c>
      <c r="P34" s="273">
        <f>SUM(F34:O34)</f>
        <v>649.09935906638736</v>
      </c>
    </row>
    <row r="35" spans="2:16" ht="15.75" thickBot="1" x14ac:dyDescent="0.3">
      <c r="B35" s="334"/>
      <c r="D35" s="240"/>
      <c r="E35" s="241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3"/>
    </row>
    <row r="36" spans="2:16" ht="15.75" thickBot="1" x14ac:dyDescent="0.3">
      <c r="B36" s="334"/>
      <c r="D36" s="336" t="s">
        <v>7660</v>
      </c>
      <c r="E36" s="244" t="s">
        <v>27</v>
      </c>
      <c r="F36" s="238">
        <f t="array" ref="F36">(F13/$E13)*1000</f>
        <v>721.39813757926879</v>
      </c>
      <c r="G36" s="238">
        <f t="array" ref="G36">(G13/$E13)*1000</f>
        <v>540.15796402524506</v>
      </c>
      <c r="H36" s="238">
        <f t="array" ref="H36">(H13/$E13)*1000</f>
        <v>154.57919668630291</v>
      </c>
      <c r="I36" s="238">
        <f t="array" ref="I36">(I13/$E13)*1000</f>
        <v>56.754171156383549</v>
      </c>
      <c r="J36" s="238">
        <f t="array" ref="J36">(J13/$E13)*1000</f>
        <v>276.22472006357913</v>
      </c>
      <c r="K36" s="238">
        <f t="array" ref="K36">(K13/$E13)*1000</f>
        <v>141.58226212270111</v>
      </c>
      <c r="L36" s="238">
        <f t="array" ref="L36">(L13/$E13)*1000</f>
        <v>87.672959908020275</v>
      </c>
      <c r="M36" s="238">
        <f t="array" ref="M36">(M13/$E13)*1000</f>
        <v>59.711388591665198</v>
      </c>
      <c r="N36" s="238">
        <f t="array" ref="N36">(N13/$E13)*1000</f>
        <v>54.975315185228638</v>
      </c>
      <c r="O36" s="238">
        <f t="array" ref="O36">(O13/$E13)*1000</f>
        <v>90.868574034845182</v>
      </c>
      <c r="P36" s="245">
        <f t="array" ref="P36">SUM(F36:O36)</f>
        <v>2183.92468935324</v>
      </c>
    </row>
    <row r="37" spans="2:16" ht="15.75" thickBot="1" x14ac:dyDescent="0.3">
      <c r="B37" s="334"/>
      <c r="D37" s="337"/>
      <c r="E37" s="246" t="s">
        <v>16</v>
      </c>
      <c r="F37" s="269">
        <f>F36/$F$58</f>
        <v>211.9515004262532</v>
      </c>
      <c r="G37" s="269">
        <f t="shared" ref="G37" si="2">G36/$F$58</f>
        <v>158.70194969800664</v>
      </c>
      <c r="H37" s="269">
        <f t="shared" ref="H37" si="3">H36/$F$58</f>
        <v>45.416381004652521</v>
      </c>
      <c r="I37" s="269">
        <f t="shared" ref="I37" si="4">I36/$F$58</f>
        <v>16.674747418130238</v>
      </c>
      <c r="J37" s="269">
        <f t="shared" ref="J37" si="5">J36/$F$58</f>
        <v>81.156632963810736</v>
      </c>
      <c r="K37" s="269">
        <f t="shared" ref="K37" si="6">K36/$F$58</f>
        <v>41.59779645584706</v>
      </c>
      <c r="L37" s="269">
        <f t="shared" ref="L37" si="7">L36/$F$58</f>
        <v>25.758890176333125</v>
      </c>
      <c r="M37" s="269">
        <f t="shared" ref="M37" si="8">M36/$F$58</f>
        <v>17.54359728042386</v>
      </c>
      <c r="N37" s="269">
        <f t="shared" ref="N37" si="9">N36/$F$58</f>
        <v>16.152107876262757</v>
      </c>
      <c r="O37" s="269">
        <f t="shared" ref="O37" si="10">O36/$F$58</f>
        <v>26.697782548909348</v>
      </c>
      <c r="P37" s="273">
        <f>SUM(F37:O37)</f>
        <v>641.6513858486295</v>
      </c>
    </row>
    <row r="38" spans="2:16" ht="15.75" thickBot="1" x14ac:dyDescent="0.3">
      <c r="B38" s="334"/>
      <c r="D38" s="247"/>
      <c r="E38" s="248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3"/>
    </row>
    <row r="39" spans="2:16" ht="15.75" thickBot="1" x14ac:dyDescent="0.3">
      <c r="B39" s="334"/>
      <c r="D39" s="336" t="s">
        <v>7661</v>
      </c>
      <c r="E39" s="244" t="s">
        <v>27</v>
      </c>
      <c r="F39" s="238">
        <f t="array" ref="F39">(F15/$E15)*1000</f>
        <v>686.19031430157554</v>
      </c>
      <c r="G39" s="238">
        <f t="array" ref="G39">(G15/$E15)*1000</f>
        <v>531.92819711265622</v>
      </c>
      <c r="H39" s="238">
        <f t="array" ref="H39">(H15/$E15)*1000</f>
        <v>145.09651014726694</v>
      </c>
      <c r="I39" s="238">
        <f t="array" ref="I39">(I15/$E15)*1000</f>
        <v>240.63927643149623</v>
      </c>
      <c r="J39" s="238">
        <f t="array" ref="J39">(J15/$E15)*1000</f>
        <v>283.53763161492702</v>
      </c>
      <c r="K39" s="238">
        <f t="array" ref="K39">(K15/$E15)*1000</f>
        <v>131.7553499999805</v>
      </c>
      <c r="L39" s="238">
        <f t="array" ref="L39">(L15/$E15)*1000</f>
        <v>74.638606097085471</v>
      </c>
      <c r="M39" s="238">
        <f t="array" ref="M39">(M15/$E15)*1000</f>
        <v>56.704488044178127</v>
      </c>
      <c r="N39" s="238">
        <f t="array" ref="N39">(N15/$E15)*1000</f>
        <v>61.086301919997432</v>
      </c>
      <c r="O39" s="238">
        <f t="array" ref="O39">(O15/$E15)*1000</f>
        <v>93.212974852789543</v>
      </c>
      <c r="P39" s="245">
        <f t="array" ref="P39">SUM(F39:O39)</f>
        <v>2304.7896505219533</v>
      </c>
    </row>
    <row r="40" spans="2:16" ht="15.75" thickBot="1" x14ac:dyDescent="0.3">
      <c r="B40" s="334"/>
      <c r="D40" s="337"/>
      <c r="E40" s="246" t="s">
        <v>16</v>
      </c>
      <c r="F40" s="269">
        <f>F39/$F$58</f>
        <v>201.6072112165663</v>
      </c>
      <c r="G40" s="269">
        <f t="shared" ref="G40" si="11">G39/$F$58</f>
        <v>156.28399024619162</v>
      </c>
      <c r="H40" s="269">
        <f t="shared" ref="H40" si="12">H39/$F$58</f>
        <v>42.630305555712702</v>
      </c>
      <c r="I40" s="269">
        <f t="shared" ref="I40" si="13">I39/$F$58</f>
        <v>70.701396419309603</v>
      </c>
      <c r="J40" s="269">
        <f t="shared" ref="J40" si="14">J39/$F$58</f>
        <v>83.305214301979703</v>
      </c>
      <c r="K40" s="269">
        <f t="shared" ref="K40" si="15">K39/$F$58</f>
        <v>38.71058527457518</v>
      </c>
      <c r="L40" s="269">
        <f t="shared" ref="L40" si="16">L39/$F$58</f>
        <v>21.929311607438194</v>
      </c>
      <c r="M40" s="269">
        <f t="shared" ref="M40" si="17">M39/$F$58</f>
        <v>16.660150194171329</v>
      </c>
      <c r="N40" s="269">
        <f t="shared" ref="N40" si="18">N39/$F$58</f>
        <v>17.94755582663517</v>
      </c>
      <c r="O40" s="269">
        <f t="shared" ref="O40" si="19">O39/$F$58</f>
        <v>27.386582873001181</v>
      </c>
      <c r="P40" s="273">
        <f>SUM(F40:O40)</f>
        <v>677.16230351558113</v>
      </c>
    </row>
    <row r="41" spans="2:16" ht="15.75" thickBot="1" x14ac:dyDescent="0.3">
      <c r="B41" s="334"/>
      <c r="D41" s="247"/>
      <c r="E41" s="248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3"/>
    </row>
    <row r="42" spans="2:16" ht="15.75" thickBot="1" x14ac:dyDescent="0.3">
      <c r="B42" s="334"/>
      <c r="D42" s="336" t="s">
        <v>7662</v>
      </c>
      <c r="E42" s="244" t="s">
        <v>27</v>
      </c>
      <c r="F42" s="238">
        <f t="array" ref="F42">(F17/$E17)*1000</f>
        <v>669.21537133840741</v>
      </c>
      <c r="G42" s="238">
        <f t="array" ref="G42">(G17/$E17)*1000</f>
        <v>458.88847490038603</v>
      </c>
      <c r="H42" s="238">
        <f t="array" ref="H42">(H17/$E17)*1000</f>
        <v>140.08218154650729</v>
      </c>
      <c r="I42" s="238">
        <f t="array" ref="I42">(I17/$E17)*1000</f>
        <v>268.09973103238332</v>
      </c>
      <c r="J42" s="238">
        <f t="array" ref="J42">(J17/$E17)*1000</f>
        <v>233.47030257751214</v>
      </c>
      <c r="K42" s="238">
        <f t="array" ref="K42">(K17/$E17)*1000</f>
        <v>124.51749470800648</v>
      </c>
      <c r="L42" s="238">
        <f t="array" ref="L42">(L17/$E17)*1000</f>
        <v>83.185429741003617</v>
      </c>
      <c r="M42" s="238">
        <f t="array" ref="M42">(M17/$E17)*1000</f>
        <v>54.476403934752838</v>
      </c>
      <c r="N42" s="238">
        <f t="array" ref="N42">(N17/$E17)*1000</f>
        <v>4.5033619723571165</v>
      </c>
      <c r="O42" s="238">
        <f t="array" ref="O42">(O17/$E17)*1000</f>
        <v>89.283750466940603</v>
      </c>
      <c r="P42" s="245">
        <f t="array" ref="P42">SUM(F42:O42)</f>
        <v>2125.722502218257</v>
      </c>
    </row>
    <row r="43" spans="2:16" ht="15.75" thickBot="1" x14ac:dyDescent="0.3">
      <c r="B43" s="334"/>
      <c r="D43" s="337"/>
      <c r="E43" s="246" t="s">
        <v>16</v>
      </c>
      <c r="F43" s="269">
        <f>F42/$F$58</f>
        <v>196.61986173051608</v>
      </c>
      <c r="G43" s="269">
        <f t="shared" ref="G43" si="20">G42/$F$58</f>
        <v>134.82444120222652</v>
      </c>
      <c r="H43" s="269">
        <f t="shared" ref="H43" si="21">H42/$F$58</f>
        <v>41.15706295194385</v>
      </c>
      <c r="I43" s="269">
        <f t="shared" ref="I43" si="22">I42/$F$58</f>
        <v>78.769457940199629</v>
      </c>
      <c r="J43" s="269">
        <f t="shared" ref="J43" si="23">J42/$F$58</f>
        <v>68.595104919906419</v>
      </c>
      <c r="K43" s="269">
        <f t="shared" ref="K43" si="24">K42/$F$58</f>
        <v>36.584055957283425</v>
      </c>
      <c r="L43" s="269">
        <f t="shared" ref="L43" si="25">L42/$F$58</f>
        <v>24.440424404715102</v>
      </c>
      <c r="M43" s="269">
        <f t="shared" ref="M43" si="26">M42/$F$58</f>
        <v>16.0055244813115</v>
      </c>
      <c r="N43" s="269">
        <f t="shared" ref="N43" si="27">N42/$F$58</f>
        <v>1.323117259779091</v>
      </c>
      <c r="O43" s="269">
        <f t="shared" ref="O43" si="28">O42/$F$58</f>
        <v>26.232150998687398</v>
      </c>
      <c r="P43" s="273">
        <f>SUM(F43:O43)</f>
        <v>624.55120184656914</v>
      </c>
    </row>
    <row r="44" spans="2:16" ht="15.75" thickBot="1" x14ac:dyDescent="0.3">
      <c r="B44" s="334"/>
      <c r="D44" s="247"/>
      <c r="E44" s="248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3"/>
    </row>
    <row r="45" spans="2:16" ht="15.75" thickBot="1" x14ac:dyDescent="0.3">
      <c r="B45" s="334"/>
      <c r="D45" s="336" t="s">
        <v>7663</v>
      </c>
      <c r="E45" s="244" t="s">
        <v>27</v>
      </c>
      <c r="F45" s="238">
        <f t="array" ref="F45">(F19/$E19)*1000</f>
        <v>422.91518765459642</v>
      </c>
      <c r="G45" s="238">
        <f t="array" ref="G45">(G19/$E19)*1000</f>
        <v>334.87356356645302</v>
      </c>
      <c r="H45" s="238">
        <f t="array" ref="H45">(H19/$E19)*1000</f>
        <v>89.398794623894744</v>
      </c>
      <c r="I45" s="238">
        <f t="array" ref="I45">(I19/$E19)*1000</f>
        <v>103.02872003714877</v>
      </c>
      <c r="J45" s="238">
        <f t="array" ref="J45">(J19/$E19)*1000</f>
        <v>164.91133058872532</v>
      </c>
      <c r="K45" s="238">
        <f t="array" ref="K45">(K19/$E19)*1000</f>
        <v>81.531350694829371</v>
      </c>
      <c r="L45" s="238">
        <f t="array" ref="L45">(L19/$E19)*1000</f>
        <v>57.169888325440716</v>
      </c>
      <c r="M45" s="238">
        <f t="array" ref="M45">(M19/$E19)*1000</f>
        <v>34.659241198688974</v>
      </c>
      <c r="N45" s="238">
        <f t="array" ref="N45">(N19/$E19)*1000</f>
        <v>29.028753758248751</v>
      </c>
      <c r="O45" s="238">
        <f t="array" ref="O45">(O19/$E19)*1000</f>
        <v>57.974938101343142</v>
      </c>
      <c r="P45" s="245">
        <f t="array" ref="P45">SUM(F45:O45)</f>
        <v>1375.4917685493695</v>
      </c>
    </row>
    <row r="46" spans="2:16" ht="15.75" thickBot="1" x14ac:dyDescent="0.3">
      <c r="B46" s="334"/>
      <c r="D46" s="337"/>
      <c r="E46" s="246" t="s">
        <v>16</v>
      </c>
      <c r="F46" s="269">
        <f>F45/$F$58</f>
        <v>124.25525366232677</v>
      </c>
      <c r="G46" s="269">
        <f t="shared" ref="G46" si="29">G45/$F$58</f>
        <v>98.388047533872225</v>
      </c>
      <c r="H46" s="269">
        <f t="shared" ref="H46" si="30">H45/$F$58</f>
        <v>26.265951725930091</v>
      </c>
      <c r="I46" s="269">
        <f t="shared" ref="I46" si="31">I45/$F$58</f>
        <v>30.270513134601146</v>
      </c>
      <c r="J46" s="269">
        <f t="shared" ref="J46" si="32">J45/$F$58</f>
        <v>48.452029655717631</v>
      </c>
      <c r="K46" s="269">
        <f t="shared" ref="K46" si="33">K45/$F$58</f>
        <v>23.954445141119159</v>
      </c>
      <c r="L46" s="269">
        <f t="shared" ref="L46" si="34">L45/$F$58</f>
        <v>16.796887846757198</v>
      </c>
      <c r="M46" s="269">
        <f t="shared" ref="M46" si="35">M45/$F$58</f>
        <v>10.183112199801508</v>
      </c>
      <c r="N46" s="269">
        <f t="shared" ref="N46" si="36">N45/$F$58</f>
        <v>8.5288380910035109</v>
      </c>
      <c r="O46" s="269">
        <f t="shared" ref="O46" si="37">O45/$F$58</f>
        <v>17.03341674672485</v>
      </c>
      <c r="P46" s="273">
        <f>SUM(F46:O46)</f>
        <v>404.12849573785411</v>
      </c>
    </row>
    <row r="47" spans="2:16" ht="15.75" thickBot="1" x14ac:dyDescent="0.3">
      <c r="B47" s="334"/>
      <c r="D47" s="247"/>
      <c r="E47" s="248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3"/>
    </row>
    <row r="48" spans="2:16" ht="15.75" thickBot="1" x14ac:dyDescent="0.3">
      <c r="B48" s="334"/>
      <c r="D48" s="336" t="s">
        <v>7665</v>
      </c>
      <c r="E48" s="244" t="s">
        <v>27</v>
      </c>
      <c r="F48" s="238">
        <f t="array" ref="F48">(F21/$E21)*1000</f>
        <v>2509.5576425190275</v>
      </c>
      <c r="G48" s="238">
        <f t="array" ref="G48">(G21/$E21)*1000</f>
        <v>1720.8317808764477</v>
      </c>
      <c r="H48" s="238">
        <f t="array" ref="H48">(H21/$E21)*1000</f>
        <v>525.30818079940229</v>
      </c>
      <c r="I48" s="238">
        <f t="array" ref="I48">(I21/$E21)*1000</f>
        <v>920</v>
      </c>
      <c r="J48" s="238">
        <f t="array" ref="J48">(J21/$E21)*1000</f>
        <v>875.51363466567057</v>
      </c>
      <c r="K48" s="238">
        <f t="array" ref="K48">(K21/$E21)*1000</f>
        <v>466.94060515502429</v>
      </c>
      <c r="L48" s="238">
        <f t="array" ref="L48">(L21/$E21)*1000</f>
        <v>311.9453615287635</v>
      </c>
      <c r="M48" s="238">
        <f t="array" ref="M48">(M21/$E21)*1000</f>
        <v>204.28651475532311</v>
      </c>
      <c r="N48" s="238">
        <f t="array" ref="N48">(N21/$E21)*1000</f>
        <v>16.887607396339185</v>
      </c>
      <c r="O48" s="238">
        <f t="array" ref="O48">(O21/$E21)*1000</f>
        <v>334.81406425102722</v>
      </c>
      <c r="P48" s="245">
        <f t="array" ref="P48">SUM(F48:O48)</f>
        <v>7886.0853919470255</v>
      </c>
    </row>
    <row r="49" spans="2:16" ht="15.75" thickBot="1" x14ac:dyDescent="0.3">
      <c r="B49" s="334"/>
      <c r="D49" s="337"/>
      <c r="E49" s="246" t="s">
        <v>16</v>
      </c>
      <c r="F49" s="269">
        <f>F48/$F$58</f>
        <v>737.32448148943524</v>
      </c>
      <c r="G49" s="269">
        <f t="shared" ref="G49" si="38">G48/$F$58</f>
        <v>505.59165450834951</v>
      </c>
      <c r="H49" s="269">
        <f t="shared" ref="H49" si="39">H48/$F$58</f>
        <v>154.33898606978943</v>
      </c>
      <c r="I49" s="269">
        <f t="shared" ref="I49" si="40">I48/$F$58</f>
        <v>270.3020291215077</v>
      </c>
      <c r="J49" s="269">
        <f t="shared" ref="J49" si="41">J48/$F$58</f>
        <v>257.23164344964908</v>
      </c>
      <c r="K49" s="269">
        <f t="shared" ref="K49" si="42">K48/$F$58</f>
        <v>137.19020983981284</v>
      </c>
      <c r="L49" s="269">
        <f t="shared" ref="L49" si="43">L48/$F$58</f>
        <v>91.651591517681609</v>
      </c>
      <c r="M49" s="269">
        <f t="shared" ref="M49" si="44">M48/$F$58</f>
        <v>60.020716804918109</v>
      </c>
      <c r="N49" s="269">
        <f t="shared" ref="N49" si="45">N48/$F$58</f>
        <v>4.9616897241715909</v>
      </c>
      <c r="O49" s="269">
        <f t="shared" ref="O49" si="46">O48/$F$58</f>
        <v>98.370566245077725</v>
      </c>
      <c r="P49" s="273">
        <f>SUM(F49:O49)</f>
        <v>2316.9835687703926</v>
      </c>
    </row>
    <row r="50" spans="2:16" ht="15.75" thickBot="1" x14ac:dyDescent="0.3">
      <c r="B50" s="263"/>
      <c r="D50" s="264"/>
      <c r="E50" s="265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</row>
    <row r="51" spans="2:16" ht="15.75" thickBot="1" x14ac:dyDescent="0.3">
      <c r="B51" s="263"/>
      <c r="D51" s="336" t="s">
        <v>7665</v>
      </c>
      <c r="E51" s="244" t="s">
        <v>27</v>
      </c>
      <c r="F51" s="238">
        <f>F23/$E$23</f>
        <v>0.59102997906043797</v>
      </c>
      <c r="G51" s="238">
        <f t="shared" ref="G51:O51" si="47">G23/$E$23</f>
        <v>0.72762489778970807</v>
      </c>
      <c r="H51" s="238">
        <f t="shared" si="47"/>
        <v>0.13138686131386862</v>
      </c>
      <c r="I51" s="238">
        <f t="shared" si="47"/>
        <v>4.3040184152438203E-2</v>
      </c>
      <c r="J51" s="238">
        <f t="shared" si="47"/>
        <v>0.43795620437956206</v>
      </c>
      <c r="K51" s="238">
        <f t="shared" si="47"/>
        <v>0.13138686131386862</v>
      </c>
      <c r="L51" s="238">
        <f t="shared" si="47"/>
        <v>1.7518248175182483E-2</v>
      </c>
      <c r="M51" s="238">
        <f t="shared" si="47"/>
        <v>5.2554744525547446E-2</v>
      </c>
      <c r="N51" s="238">
        <f t="shared" si="47"/>
        <v>0.30043795620437957</v>
      </c>
      <c r="O51" s="238">
        <f t="shared" si="47"/>
        <v>8.7591240875912413E-2</v>
      </c>
      <c r="P51" s="245">
        <f t="array" ref="P51">SUM(F51:O51)</f>
        <v>2.520527177790906</v>
      </c>
    </row>
    <row r="52" spans="2:16" ht="15.75" thickBot="1" x14ac:dyDescent="0.3">
      <c r="B52" s="263"/>
      <c r="D52" s="337"/>
      <c r="E52" s="246" t="s">
        <v>16</v>
      </c>
      <c r="F52" s="269">
        <f>F51/$F$58</f>
        <v>0.17364848109965064</v>
      </c>
      <c r="G52" s="269">
        <f t="shared" ref="G52" si="48">G51/$F$58</f>
        <v>0.21378096338248667</v>
      </c>
      <c r="H52" s="269">
        <f t="shared" ref="H52" si="49">H51/$F$58</f>
        <v>3.8602320883744358E-2</v>
      </c>
      <c r="I52" s="269">
        <f t="shared" ref="I52" si="50">I51/$F$58</f>
        <v>1.2645488163225442E-2</v>
      </c>
      <c r="J52" s="269">
        <f t="shared" ref="J52" si="51">J51/$F$58</f>
        <v>0.12867440294581453</v>
      </c>
      <c r="K52" s="269">
        <f t="shared" ref="K52" si="52">K51/$F$58</f>
        <v>3.8602320883744358E-2</v>
      </c>
      <c r="L52" s="269">
        <f t="shared" ref="L52" si="53">L51/$F$58</f>
        <v>5.1469761178325815E-3</v>
      </c>
      <c r="M52" s="269">
        <f t="shared" ref="M52" si="54">M51/$F$58</f>
        <v>1.5440928353497743E-2</v>
      </c>
      <c r="N52" s="269">
        <f t="shared" ref="N52" si="55">N51/$F$58</f>
        <v>8.8270640420828772E-2</v>
      </c>
      <c r="O52" s="269">
        <f t="shared" ref="O52" si="56">O51/$F$58</f>
        <v>2.5734880589162908E-2</v>
      </c>
      <c r="P52" s="273">
        <f>SUM(F52:O52)</f>
        <v>0.7405474028399881</v>
      </c>
    </row>
    <row r="53" spans="2:16" ht="15.75" thickBot="1" x14ac:dyDescent="0.3">
      <c r="B53" s="263"/>
      <c r="D53" s="264"/>
      <c r="E53" s="265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</row>
    <row r="54" spans="2:16" ht="15.75" thickBot="1" x14ac:dyDescent="0.3">
      <c r="D54" s="350" t="s">
        <v>7777</v>
      </c>
      <c r="E54" s="351"/>
      <c r="F54" s="250">
        <f>F33+F36+F39+F42+F45+F48+F51</f>
        <v>5697.7190222352319</v>
      </c>
      <c r="G54" s="250">
        <f t="shared" ref="G54:O54" si="57">G33+G36+G39+G42+G45+G48+G51</f>
        <v>4086.7887417956267</v>
      </c>
      <c r="H54" s="250">
        <f t="shared" si="57"/>
        <v>1195.8230155071872</v>
      </c>
      <c r="I54" s="250">
        <f t="shared" si="57"/>
        <v>1828.7398662787732</v>
      </c>
      <c r="J54" s="250">
        <f t="shared" si="57"/>
        <v>2085.5454847355231</v>
      </c>
      <c r="K54" s="250">
        <f t="shared" si="57"/>
        <v>1072.1275554579056</v>
      </c>
      <c r="L54" s="250">
        <f t="shared" si="57"/>
        <v>702.10185297135672</v>
      </c>
      <c r="M54" s="250">
        <f t="shared" si="57"/>
        <v>465.27704983732542</v>
      </c>
      <c r="N54" s="250">
        <f t="shared" si="57"/>
        <v>193.32053267127387</v>
      </c>
      <c r="O54" s="250">
        <f t="shared" si="57"/>
        <v>760.3660196516297</v>
      </c>
      <c r="P54" s="251"/>
    </row>
    <row r="55" spans="2:16" ht="15.75" thickBot="1" x14ac:dyDescent="0.3">
      <c r="D55" s="350" t="s">
        <v>7778</v>
      </c>
      <c r="E55" s="351"/>
      <c r="F55" s="250">
        <f>F34+F37+F40+F43+F46+F49+F52</f>
        <v>1674.0271881243436</v>
      </c>
      <c r="G55" s="250">
        <f t="shared" ref="G55:O55" si="58">G34+G37+G40+G43+G46+G49+G52</f>
        <v>1200.7253146720557</v>
      </c>
      <c r="H55" s="250">
        <f t="shared" si="58"/>
        <v>351.34063865412264</v>
      </c>
      <c r="I55" s="250">
        <f t="shared" si="58"/>
        <v>537.29575716363809</v>
      </c>
      <c r="J55" s="250">
        <f t="shared" si="58"/>
        <v>612.74693081435885</v>
      </c>
      <c r="K55" s="250">
        <f t="shared" si="58"/>
        <v>314.99810186668884</v>
      </c>
      <c r="L55" s="250">
        <f t="shared" si="58"/>
        <v>206.28212555231326</v>
      </c>
      <c r="M55" s="250">
        <f t="shared" si="58"/>
        <v>136.70144638554123</v>
      </c>
      <c r="N55" s="250">
        <f t="shared" si="58"/>
        <v>56.798839404234855</v>
      </c>
      <c r="O55" s="250">
        <f t="shared" si="58"/>
        <v>223.4005195509562</v>
      </c>
      <c r="P55" s="251"/>
    </row>
    <row r="56" spans="2:16" x14ac:dyDescent="0.25">
      <c r="D56" s="180" t="s">
        <v>7779</v>
      </c>
    </row>
    <row r="57" spans="2:16" x14ac:dyDescent="0.25">
      <c r="D57" s="252" t="s">
        <v>7780</v>
      </c>
      <c r="E57" s="101">
        <f>Resultado!P59</f>
        <v>0.6332836594225868</v>
      </c>
      <c r="F57" s="270">
        <v>1</v>
      </c>
    </row>
    <row r="58" spans="2:16" x14ac:dyDescent="0.25">
      <c r="D58" s="253" t="s">
        <v>7781</v>
      </c>
      <c r="E58" s="101">
        <f>Resultado!R59</f>
        <v>3.4504500331371542E-2</v>
      </c>
      <c r="F58" s="270">
        <f>Pedidos!N1</f>
        <v>3.4036000506175865</v>
      </c>
    </row>
    <row r="59" spans="2:16" x14ac:dyDescent="0.25">
      <c r="D59" s="253" t="s">
        <v>7782</v>
      </c>
      <c r="E59" s="101">
        <f>Resultado!T59</f>
        <v>0.33221184024604178</v>
      </c>
      <c r="F59" s="270">
        <f>Resultado!T8</f>
        <v>3.2</v>
      </c>
    </row>
  </sheetData>
  <mergeCells count="17">
    <mergeCell ref="Q8:Q9"/>
    <mergeCell ref="D54:E54"/>
    <mergeCell ref="D55:E55"/>
    <mergeCell ref="D31:E31"/>
    <mergeCell ref="B33:B49"/>
    <mergeCell ref="D33:D34"/>
    <mergeCell ref="D36:D37"/>
    <mergeCell ref="D39:D40"/>
    <mergeCell ref="D42:D43"/>
    <mergeCell ref="D45:D46"/>
    <mergeCell ref="D48:D49"/>
    <mergeCell ref="B11:B25"/>
    <mergeCell ref="D51:D52"/>
    <mergeCell ref="B1:D2"/>
    <mergeCell ref="B6:E6"/>
    <mergeCell ref="B8:D9"/>
    <mergeCell ref="E8:P8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5" sqref="H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"/>
  <sheetViews>
    <sheetView zoomScale="70" zoomScaleNormal="70" workbookViewId="0">
      <selection activeCell="H60" sqref="H60"/>
    </sheetView>
  </sheetViews>
  <sheetFormatPr defaultRowHeight="15" x14ac:dyDescent="0.25"/>
  <cols>
    <col min="1" max="1" width="18.85546875" bestFit="1" customWidth="1"/>
    <col min="2" max="2" width="16.42578125" bestFit="1" customWidth="1"/>
    <col min="3" max="3" width="10.140625" bestFit="1" customWidth="1"/>
    <col min="4" max="4" width="22.5703125" bestFit="1" customWidth="1"/>
    <col min="5" max="5" width="17.85546875" bestFit="1" customWidth="1"/>
    <col min="6" max="6" width="47.42578125" bestFit="1" customWidth="1"/>
    <col min="7" max="7" width="15" bestFit="1" customWidth="1"/>
    <col min="8" max="8" width="11" bestFit="1" customWidth="1"/>
    <col min="9" max="9" width="18.140625" bestFit="1" customWidth="1"/>
    <col min="10" max="10" width="22.42578125" style="2" bestFit="1" customWidth="1"/>
    <col min="11" max="11" width="7" bestFit="1" customWidth="1"/>
    <col min="12" max="12" width="25.85546875" style="2" bestFit="1" customWidth="1"/>
    <col min="13" max="13" width="21.140625" style="2" bestFit="1" customWidth="1"/>
    <col min="14" max="14" width="13.140625" bestFit="1" customWidth="1"/>
    <col min="15" max="15" width="8.5703125" bestFit="1" customWidth="1"/>
    <col min="16" max="16" width="20.28515625" style="2" bestFit="1" customWidth="1"/>
    <col min="17" max="17" width="18.5703125" bestFit="1" customWidth="1"/>
    <col min="18" max="18" width="21.7109375" style="2" bestFit="1" customWidth="1"/>
    <col min="19" max="19" width="16" bestFit="1" customWidth="1"/>
  </cols>
  <sheetData>
    <row r="1" spans="1:19" x14ac:dyDescent="0.25">
      <c r="F1" t="s">
        <v>7783</v>
      </c>
      <c r="J1" s="2" t="s">
        <v>7790</v>
      </c>
      <c r="K1" t="s">
        <v>16</v>
      </c>
      <c r="L1" s="2">
        <f t="array" ref="L1">SUM(IF((Tabela_GM_PEDIDOS_2017_FIM[MOEDA]="US$")*(Tabela_GM_PEDIDOS_2017_FIM[PAGO]="S"),Tabela_GM_PEDIDOS_2017_FIM[VL_PEDIDO_COMPRA]))</f>
        <v>1916330</v>
      </c>
      <c r="M1" s="2">
        <f t="array" ref="M1">SUM(IF((Tabela_GM_PEDIDOS_2017_FIM[MOEDA]="US$")*(Tabela_GM_PEDIDOS_2017_FIM[PAGO]="S"),Tabela_GM_PEDIDOS_2017_FIM[VALOR_PAGO_REAL]+Tabela_GM_PEDIDOS_2017_FIM[VC_FINANCEIRA]))</f>
        <v>6522420.8849999998</v>
      </c>
      <c r="N1" s="268">
        <f>M1/L1</f>
        <v>3.4036000506175865</v>
      </c>
    </row>
    <row r="2" spans="1:19" x14ac:dyDescent="0.25">
      <c r="J2" s="2" t="s">
        <v>7790</v>
      </c>
      <c r="K2" t="s">
        <v>27</v>
      </c>
      <c r="L2" s="2">
        <f t="array" ref="L2">SUM(IF((Tabela_GM_PEDIDOS_2017_FIM[MOEDA]="r$")*(Tabela_GM_PEDIDOS_2017_FIM[PAGO]="S"),Tabela_GM_PEDIDOS_2017_FIM[VL_PEDIDO_COMPRA]))</f>
        <v>2065534.39</v>
      </c>
      <c r="M2" s="2">
        <f t="array" ref="M2">SUM(IF((Tabela_GM_PEDIDOS_2017_FIM[MOEDA]="R$")*(Tabela_GM_PEDIDOS_2017_FIM[PAGO]="S"),Tabela_GM_PEDIDOS_2017_FIM[VALOR_PAGO_REAL]+Tabela_GM_PEDIDOS_2017_FIM[VC_FINANCEIRA]))</f>
        <v>2065534.39</v>
      </c>
    </row>
    <row r="3" spans="1:19" x14ac:dyDescent="0.25">
      <c r="J3" s="2" t="s">
        <v>7791</v>
      </c>
      <c r="K3" t="s">
        <v>16</v>
      </c>
      <c r="L3" s="2">
        <f t="array" ref="L3">SUM(IF((Tabela_GM_PEDIDOS_2017_FIM[MOEDA]="US$")*(Tabela_GM_PEDIDOS_2017_FIM[PAGO]&lt;&gt;"S"),Tabela_GM_PEDIDOS_2017_FIM[VL_PEDIDO_COMPRA]))</f>
        <v>21031732.550000004</v>
      </c>
      <c r="M3" s="2">
        <f t="array" ref="M3">SUM(IF((Tabela_GM_PEDIDOS_2017_FIM[MOEDA]="US$")*(Tabela_GM_PEDIDOS_2017_FIM[PAGO]&lt;&gt;"S"),Tabela_GM_PEDIDOS_2017_FIM[VALOR_PAGAR]))</f>
        <v>73603507.561680987</v>
      </c>
      <c r="N3" s="268">
        <f>M3/L3</f>
        <v>3.4996407160798064</v>
      </c>
    </row>
    <row r="4" spans="1:19" x14ac:dyDescent="0.25">
      <c r="J4" s="2" t="s">
        <v>7791</v>
      </c>
      <c r="K4" t="s">
        <v>27</v>
      </c>
      <c r="L4" s="2">
        <f t="array" ref="L4">SUM(IF((Tabela_GM_PEDIDOS_2017_FIM[MOEDA]="r$")*(Tabela_GM_PEDIDOS_2017_FIM[PAGO]&lt;&gt;"S"),Tabela_GM_PEDIDOS_2017_FIM[VL_PEDIDO_COMPRA]))</f>
        <v>10403924.930000002</v>
      </c>
      <c r="M4" s="2">
        <f t="array" ref="M4">SUM(IF((Tabela_GM_PEDIDOS_2017_FIM[MOEDA]="R$")*(Tabela_GM_PEDIDOS_2017_FIM[PAGO]&lt;&gt;"S"),Tabela_GM_PEDIDOS_2017_FIM[VALOR_PAGAR]))</f>
        <v>10403924.930000002</v>
      </c>
    </row>
    <row r="5" spans="1:19" x14ac:dyDescent="0.25">
      <c r="Q5" s="267" t="s">
        <v>7788</v>
      </c>
      <c r="R5" s="267" t="s">
        <v>7788</v>
      </c>
      <c r="S5" s="274" t="s">
        <v>7792</v>
      </c>
    </row>
    <row r="6" spans="1:19" x14ac:dyDescent="0.25">
      <c r="J6" s="2">
        <f>SUBTOTAL(9,Tabela_GM_PEDIDOS_2017_FIM[VL_PEDIDO_COMPRA])</f>
        <v>4033599.8899999997</v>
      </c>
      <c r="K6" s="2"/>
      <c r="L6" s="2">
        <f>SUBTOTAL(9,Tabela_GM_PEDIDOS_2017_FIM[VALOR_PAGAR])</f>
        <v>10850997.877700001</v>
      </c>
      <c r="M6" s="2">
        <f>SUBTOTAL(9,Tabela_GM_PEDIDOS_2017_FIM[VALOR_PAGO_REAL])</f>
        <v>1353824.75</v>
      </c>
      <c r="N6" s="2"/>
      <c r="O6" s="2"/>
      <c r="P6" s="2">
        <f>SUBTOTAL(9,Tabela_GM_PEDIDOS_2017_FIM[VL_NOTAS])</f>
        <v>3525631.56</v>
      </c>
      <c r="Q6" s="2">
        <f>SUBTOTAL(9,Tabela_GM_PEDIDOS_2017_FIM[VC_FINANCEIRA])</f>
        <v>-78911.820000000065</v>
      </c>
      <c r="R6" s="2">
        <f>SUBTOTAL(9,Tabela_GM_PEDIDOS_2017_FIM[VC_FORNECEDOR])</f>
        <v>1961543.2200000002</v>
      </c>
      <c r="S6" s="2"/>
    </row>
    <row r="7" spans="1:19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s="2" t="s">
        <v>9</v>
      </c>
      <c r="K7" t="s">
        <v>10</v>
      </c>
      <c r="L7" s="2" t="s">
        <v>11</v>
      </c>
      <c r="M7" s="2" t="s">
        <v>12</v>
      </c>
      <c r="N7" t="s">
        <v>13</v>
      </c>
      <c r="O7" t="s">
        <v>14</v>
      </c>
      <c r="P7" s="2" t="s">
        <v>7651</v>
      </c>
      <c r="Q7" t="s">
        <v>7650</v>
      </c>
      <c r="R7" s="2" t="s">
        <v>7652</v>
      </c>
      <c r="S7" t="s">
        <v>7789</v>
      </c>
    </row>
    <row r="8" spans="1:19" hidden="1" x14ac:dyDescent="0.25">
      <c r="A8" t="s">
        <v>179</v>
      </c>
      <c r="B8">
        <v>1</v>
      </c>
      <c r="C8" t="s">
        <v>16</v>
      </c>
      <c r="D8" t="s">
        <v>24</v>
      </c>
      <c r="E8" t="s">
        <v>18</v>
      </c>
      <c r="F8" t="s">
        <v>19</v>
      </c>
      <c r="G8" t="s">
        <v>37</v>
      </c>
      <c r="H8" t="s">
        <v>180</v>
      </c>
      <c r="I8" s="1">
        <v>42353</v>
      </c>
      <c r="J8" s="2">
        <v>1100500</v>
      </c>
      <c r="K8">
        <v>3.9022999999999999</v>
      </c>
      <c r="L8" s="2">
        <v>4294481.1500000004</v>
      </c>
      <c r="M8" s="2">
        <v>4019576.25</v>
      </c>
      <c r="O8" t="s">
        <v>31</v>
      </c>
      <c r="P8" s="2">
        <f>SUMIF(Tabela_padrão__GM_CONV_NOTAS_ENTRADA[SEQ_PLA_PEDIDO],Tabela_GM_PEDIDOS_2017_FIM[[#This Row],[SEQ_PLA_PEDIDO]],Tabela_padrão__GM_CONV_NOTAS_ENTRADA[VALOR_NF])</f>
        <v>2602325.7000000007</v>
      </c>
      <c r="Q8" s="2">
        <f t="array" ref="Q8">IF(AND(Tabela_GM_PEDIDOS_2017_FIM[[#This Row],[MOEDA]]="US$",Tabela_GM_PEDIDOS_2017_FIM[[#This Row],[PAGO]]="S"),Tabela_GM_PEDIDOS_2017_FIM[[#This Row],[VALOR_PAGO_REAL]]-Tabela_GM_PEDIDOS_2017_FIM[[#This Row],[VALOR_PAGAR]],0)</f>
        <v>-274904.90000000037</v>
      </c>
      <c r="R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" spans="1:19" hidden="1" x14ac:dyDescent="0.25">
      <c r="A9" t="s">
        <v>212</v>
      </c>
      <c r="B9">
        <v>1</v>
      </c>
      <c r="C9" t="s">
        <v>16</v>
      </c>
      <c r="D9" t="s">
        <v>55</v>
      </c>
      <c r="E9" t="s">
        <v>18</v>
      </c>
      <c r="F9" t="s">
        <v>19</v>
      </c>
      <c r="G9" t="s">
        <v>37</v>
      </c>
      <c r="H9" t="s">
        <v>213</v>
      </c>
      <c r="I9" s="1">
        <v>42354</v>
      </c>
      <c r="J9" s="2">
        <v>105300</v>
      </c>
      <c r="K9">
        <v>3.8702999999999999</v>
      </c>
      <c r="L9" s="2">
        <v>407542.59</v>
      </c>
      <c r="M9" s="2">
        <v>384608.25</v>
      </c>
      <c r="N9" t="s">
        <v>31</v>
      </c>
      <c r="O9" t="s">
        <v>31</v>
      </c>
      <c r="P9" s="2">
        <f>SUMIF(Tabela_padrão__GM_CONV_NOTAS_ENTRADA[SEQ_PLA_PEDIDO],Tabela_GM_PEDIDOS_2017_FIM[[#This Row],[SEQ_PLA_PEDIDO]],Tabela_padrão__GM_CONV_NOTAS_ENTRADA[VALOR_NF])</f>
        <v>341271.47</v>
      </c>
      <c r="Q9" s="2">
        <f t="array" ref="Q9">IF(AND(Tabela_GM_PEDIDOS_2017_FIM[[#This Row],[MOEDA]]="US$",Tabela_GM_PEDIDOS_2017_FIM[[#This Row],[PAGO]]="S"),Tabela_GM_PEDIDOS_2017_FIM[[#This Row],[VALOR_PAGO_REAL]]-Tabela_GM_PEDIDOS_2017_FIM[[#This Row],[VALOR_PAGAR]],0)</f>
        <v>-22934.340000000026</v>
      </c>
      <c r="R9" s="2">
        <f>IF(AND(Tabela_GM_PEDIDOS_2017_FIM[[#This Row],[MOEDA]]="US$",Tabela_GM_PEDIDOS_2017_FIM[[#This Row],[FATURADO]]="S"),Tabela_GM_PEDIDOS_2017_FIM[[#This Row],[VL_NOTAS]]-Tabela_GM_PEDIDOS_2017_FIM[[#This Row],[VALOR_PAGO_REAL]],0)</f>
        <v>-43336.780000000028</v>
      </c>
      <c r="S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" spans="1:19" hidden="1" x14ac:dyDescent="0.25">
      <c r="A10" t="s">
        <v>181</v>
      </c>
      <c r="B10">
        <v>1</v>
      </c>
      <c r="C10" t="s">
        <v>16</v>
      </c>
      <c r="D10" t="s">
        <v>28</v>
      </c>
      <c r="E10" t="s">
        <v>18</v>
      </c>
      <c r="F10" t="s">
        <v>19</v>
      </c>
      <c r="G10" t="s">
        <v>37</v>
      </c>
      <c r="H10" t="s">
        <v>182</v>
      </c>
      <c r="I10" s="1">
        <v>42354</v>
      </c>
      <c r="J10" s="2">
        <v>258750</v>
      </c>
      <c r="K10">
        <v>3.8702999999999999</v>
      </c>
      <c r="L10" s="2">
        <v>1001440.125</v>
      </c>
      <c r="M10" s="2">
        <v>945084.38</v>
      </c>
      <c r="O10" t="s">
        <v>31</v>
      </c>
      <c r="P10" s="2">
        <f>SUMIF(Tabela_padrão__GM_CONV_NOTAS_ENTRADA[SEQ_PLA_PEDIDO],Tabela_GM_PEDIDOS_2017_FIM[[#This Row],[SEQ_PLA_PEDIDO]],Tabela_padrão__GM_CONV_NOTAS_ENTRADA[VALOR_NF])</f>
        <v>813680.5</v>
      </c>
      <c r="Q10" s="2">
        <f t="array" ref="Q10">IF(AND(Tabela_GM_PEDIDOS_2017_FIM[[#This Row],[MOEDA]]="US$",Tabela_GM_PEDIDOS_2017_FIM[[#This Row],[PAGO]]="S"),Tabela_GM_PEDIDOS_2017_FIM[[#This Row],[VALOR_PAGO_REAL]]-Tabela_GM_PEDIDOS_2017_FIM[[#This Row],[VALOR_PAGAR]],0)</f>
        <v>-56355.744999999995</v>
      </c>
      <c r="R1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" spans="1:19" x14ac:dyDescent="0.25">
      <c r="A11" t="s">
        <v>62</v>
      </c>
      <c r="B11">
        <v>1</v>
      </c>
      <c r="C11" t="s">
        <v>16</v>
      </c>
      <c r="D11" t="s">
        <v>36</v>
      </c>
      <c r="E11" t="s">
        <v>18</v>
      </c>
      <c r="F11" t="s">
        <v>19</v>
      </c>
      <c r="G11" t="s">
        <v>37</v>
      </c>
      <c r="H11" t="s">
        <v>63</v>
      </c>
      <c r="I11" s="1">
        <v>42353</v>
      </c>
      <c r="J11" s="2">
        <v>315900</v>
      </c>
      <c r="K11">
        <v>3.9022999999999999</v>
      </c>
      <c r="L11" s="2">
        <v>1232736.57</v>
      </c>
      <c r="M11" s="2">
        <v>1153824.75</v>
      </c>
      <c r="O11" t="s">
        <v>31</v>
      </c>
      <c r="P11" s="2">
        <f>SUMIF(Tabela_padrão__GM_CONV_NOTAS_ENTRADA[SEQ_PLA_PEDIDO],Tabela_GM_PEDIDOS_2017_FIM[[#This Row],[SEQ_PLA_PEDIDO]],Tabela_padrão__GM_CONV_NOTAS_ENTRADA[VALOR_NF])</f>
        <v>707392.05999999994</v>
      </c>
      <c r="Q11" s="2">
        <f t="array" ref="Q11">IF(AND(Tabela_GM_PEDIDOS_2017_FIM[[#This Row],[MOEDA]]="US$",Tabela_GM_PEDIDOS_2017_FIM[[#This Row],[PAGO]]="S"),Tabela_GM_PEDIDOS_2017_FIM[[#This Row],[VALOR_PAGO_REAL]]-Tabela_GM_PEDIDOS_2017_FIM[[#This Row],[VALOR_PAGAR]],0)</f>
        <v>-78911.820000000065</v>
      </c>
      <c r="R1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" spans="1:19" hidden="1" x14ac:dyDescent="0.25">
      <c r="A12" t="s">
        <v>96</v>
      </c>
      <c r="B12">
        <v>1</v>
      </c>
      <c r="C12" t="s">
        <v>16</v>
      </c>
      <c r="D12" t="s">
        <v>60</v>
      </c>
      <c r="E12" t="s">
        <v>18</v>
      </c>
      <c r="F12" t="s">
        <v>19</v>
      </c>
      <c r="G12" t="s">
        <v>37</v>
      </c>
      <c r="H12" t="s">
        <v>97</v>
      </c>
      <c r="I12" s="1">
        <v>42355</v>
      </c>
      <c r="J12" s="2">
        <v>54000</v>
      </c>
      <c r="K12">
        <v>3.9357000000000002</v>
      </c>
      <c r="L12" s="2">
        <v>212527.8</v>
      </c>
      <c r="M12" s="2">
        <v>197235</v>
      </c>
      <c r="N12" t="s">
        <v>31</v>
      </c>
      <c r="O12" t="s">
        <v>31</v>
      </c>
      <c r="P12" s="2">
        <f>SUMIF(Tabela_padrão__GM_CONV_NOTAS_ENTRADA[SEQ_PLA_PEDIDO],Tabela_GM_PEDIDOS_2017_FIM[[#This Row],[SEQ_PLA_PEDIDO]],Tabela_padrão__GM_CONV_NOTAS_ENTRADA[VALOR_NF])</f>
        <v>230015.93</v>
      </c>
      <c r="Q12" s="2">
        <f t="array" ref="Q12">IF(AND(Tabela_GM_PEDIDOS_2017_FIM[[#This Row],[MOEDA]]="US$",Tabela_GM_PEDIDOS_2017_FIM[[#This Row],[PAGO]]="S"),Tabela_GM_PEDIDOS_2017_FIM[[#This Row],[VALOR_PAGO_REAL]]-Tabela_GM_PEDIDOS_2017_FIM[[#This Row],[VALOR_PAGAR]],0)</f>
        <v>-15292.799999999988</v>
      </c>
      <c r="R12" s="2">
        <f>IF(AND(Tabela_GM_PEDIDOS_2017_FIM[[#This Row],[MOEDA]]="US$",Tabela_GM_PEDIDOS_2017_FIM[[#This Row],[FATURADO]]="S"),Tabela_GM_PEDIDOS_2017_FIM[[#This Row],[VL_NOTAS]]-Tabela_GM_PEDIDOS_2017_FIM[[#This Row],[VALOR_PAGO_REAL]],0)</f>
        <v>32780.929999999993</v>
      </c>
      <c r="S1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3" spans="1:19" hidden="1" x14ac:dyDescent="0.25">
      <c r="A13" t="s">
        <v>246</v>
      </c>
      <c r="B13">
        <v>1</v>
      </c>
      <c r="C13" t="s">
        <v>16</v>
      </c>
      <c r="D13" t="s">
        <v>17</v>
      </c>
      <c r="E13" t="s">
        <v>18</v>
      </c>
      <c r="F13" t="s">
        <v>19</v>
      </c>
      <c r="G13" t="s">
        <v>37</v>
      </c>
      <c r="H13" t="s">
        <v>247</v>
      </c>
      <c r="I13" s="1">
        <v>42355</v>
      </c>
      <c r="J13" s="2">
        <v>54000</v>
      </c>
      <c r="K13">
        <v>3.9357000000000002</v>
      </c>
      <c r="L13" s="2">
        <v>212527.8</v>
      </c>
      <c r="M13" s="2">
        <v>197235</v>
      </c>
      <c r="N13" t="s">
        <v>31</v>
      </c>
      <c r="O13" t="s">
        <v>31</v>
      </c>
      <c r="P13" s="2">
        <f>SUMIF(Tabela_padrão__GM_CONV_NOTAS_ENTRADA[SEQ_PLA_PEDIDO],Tabela_GM_PEDIDOS_2017_FIM[[#This Row],[SEQ_PLA_PEDIDO]],Tabela_padrão__GM_CONV_NOTAS_ENTRADA[VALOR_NF])</f>
        <v>174780.39</v>
      </c>
      <c r="Q13" s="2">
        <f t="array" ref="Q13">IF(AND(Tabela_GM_PEDIDOS_2017_FIM[[#This Row],[MOEDA]]="US$",Tabela_GM_PEDIDOS_2017_FIM[[#This Row],[PAGO]]="S"),Tabela_GM_PEDIDOS_2017_FIM[[#This Row],[VALOR_PAGO_REAL]]-Tabela_GM_PEDIDOS_2017_FIM[[#This Row],[VALOR_PAGAR]],0)</f>
        <v>-15292.799999999988</v>
      </c>
      <c r="R13" s="2">
        <f>IF(AND(Tabela_GM_PEDIDOS_2017_FIM[[#This Row],[MOEDA]]="US$",Tabela_GM_PEDIDOS_2017_FIM[[#This Row],[FATURADO]]="S"),Tabela_GM_PEDIDOS_2017_FIM[[#This Row],[VL_NOTAS]]-Tabela_GM_PEDIDOS_2017_FIM[[#This Row],[VALOR_PAGO_REAL]],0)</f>
        <v>-22454.609999999986</v>
      </c>
      <c r="S1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4" spans="1:19" hidden="1" x14ac:dyDescent="0.25">
      <c r="A14" t="s">
        <v>224</v>
      </c>
      <c r="B14">
        <v>2</v>
      </c>
      <c r="C14" t="s">
        <v>16</v>
      </c>
      <c r="D14" t="s">
        <v>17</v>
      </c>
      <c r="E14" t="s">
        <v>18</v>
      </c>
      <c r="F14" t="s">
        <v>19</v>
      </c>
      <c r="G14" t="s">
        <v>37</v>
      </c>
      <c r="H14" t="s">
        <v>225</v>
      </c>
      <c r="I14" s="1">
        <v>42424</v>
      </c>
      <c r="J14" s="2">
        <v>98044.7</v>
      </c>
      <c r="K14">
        <v>3.9683999999999999</v>
      </c>
      <c r="L14" s="2">
        <v>389080.58747999999</v>
      </c>
      <c r="N14" t="s">
        <v>31</v>
      </c>
      <c r="O14" t="s">
        <v>22</v>
      </c>
      <c r="P14" s="2">
        <f>SUMIF(Tabela_padrão__GM_CONV_NOTAS_ENTRADA[SEQ_PLA_PEDIDO],Tabela_GM_PEDIDOS_2017_FIM[[#This Row],[SEQ_PLA_PEDIDO]],Tabela_padrão__GM_CONV_NOTAS_ENTRADA[VALOR_NF])</f>
        <v>382374.33000000007</v>
      </c>
      <c r="Q14" s="2">
        <f t="array" ref="Q14">IF(AND(Tabela_GM_PEDIDOS_2017_FIM[[#This Row],[MOEDA]]="US$",Tabela_GM_PEDIDOS_2017_FIM[[#This Row],[PAGO]]="S"),Tabela_GM_PEDIDOS_2017_FIM[[#This Row],[VALOR_PAGO_REAL]]-Tabela_GM_PEDIDOS_2017_FIM[[#This Row],[VALOR_PAGAR]],0)</f>
        <v>0</v>
      </c>
      <c r="R14" s="2">
        <f>IF(AND(Tabela_GM_PEDIDOS_2017_FIM[[#This Row],[MOEDA]]="US$",Tabela_GM_PEDIDOS_2017_FIM[[#This Row],[FATURADO]]="S"),Tabela_GM_PEDIDOS_2017_FIM[[#This Row],[VL_NOTAS]]-Tabela_GM_PEDIDOS_2017_FIM[[#This Row],[VALOR_PAGO_REAL]],0)</f>
        <v>382374.33000000007</v>
      </c>
      <c r="S1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5" spans="1:19" hidden="1" x14ac:dyDescent="0.25">
      <c r="A15" t="s">
        <v>149</v>
      </c>
      <c r="B15">
        <v>2</v>
      </c>
      <c r="C15" t="s">
        <v>16</v>
      </c>
      <c r="D15" t="s">
        <v>60</v>
      </c>
      <c r="E15" t="s">
        <v>18</v>
      </c>
      <c r="F15" t="s">
        <v>19</v>
      </c>
      <c r="G15" t="s">
        <v>37</v>
      </c>
      <c r="H15" t="s">
        <v>150</v>
      </c>
      <c r="I15" s="1">
        <v>42424</v>
      </c>
      <c r="J15" s="2">
        <v>112943</v>
      </c>
      <c r="K15">
        <v>3.9683999999999999</v>
      </c>
      <c r="L15" s="2">
        <v>448203.0012</v>
      </c>
      <c r="N15" t="s">
        <v>31</v>
      </c>
      <c r="O15" t="s">
        <v>22</v>
      </c>
      <c r="P15" s="2">
        <f>SUMIF(Tabela_padrão__GM_CONV_NOTAS_ENTRADA[SEQ_PLA_PEDIDO],Tabela_GM_PEDIDOS_2017_FIM[[#This Row],[SEQ_PLA_PEDIDO]],Tabela_padrão__GM_CONV_NOTAS_ENTRADA[VALOR_NF])</f>
        <v>440477.7</v>
      </c>
      <c r="Q15" s="2">
        <f t="array" ref="Q15">IF(AND(Tabela_GM_PEDIDOS_2017_FIM[[#This Row],[MOEDA]]="US$",Tabela_GM_PEDIDOS_2017_FIM[[#This Row],[PAGO]]="S"),Tabela_GM_PEDIDOS_2017_FIM[[#This Row],[VALOR_PAGO_REAL]]-Tabela_GM_PEDIDOS_2017_FIM[[#This Row],[VALOR_PAGAR]],0)</f>
        <v>0</v>
      </c>
      <c r="R15" s="2">
        <f>IF(AND(Tabela_GM_PEDIDOS_2017_FIM[[#This Row],[MOEDA]]="US$",Tabela_GM_PEDIDOS_2017_FIM[[#This Row],[FATURADO]]="S"),Tabela_GM_PEDIDOS_2017_FIM[[#This Row],[VL_NOTAS]]-Tabela_GM_PEDIDOS_2017_FIM[[#This Row],[VALOR_PAGO_REAL]],0)</f>
        <v>440477.7</v>
      </c>
      <c r="S1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6" spans="1:19" hidden="1" x14ac:dyDescent="0.25">
      <c r="A16" t="s">
        <v>128</v>
      </c>
      <c r="B16">
        <v>2</v>
      </c>
      <c r="C16" t="s">
        <v>16</v>
      </c>
      <c r="D16" t="s">
        <v>55</v>
      </c>
      <c r="E16" t="s">
        <v>18</v>
      </c>
      <c r="F16" t="s">
        <v>19</v>
      </c>
      <c r="G16" t="s">
        <v>37</v>
      </c>
      <c r="H16" t="s">
        <v>129</v>
      </c>
      <c r="I16" s="1">
        <v>42424</v>
      </c>
      <c r="J16" s="2">
        <v>266892.09999999998</v>
      </c>
      <c r="K16">
        <v>3.9683999999999999</v>
      </c>
      <c r="L16" s="2">
        <v>1059134.6096399999</v>
      </c>
      <c r="N16" t="s">
        <v>31</v>
      </c>
      <c r="O16" t="s">
        <v>22</v>
      </c>
      <c r="P16" s="2">
        <f>SUMIF(Tabela_padrão__GM_CONV_NOTAS_ENTRADA[SEQ_PLA_PEDIDO],Tabela_GM_PEDIDOS_2017_FIM[[#This Row],[SEQ_PLA_PEDIDO]],Tabela_padrão__GM_CONV_NOTAS_ENTRADA[VALOR_NF])</f>
        <v>1040879.1900000002</v>
      </c>
      <c r="Q16" s="2">
        <f t="array" ref="Q16">IF(AND(Tabela_GM_PEDIDOS_2017_FIM[[#This Row],[MOEDA]]="US$",Tabela_GM_PEDIDOS_2017_FIM[[#This Row],[PAGO]]="S"),Tabela_GM_PEDIDOS_2017_FIM[[#This Row],[VALOR_PAGO_REAL]]-Tabela_GM_PEDIDOS_2017_FIM[[#This Row],[VALOR_PAGAR]],0)</f>
        <v>0</v>
      </c>
      <c r="R16" s="2">
        <f>IF(AND(Tabela_GM_PEDIDOS_2017_FIM[[#This Row],[MOEDA]]="US$",Tabela_GM_PEDIDOS_2017_FIM[[#This Row],[FATURADO]]="S"),Tabela_GM_PEDIDOS_2017_FIM[[#This Row],[VL_NOTAS]]-Tabela_GM_PEDIDOS_2017_FIM[[#This Row],[VALOR_PAGO_REAL]],0)</f>
        <v>1040879.1900000002</v>
      </c>
      <c r="S1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7" spans="1:19" hidden="1" x14ac:dyDescent="0.25">
      <c r="A17" t="s">
        <v>218</v>
      </c>
      <c r="B17">
        <v>2</v>
      </c>
      <c r="C17" t="s">
        <v>16</v>
      </c>
      <c r="D17" t="s">
        <v>24</v>
      </c>
      <c r="E17" t="s">
        <v>18</v>
      </c>
      <c r="F17" t="s">
        <v>19</v>
      </c>
      <c r="G17" t="s">
        <v>20</v>
      </c>
      <c r="H17" t="s">
        <v>219</v>
      </c>
      <c r="I17" s="1">
        <v>42422</v>
      </c>
      <c r="J17" s="2">
        <v>823840</v>
      </c>
      <c r="K17">
        <v>4.0491999999999999</v>
      </c>
      <c r="L17" s="2">
        <v>3335892.9279999998</v>
      </c>
      <c r="O17" t="s">
        <v>22</v>
      </c>
      <c r="P17" s="2">
        <f>SUMIF(Tabela_padrão__GM_CONV_NOTAS_ENTRADA[SEQ_PLA_PEDIDO],Tabela_GM_PEDIDOS_2017_FIM[[#This Row],[SEQ_PLA_PEDIDO]],Tabela_padrão__GM_CONV_NOTAS_ENTRADA[VALOR_NF])</f>
        <v>1493999.9100000001</v>
      </c>
      <c r="Q17" s="2">
        <f t="array" ref="Q17">IF(AND(Tabela_GM_PEDIDOS_2017_FIM[[#This Row],[MOEDA]]="US$",Tabela_GM_PEDIDOS_2017_FIM[[#This Row],[PAGO]]="S"),Tabela_GM_PEDIDOS_2017_FIM[[#This Row],[VALOR_PAGO_REAL]]-Tabela_GM_PEDIDOS_2017_FIM[[#This Row],[VALOR_PAGAR]],0)</f>
        <v>0</v>
      </c>
      <c r="R1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8" spans="1:19" x14ac:dyDescent="0.25">
      <c r="A18" t="s">
        <v>118</v>
      </c>
      <c r="B18">
        <v>2</v>
      </c>
      <c r="C18" t="s">
        <v>16</v>
      </c>
      <c r="D18" t="s">
        <v>36</v>
      </c>
      <c r="E18" t="s">
        <v>18</v>
      </c>
      <c r="F18" t="s">
        <v>19</v>
      </c>
      <c r="G18" t="s">
        <v>20</v>
      </c>
      <c r="H18" t="s">
        <v>119</v>
      </c>
      <c r="I18" s="1">
        <v>42422</v>
      </c>
      <c r="J18" s="2">
        <v>152000</v>
      </c>
      <c r="K18">
        <v>4.0491999999999999</v>
      </c>
      <c r="L18" s="2">
        <v>615478.4</v>
      </c>
      <c r="O18" t="s">
        <v>22</v>
      </c>
      <c r="P18" s="2">
        <f>SUMIF(Tabela_padrão__GM_CONV_NOTAS_ENTRADA[SEQ_PLA_PEDIDO],Tabela_GM_PEDIDOS_2017_FIM[[#This Row],[SEQ_PLA_PEDIDO]],Tabela_padrão__GM_CONV_NOTAS_ENTRADA[VALOR_NF])</f>
        <v>224100</v>
      </c>
      <c r="Q18" s="2">
        <f t="array" ref="Q18">IF(AND(Tabela_GM_PEDIDOS_2017_FIM[[#This Row],[MOEDA]]="US$",Tabela_GM_PEDIDOS_2017_FIM[[#This Row],[PAGO]]="S"),Tabela_GM_PEDIDOS_2017_FIM[[#This Row],[VALOR_PAGO_REAL]]-Tabela_GM_PEDIDOS_2017_FIM[[#This Row],[VALOR_PAGAR]],0)</f>
        <v>0</v>
      </c>
      <c r="R1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9" spans="1:19" x14ac:dyDescent="0.25">
      <c r="A19" t="s">
        <v>104</v>
      </c>
      <c r="B19">
        <v>3</v>
      </c>
      <c r="C19" t="s">
        <v>16</v>
      </c>
      <c r="D19" t="s">
        <v>36</v>
      </c>
      <c r="E19" t="s">
        <v>18</v>
      </c>
      <c r="F19" t="s">
        <v>19</v>
      </c>
      <c r="G19" t="s">
        <v>37</v>
      </c>
      <c r="H19" t="s">
        <v>105</v>
      </c>
      <c r="I19" s="1">
        <v>42424</v>
      </c>
      <c r="J19" s="2">
        <v>502959.8</v>
      </c>
      <c r="K19">
        <v>3.9683999999999999</v>
      </c>
      <c r="L19" s="2">
        <v>1995945.67032</v>
      </c>
      <c r="N19" t="s">
        <v>31</v>
      </c>
      <c r="O19" t="s">
        <v>22</v>
      </c>
      <c r="P19" s="2">
        <f>SUMIF(Tabela_padrão__GM_CONV_NOTAS_ENTRADA[SEQ_PLA_PEDIDO],Tabela_GM_PEDIDOS_2017_FIM[[#This Row],[SEQ_PLA_PEDIDO]],Tabela_padrão__GM_CONV_NOTAS_ENTRADA[VALOR_NF])</f>
        <v>1961543.2200000002</v>
      </c>
      <c r="Q19" s="2">
        <f t="array" ref="Q19">IF(AND(Tabela_GM_PEDIDOS_2017_FIM[[#This Row],[MOEDA]]="US$",Tabela_GM_PEDIDOS_2017_FIM[[#This Row],[PAGO]]="S"),Tabela_GM_PEDIDOS_2017_FIM[[#This Row],[VALOR_PAGO_REAL]]-Tabela_GM_PEDIDOS_2017_FIM[[#This Row],[VALOR_PAGAR]],0)</f>
        <v>0</v>
      </c>
      <c r="R19" s="2">
        <f>IF(AND(Tabela_GM_PEDIDOS_2017_FIM[[#This Row],[MOEDA]]="US$",Tabela_GM_PEDIDOS_2017_FIM[[#This Row],[FATURADO]]="S"),Tabela_GM_PEDIDOS_2017_FIM[[#This Row],[VL_NOTAS]]-Tabela_GM_PEDIDOS_2017_FIM[[#This Row],[VALOR_PAGO_REAL]],0)</f>
        <v>1961543.2200000002</v>
      </c>
      <c r="S1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0" spans="1:19" hidden="1" x14ac:dyDescent="0.25">
      <c r="A20" t="s">
        <v>147</v>
      </c>
      <c r="B20">
        <v>3</v>
      </c>
      <c r="C20" t="s">
        <v>16</v>
      </c>
      <c r="D20" t="s">
        <v>24</v>
      </c>
      <c r="E20" t="s">
        <v>18</v>
      </c>
      <c r="F20" t="s">
        <v>19</v>
      </c>
      <c r="G20" t="s">
        <v>37</v>
      </c>
      <c r="H20" t="s">
        <v>148</v>
      </c>
      <c r="I20" s="1">
        <v>42424</v>
      </c>
      <c r="J20" s="2">
        <v>1500000</v>
      </c>
      <c r="K20">
        <v>3.9683999999999999</v>
      </c>
      <c r="L20" s="2">
        <v>5952600</v>
      </c>
      <c r="O20" t="s">
        <v>22</v>
      </c>
      <c r="P20" s="2">
        <f>SUMIF(Tabela_padrão__GM_CONV_NOTAS_ENTRADA[SEQ_PLA_PEDIDO],Tabela_GM_PEDIDOS_2017_FIM[[#This Row],[SEQ_PLA_PEDIDO]],Tabela_padrão__GM_CONV_NOTAS_ENTRADA[VALOR_NF])</f>
        <v>5795907</v>
      </c>
      <c r="Q20" s="2">
        <f t="array" ref="Q20">IF(AND(Tabela_GM_PEDIDOS_2017_FIM[[#This Row],[MOEDA]]="US$",Tabela_GM_PEDIDOS_2017_FIM[[#This Row],[PAGO]]="S"),Tabela_GM_PEDIDOS_2017_FIM[[#This Row],[VALOR_PAGO_REAL]]-Tabela_GM_PEDIDOS_2017_FIM[[#This Row],[VALOR_PAGAR]],0)</f>
        <v>0</v>
      </c>
      <c r="R2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2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1" spans="1:19" hidden="1" x14ac:dyDescent="0.25">
      <c r="A21" t="s">
        <v>220</v>
      </c>
      <c r="B21">
        <v>4</v>
      </c>
      <c r="C21" t="s">
        <v>27</v>
      </c>
      <c r="D21" t="s">
        <v>24</v>
      </c>
      <c r="E21" t="s">
        <v>18</v>
      </c>
      <c r="F21" t="s">
        <v>19</v>
      </c>
      <c r="G21" t="s">
        <v>37</v>
      </c>
      <c r="H21" t="s">
        <v>221</v>
      </c>
      <c r="I21" s="1">
        <v>42445</v>
      </c>
      <c r="J21" s="2">
        <v>3116000</v>
      </c>
      <c r="K21">
        <v>1</v>
      </c>
      <c r="L21" s="2">
        <v>3116000</v>
      </c>
      <c r="N21" t="s">
        <v>31</v>
      </c>
      <c r="O21" t="s">
        <v>22</v>
      </c>
      <c r="P21" s="2">
        <f>SUMIF(Tabela_padrão__GM_CONV_NOTAS_ENTRADA[SEQ_PLA_PEDIDO],Tabela_GM_PEDIDOS_2017_FIM[[#This Row],[SEQ_PLA_PEDIDO]],Tabela_padrão__GM_CONV_NOTAS_ENTRADA[VALOR_NF])</f>
        <v>0</v>
      </c>
      <c r="Q21" s="2">
        <f t="array" ref="Q21">IF(AND(Tabela_GM_PEDIDOS_2017_FIM[[#This Row],[MOEDA]]="US$",Tabela_GM_PEDIDOS_2017_FIM[[#This Row],[PAGO]]="S"),Tabela_GM_PEDIDOS_2017_FIM[[#This Row],[VALOR_PAGO_REAL]]-Tabela_GM_PEDIDOS_2017_FIM[[#This Row],[VALOR_PAGAR]],0)</f>
        <v>0</v>
      </c>
      <c r="R2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2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2" spans="1:19" hidden="1" x14ac:dyDescent="0.25">
      <c r="A22" t="s">
        <v>137</v>
      </c>
      <c r="B22">
        <v>5</v>
      </c>
      <c r="C22" t="s">
        <v>16</v>
      </c>
      <c r="D22" t="s">
        <v>24</v>
      </c>
      <c r="E22" t="s">
        <v>18</v>
      </c>
      <c r="F22" t="s">
        <v>19</v>
      </c>
      <c r="G22" t="s">
        <v>20</v>
      </c>
      <c r="H22" t="s">
        <v>138</v>
      </c>
      <c r="I22" s="1">
        <v>42457</v>
      </c>
      <c r="J22" s="2">
        <v>2471765.69</v>
      </c>
      <c r="K22">
        <v>3.6947999999999999</v>
      </c>
      <c r="L22" s="2">
        <v>9132679.8714119997</v>
      </c>
      <c r="O22" t="s">
        <v>22</v>
      </c>
      <c r="P22" s="2">
        <f>SUMIF(Tabela_padrão__GM_CONV_NOTAS_ENTRADA[SEQ_PLA_PEDIDO],Tabela_GM_PEDIDOS_2017_FIM[[#This Row],[SEQ_PLA_PEDIDO]],Tabela_padrão__GM_CONV_NOTAS_ENTRADA[VALOR_NF])</f>
        <v>430056</v>
      </c>
      <c r="Q22" s="2">
        <f t="array" ref="Q22">IF(AND(Tabela_GM_PEDIDOS_2017_FIM[[#This Row],[MOEDA]]="US$",Tabela_GM_PEDIDOS_2017_FIM[[#This Row],[PAGO]]="S"),Tabela_GM_PEDIDOS_2017_FIM[[#This Row],[VALOR_PAGO_REAL]]-Tabela_GM_PEDIDOS_2017_FIM[[#This Row],[VALOR_PAGAR]],0)</f>
        <v>0</v>
      </c>
      <c r="R2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2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3" spans="1:19" hidden="1" x14ac:dyDescent="0.25">
      <c r="A23" t="s">
        <v>236</v>
      </c>
      <c r="B23">
        <v>3</v>
      </c>
      <c r="C23" t="s">
        <v>16</v>
      </c>
      <c r="D23" t="s">
        <v>55</v>
      </c>
      <c r="E23" t="s">
        <v>18</v>
      </c>
      <c r="F23" t="s">
        <v>19</v>
      </c>
      <c r="G23" t="s">
        <v>20</v>
      </c>
      <c r="H23" t="s">
        <v>237</v>
      </c>
      <c r="I23" s="1">
        <v>42457</v>
      </c>
      <c r="J23" s="2">
        <v>253909.62</v>
      </c>
      <c r="K23">
        <v>3.6947999999999999</v>
      </c>
      <c r="L23" s="2">
        <v>938145.26397600002</v>
      </c>
      <c r="O23" t="s">
        <v>22</v>
      </c>
      <c r="P23" s="2">
        <f>SUMIF(Tabela_padrão__GM_CONV_NOTAS_ENTRADA[SEQ_PLA_PEDIDO],Tabela_GM_PEDIDOS_2017_FIM[[#This Row],[SEQ_PLA_PEDIDO]],Tabela_padrão__GM_CONV_NOTAS_ENTRADA[VALOR_NF])</f>
        <v>805111.39</v>
      </c>
      <c r="Q23" s="2">
        <f t="array" ref="Q23">IF(AND(Tabela_GM_PEDIDOS_2017_FIM[[#This Row],[MOEDA]]="US$",Tabela_GM_PEDIDOS_2017_FIM[[#This Row],[PAGO]]="S"),Tabela_GM_PEDIDOS_2017_FIM[[#This Row],[VALOR_PAGO_REAL]]-Tabela_GM_PEDIDOS_2017_FIM[[#This Row],[VALOR_PAGAR]],0)</f>
        <v>0</v>
      </c>
      <c r="R2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2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4" spans="1:19" x14ac:dyDescent="0.25">
      <c r="A24" t="s">
        <v>268</v>
      </c>
      <c r="B24">
        <v>4</v>
      </c>
      <c r="C24" t="s">
        <v>16</v>
      </c>
      <c r="D24" t="s">
        <v>36</v>
      </c>
      <c r="E24" t="s">
        <v>18</v>
      </c>
      <c r="F24" t="s">
        <v>19</v>
      </c>
      <c r="G24" t="s">
        <v>20</v>
      </c>
      <c r="H24" t="s">
        <v>269</v>
      </c>
      <c r="I24" s="1">
        <v>42457</v>
      </c>
      <c r="J24" s="2">
        <v>423136.87</v>
      </c>
      <c r="K24">
        <v>3.6947999999999999</v>
      </c>
      <c r="L24" s="2">
        <v>1563406.1072760001</v>
      </c>
      <c r="O24" t="s">
        <v>22</v>
      </c>
      <c r="P24" s="2">
        <f>SUMIF(Tabela_padrão__GM_CONV_NOTAS_ENTRADA[SEQ_PLA_PEDIDO],Tabela_GM_PEDIDOS_2017_FIM[[#This Row],[SEQ_PLA_PEDIDO]],Tabela_padrão__GM_CONV_NOTAS_ENTRADA[VALOR_NF])</f>
        <v>0</v>
      </c>
      <c r="Q24" s="2">
        <f t="array" ref="Q24">IF(AND(Tabela_GM_PEDIDOS_2017_FIM[[#This Row],[MOEDA]]="US$",Tabela_GM_PEDIDOS_2017_FIM[[#This Row],[PAGO]]="S"),Tabela_GM_PEDIDOS_2017_FIM[[#This Row],[VALOR_PAGO_REAL]]-Tabela_GM_PEDIDOS_2017_FIM[[#This Row],[VALOR_PAGAR]],0)</f>
        <v>0</v>
      </c>
      <c r="R2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2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5" spans="1:19" hidden="1" x14ac:dyDescent="0.25">
      <c r="A25" t="s">
        <v>98</v>
      </c>
      <c r="B25">
        <v>4</v>
      </c>
      <c r="C25" t="s">
        <v>16</v>
      </c>
      <c r="D25" t="s">
        <v>55</v>
      </c>
      <c r="E25" t="s">
        <v>18</v>
      </c>
      <c r="F25" t="s">
        <v>19</v>
      </c>
      <c r="G25" t="s">
        <v>20</v>
      </c>
      <c r="H25" t="s">
        <v>99</v>
      </c>
      <c r="I25" s="1">
        <v>42475</v>
      </c>
      <c r="J25" s="2">
        <v>57000</v>
      </c>
      <c r="K25">
        <v>3.5125999999999999</v>
      </c>
      <c r="L25" s="2">
        <v>200218.2</v>
      </c>
      <c r="N25" t="s">
        <v>31</v>
      </c>
      <c r="O25" t="s">
        <v>22</v>
      </c>
      <c r="P25" s="2">
        <f>SUMIF(Tabela_padrão__GM_CONV_NOTAS_ENTRADA[SEQ_PLA_PEDIDO],Tabela_GM_PEDIDOS_2017_FIM[[#This Row],[SEQ_PLA_PEDIDO]],Tabela_padrão__GM_CONV_NOTAS_ENTRADA[VALOR_NF])</f>
        <v>192239.98</v>
      </c>
      <c r="Q25" s="2">
        <f t="array" ref="Q25">IF(AND(Tabela_GM_PEDIDOS_2017_FIM[[#This Row],[MOEDA]]="US$",Tabela_GM_PEDIDOS_2017_FIM[[#This Row],[PAGO]]="S"),Tabela_GM_PEDIDOS_2017_FIM[[#This Row],[VALOR_PAGO_REAL]]-Tabela_GM_PEDIDOS_2017_FIM[[#This Row],[VALOR_PAGAR]],0)</f>
        <v>0</v>
      </c>
      <c r="R25" s="2">
        <f>IF(AND(Tabela_GM_PEDIDOS_2017_FIM[[#This Row],[MOEDA]]="US$",Tabela_GM_PEDIDOS_2017_FIM[[#This Row],[FATURADO]]="S"),Tabela_GM_PEDIDOS_2017_FIM[[#This Row],[VL_NOTAS]]-Tabela_GM_PEDIDOS_2017_FIM[[#This Row],[VALOR_PAGO_REAL]],0)</f>
        <v>192239.98</v>
      </c>
      <c r="S2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6" spans="1:19" hidden="1" x14ac:dyDescent="0.25">
      <c r="A26" t="s">
        <v>183</v>
      </c>
      <c r="B26">
        <v>2</v>
      </c>
      <c r="C26" t="s">
        <v>16</v>
      </c>
      <c r="D26" t="s">
        <v>28</v>
      </c>
      <c r="E26" t="s">
        <v>18</v>
      </c>
      <c r="F26" t="s">
        <v>19</v>
      </c>
      <c r="G26" t="s">
        <v>20</v>
      </c>
      <c r="H26" t="s">
        <v>184</v>
      </c>
      <c r="I26" s="1">
        <v>42475</v>
      </c>
      <c r="J26" s="2">
        <v>91200</v>
      </c>
      <c r="K26">
        <v>3.5125999999999999</v>
      </c>
      <c r="L26" s="2">
        <v>320349.12</v>
      </c>
      <c r="O26" t="s">
        <v>22</v>
      </c>
      <c r="P26" s="2">
        <f>SUMIF(Tabela_padrão__GM_CONV_NOTAS_ENTRADA[SEQ_PLA_PEDIDO],Tabela_GM_PEDIDOS_2017_FIM[[#This Row],[SEQ_PLA_PEDIDO]],Tabela_padrão__GM_CONV_NOTAS_ENTRADA[VALOR_NF])</f>
        <v>0</v>
      </c>
      <c r="Q26" s="2">
        <f t="array" ref="Q26">IF(AND(Tabela_GM_PEDIDOS_2017_FIM[[#This Row],[MOEDA]]="US$",Tabela_GM_PEDIDOS_2017_FIM[[#This Row],[PAGO]]="S"),Tabela_GM_PEDIDOS_2017_FIM[[#This Row],[VALOR_PAGO_REAL]]-Tabela_GM_PEDIDOS_2017_FIM[[#This Row],[VALOR_PAGAR]],0)</f>
        <v>0</v>
      </c>
      <c r="R2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2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7" spans="1:19" hidden="1" x14ac:dyDescent="0.25">
      <c r="A27" t="s">
        <v>175</v>
      </c>
      <c r="B27">
        <v>1</v>
      </c>
      <c r="C27" t="s">
        <v>16</v>
      </c>
      <c r="D27" t="s">
        <v>131</v>
      </c>
      <c r="E27" t="s">
        <v>18</v>
      </c>
      <c r="F27" t="s">
        <v>19</v>
      </c>
      <c r="G27" t="s">
        <v>20</v>
      </c>
      <c r="H27" t="s">
        <v>176</v>
      </c>
      <c r="I27" s="1">
        <v>42475</v>
      </c>
      <c r="J27" s="2">
        <v>19000</v>
      </c>
      <c r="K27">
        <v>3.5125999999999999</v>
      </c>
      <c r="L27" s="2">
        <v>66739.399999999994</v>
      </c>
      <c r="N27" t="s">
        <v>31</v>
      </c>
      <c r="O27" t="s">
        <v>22</v>
      </c>
      <c r="P27" s="2">
        <f>SUMIF(Tabela_padrão__GM_CONV_NOTAS_ENTRADA[SEQ_PLA_PEDIDO],Tabela_GM_PEDIDOS_2017_FIM[[#This Row],[SEQ_PLA_PEDIDO]],Tabela_padrão__GM_CONV_NOTAS_ENTRADA[VALOR_NF])</f>
        <v>64050</v>
      </c>
      <c r="Q27" s="2">
        <f t="array" ref="Q27">IF(AND(Tabela_GM_PEDIDOS_2017_FIM[[#This Row],[MOEDA]]="US$",Tabela_GM_PEDIDOS_2017_FIM[[#This Row],[PAGO]]="S"),Tabela_GM_PEDIDOS_2017_FIM[[#This Row],[VALOR_PAGO_REAL]]-Tabela_GM_PEDIDOS_2017_FIM[[#This Row],[VALOR_PAGAR]],0)</f>
        <v>0</v>
      </c>
      <c r="R27" s="2">
        <f>IF(AND(Tabela_GM_PEDIDOS_2017_FIM[[#This Row],[MOEDA]]="US$",Tabela_GM_PEDIDOS_2017_FIM[[#This Row],[FATURADO]]="S"),Tabela_GM_PEDIDOS_2017_FIM[[#This Row],[VL_NOTAS]]-Tabela_GM_PEDIDOS_2017_FIM[[#This Row],[VALOR_PAGO_REAL]],0)</f>
        <v>64050</v>
      </c>
      <c r="S2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8" spans="1:19" hidden="1" x14ac:dyDescent="0.25">
      <c r="A28" t="s">
        <v>74</v>
      </c>
      <c r="B28">
        <v>1</v>
      </c>
      <c r="C28" t="s">
        <v>16</v>
      </c>
      <c r="D28" t="s">
        <v>33</v>
      </c>
      <c r="E28" t="s">
        <v>18</v>
      </c>
      <c r="F28" t="s">
        <v>19</v>
      </c>
      <c r="G28" t="s">
        <v>20</v>
      </c>
      <c r="H28" t="s">
        <v>75</v>
      </c>
      <c r="I28" s="1">
        <v>42475</v>
      </c>
      <c r="J28" s="2">
        <v>36480</v>
      </c>
      <c r="K28">
        <v>3.5125999999999999</v>
      </c>
      <c r="L28" s="2">
        <v>128139.648</v>
      </c>
      <c r="O28" t="s">
        <v>22</v>
      </c>
      <c r="P28" s="2">
        <f>SUMIF(Tabela_padrão__GM_CONV_NOTAS_ENTRADA[SEQ_PLA_PEDIDO],Tabela_GM_PEDIDOS_2017_FIM[[#This Row],[SEQ_PLA_PEDIDO]],Tabela_padrão__GM_CONV_NOTAS_ENTRADA[VALOR_NF])</f>
        <v>0</v>
      </c>
      <c r="Q28" s="2">
        <f t="array" ref="Q28">IF(AND(Tabela_GM_PEDIDOS_2017_FIM[[#This Row],[MOEDA]]="US$",Tabela_GM_PEDIDOS_2017_FIM[[#This Row],[PAGO]]="S"),Tabela_GM_PEDIDOS_2017_FIM[[#This Row],[VALOR_PAGO_REAL]]-Tabela_GM_PEDIDOS_2017_FIM[[#This Row],[VALOR_PAGAR]],0)</f>
        <v>0</v>
      </c>
      <c r="R2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2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29" spans="1:19" hidden="1" x14ac:dyDescent="0.25">
      <c r="A29" t="s">
        <v>258</v>
      </c>
      <c r="B29">
        <v>3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259</v>
      </c>
      <c r="I29" s="1">
        <v>42475</v>
      </c>
      <c r="J29" s="2">
        <v>18240</v>
      </c>
      <c r="K29">
        <v>3.5125999999999999</v>
      </c>
      <c r="L29" s="2">
        <v>64069.824000000001</v>
      </c>
      <c r="N29" t="s">
        <v>31</v>
      </c>
      <c r="O29" t="s">
        <v>22</v>
      </c>
      <c r="P29" s="2">
        <f>SUMIF(Tabela_padrão__GM_CONV_NOTAS_ENTRADA[SEQ_PLA_PEDIDO],Tabela_GM_PEDIDOS_2017_FIM[[#This Row],[SEQ_PLA_PEDIDO]],Tabela_padrão__GM_CONV_NOTAS_ENTRADA[VALOR_NF])</f>
        <v>61488</v>
      </c>
      <c r="Q29" s="2">
        <f t="array" ref="Q29">IF(AND(Tabela_GM_PEDIDOS_2017_FIM[[#This Row],[MOEDA]]="US$",Tabela_GM_PEDIDOS_2017_FIM[[#This Row],[PAGO]]="S"),Tabela_GM_PEDIDOS_2017_FIM[[#This Row],[VALOR_PAGO_REAL]]-Tabela_GM_PEDIDOS_2017_FIM[[#This Row],[VALOR_PAGAR]],0)</f>
        <v>0</v>
      </c>
      <c r="R29" s="2">
        <f>IF(AND(Tabela_GM_PEDIDOS_2017_FIM[[#This Row],[MOEDA]]="US$",Tabela_GM_PEDIDOS_2017_FIM[[#This Row],[FATURADO]]="S"),Tabela_GM_PEDIDOS_2017_FIM[[#This Row],[VL_NOTAS]]-Tabela_GM_PEDIDOS_2017_FIM[[#This Row],[VALOR_PAGO_REAL]],0)</f>
        <v>61488</v>
      </c>
      <c r="S2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0" spans="1:19" hidden="1" x14ac:dyDescent="0.25">
      <c r="A30" t="s">
        <v>214</v>
      </c>
      <c r="B30">
        <v>3</v>
      </c>
      <c r="C30" t="s">
        <v>16</v>
      </c>
      <c r="D30" t="s">
        <v>60</v>
      </c>
      <c r="E30" t="s">
        <v>18</v>
      </c>
      <c r="F30" t="s">
        <v>19</v>
      </c>
      <c r="G30" t="s">
        <v>20</v>
      </c>
      <c r="H30" t="s">
        <v>215</v>
      </c>
      <c r="I30" s="1">
        <v>42475</v>
      </c>
      <c r="J30" s="2">
        <v>18240</v>
      </c>
      <c r="K30">
        <v>3.5125999999999999</v>
      </c>
      <c r="L30" s="2">
        <v>64069.824000000001</v>
      </c>
      <c r="N30" t="s">
        <v>31</v>
      </c>
      <c r="O30" t="s">
        <v>22</v>
      </c>
      <c r="P30" s="2">
        <f>SUMIF(Tabela_padrão__GM_CONV_NOTAS_ENTRADA[SEQ_PLA_PEDIDO],Tabela_GM_PEDIDOS_2017_FIM[[#This Row],[SEQ_PLA_PEDIDO]],Tabela_padrão__GM_CONV_NOTAS_ENTRADA[VALOR_NF])</f>
        <v>61488</v>
      </c>
      <c r="Q30" s="2">
        <f t="array" ref="Q30">IF(AND(Tabela_GM_PEDIDOS_2017_FIM[[#This Row],[MOEDA]]="US$",Tabela_GM_PEDIDOS_2017_FIM[[#This Row],[PAGO]]="S"),Tabela_GM_PEDIDOS_2017_FIM[[#This Row],[VALOR_PAGO_REAL]]-Tabela_GM_PEDIDOS_2017_FIM[[#This Row],[VALOR_PAGAR]],0)</f>
        <v>0</v>
      </c>
      <c r="R30" s="2">
        <f>IF(AND(Tabela_GM_PEDIDOS_2017_FIM[[#This Row],[MOEDA]]="US$",Tabela_GM_PEDIDOS_2017_FIM[[#This Row],[FATURADO]]="S"),Tabela_GM_PEDIDOS_2017_FIM[[#This Row],[VL_NOTAS]]-Tabela_GM_PEDIDOS_2017_FIM[[#This Row],[VALOR_PAGO_REAL]],0)</f>
        <v>61488</v>
      </c>
      <c r="S3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1" spans="1:19" hidden="1" x14ac:dyDescent="0.25">
      <c r="A31" t="s">
        <v>270</v>
      </c>
      <c r="B31">
        <v>3</v>
      </c>
      <c r="C31" t="s">
        <v>16</v>
      </c>
      <c r="D31" t="s">
        <v>28</v>
      </c>
      <c r="E31" t="s">
        <v>18</v>
      </c>
      <c r="F31" t="s">
        <v>19</v>
      </c>
      <c r="G31" t="s">
        <v>37</v>
      </c>
      <c r="H31" t="s">
        <v>271</v>
      </c>
      <c r="I31" s="1">
        <v>42474</v>
      </c>
      <c r="J31" s="2">
        <v>530000</v>
      </c>
      <c r="K31">
        <v>3.5428999999999999</v>
      </c>
      <c r="L31" s="2">
        <v>1877737</v>
      </c>
      <c r="N31" t="s">
        <v>31</v>
      </c>
      <c r="O31" t="s">
        <v>22</v>
      </c>
      <c r="P31" s="2">
        <f>SUMIF(Tabela_padrão__GM_CONV_NOTAS_ENTRADA[SEQ_PLA_PEDIDO],Tabela_GM_PEDIDOS_2017_FIM[[#This Row],[SEQ_PLA_PEDIDO]],Tabela_padrão__GM_CONV_NOTAS_ENTRADA[VALOR_NF])</f>
        <v>1898263.669999999</v>
      </c>
      <c r="Q31" s="2">
        <f t="array" ref="Q31">IF(AND(Tabela_GM_PEDIDOS_2017_FIM[[#This Row],[MOEDA]]="US$",Tabela_GM_PEDIDOS_2017_FIM[[#This Row],[PAGO]]="S"),Tabela_GM_PEDIDOS_2017_FIM[[#This Row],[VALOR_PAGO_REAL]]-Tabela_GM_PEDIDOS_2017_FIM[[#This Row],[VALOR_PAGAR]],0)</f>
        <v>0</v>
      </c>
      <c r="R31" s="2">
        <f>IF(AND(Tabela_GM_PEDIDOS_2017_FIM[[#This Row],[MOEDA]]="US$",Tabela_GM_PEDIDOS_2017_FIM[[#This Row],[FATURADO]]="S"),Tabela_GM_PEDIDOS_2017_FIM[[#This Row],[VL_NOTAS]]-Tabela_GM_PEDIDOS_2017_FIM[[#This Row],[VALOR_PAGO_REAL]],0)</f>
        <v>1898263.669999999</v>
      </c>
      <c r="S3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2" spans="1:19" hidden="1" x14ac:dyDescent="0.25">
      <c r="A32" t="s">
        <v>266</v>
      </c>
      <c r="B32">
        <v>5</v>
      </c>
      <c r="C32" t="s">
        <v>27</v>
      </c>
      <c r="D32" t="s">
        <v>55</v>
      </c>
      <c r="E32" t="s">
        <v>18</v>
      </c>
      <c r="F32" t="s">
        <v>19</v>
      </c>
      <c r="G32" t="s">
        <v>37</v>
      </c>
      <c r="H32" t="s">
        <v>267</v>
      </c>
      <c r="I32" s="1">
        <v>42475</v>
      </c>
      <c r="J32" s="2">
        <v>759772.5</v>
      </c>
      <c r="K32">
        <v>1</v>
      </c>
      <c r="L32" s="2">
        <v>759772.5</v>
      </c>
      <c r="M32" s="2">
        <v>540292.5</v>
      </c>
      <c r="N32" t="s">
        <v>31</v>
      </c>
      <c r="O32" t="s">
        <v>22</v>
      </c>
      <c r="P32" s="2">
        <f>SUMIF(Tabela_padrão__GM_CONV_NOTAS_ENTRADA[SEQ_PLA_PEDIDO],Tabela_GM_PEDIDOS_2017_FIM[[#This Row],[SEQ_PLA_PEDIDO]],Tabela_padrão__GM_CONV_NOTAS_ENTRADA[VALOR_NF])</f>
        <v>0</v>
      </c>
      <c r="Q32" s="2">
        <f t="array" ref="Q32">IF(AND(Tabela_GM_PEDIDOS_2017_FIM[[#This Row],[MOEDA]]="US$",Tabela_GM_PEDIDOS_2017_FIM[[#This Row],[PAGO]]="S"),Tabela_GM_PEDIDOS_2017_FIM[[#This Row],[VALOR_PAGO_REAL]]-Tabela_GM_PEDIDOS_2017_FIM[[#This Row],[VALOR_PAGAR]],0)</f>
        <v>0</v>
      </c>
      <c r="R3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3" spans="1:19" x14ac:dyDescent="0.25">
      <c r="A33" t="s">
        <v>201</v>
      </c>
      <c r="B33">
        <v>5</v>
      </c>
      <c r="C33" t="s">
        <v>27</v>
      </c>
      <c r="D33" t="s">
        <v>36</v>
      </c>
      <c r="E33" t="s">
        <v>18</v>
      </c>
      <c r="F33" t="s">
        <v>19</v>
      </c>
      <c r="G33" t="s">
        <v>37</v>
      </c>
      <c r="H33" t="s">
        <v>202</v>
      </c>
      <c r="I33" s="1">
        <v>42475</v>
      </c>
      <c r="J33" s="2">
        <v>61950</v>
      </c>
      <c r="K33">
        <v>1</v>
      </c>
      <c r="L33" s="2">
        <v>61950</v>
      </c>
      <c r="N33" t="s">
        <v>31</v>
      </c>
      <c r="O33" t="s">
        <v>22</v>
      </c>
      <c r="P33" s="2">
        <f>SUMIF(Tabela_padrão__GM_CONV_NOTAS_ENTRADA[SEQ_PLA_PEDIDO],Tabela_GM_PEDIDOS_2017_FIM[[#This Row],[SEQ_PLA_PEDIDO]],Tabela_padrão__GM_CONV_NOTAS_ENTRADA[VALOR_NF])</f>
        <v>0</v>
      </c>
      <c r="Q33" s="2">
        <f t="array" ref="Q33">IF(AND(Tabela_GM_PEDIDOS_2017_FIM[[#This Row],[MOEDA]]="US$",Tabela_GM_PEDIDOS_2017_FIM[[#This Row],[PAGO]]="S"),Tabela_GM_PEDIDOS_2017_FIM[[#This Row],[VALOR_PAGO_REAL]]-Tabela_GM_PEDIDOS_2017_FIM[[#This Row],[VALOR_PAGAR]],0)</f>
        <v>0</v>
      </c>
      <c r="R3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4" spans="1:19" hidden="1" x14ac:dyDescent="0.25">
      <c r="A34" t="s">
        <v>272</v>
      </c>
      <c r="B34">
        <v>6</v>
      </c>
      <c r="C34" t="s">
        <v>27</v>
      </c>
      <c r="D34" t="s">
        <v>24</v>
      </c>
      <c r="E34" t="s">
        <v>18</v>
      </c>
      <c r="F34" t="s">
        <v>19</v>
      </c>
      <c r="G34" t="s">
        <v>37</v>
      </c>
      <c r="H34" t="s">
        <v>273</v>
      </c>
      <c r="I34" s="1">
        <v>42475</v>
      </c>
      <c r="J34" s="2">
        <v>530469</v>
      </c>
      <c r="K34">
        <v>1</v>
      </c>
      <c r="L34" s="2">
        <v>530469</v>
      </c>
      <c r="N34" t="s">
        <v>31</v>
      </c>
      <c r="O34" t="s">
        <v>22</v>
      </c>
      <c r="P34" s="2">
        <f>SUMIF(Tabela_padrão__GM_CONV_NOTAS_ENTRADA[SEQ_PLA_PEDIDO],Tabela_GM_PEDIDOS_2017_FIM[[#This Row],[SEQ_PLA_PEDIDO]],Tabela_padrão__GM_CONV_NOTAS_ENTRADA[VALOR_NF])</f>
        <v>0</v>
      </c>
      <c r="Q34" s="2">
        <f t="array" ref="Q34">IF(AND(Tabela_GM_PEDIDOS_2017_FIM[[#This Row],[MOEDA]]="US$",Tabela_GM_PEDIDOS_2017_FIM[[#This Row],[PAGO]]="S"),Tabela_GM_PEDIDOS_2017_FIM[[#This Row],[VALOR_PAGO_REAL]]-Tabela_GM_PEDIDOS_2017_FIM[[#This Row],[VALOR_PAGAR]],0)</f>
        <v>0</v>
      </c>
      <c r="R3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5" spans="1:19" x14ac:dyDescent="0.25">
      <c r="A35" t="s">
        <v>78</v>
      </c>
      <c r="B35">
        <v>6</v>
      </c>
      <c r="C35" t="s">
        <v>27</v>
      </c>
      <c r="D35" t="s">
        <v>36</v>
      </c>
      <c r="E35" t="s">
        <v>18</v>
      </c>
      <c r="F35" t="s">
        <v>19</v>
      </c>
      <c r="G35" t="s">
        <v>37</v>
      </c>
      <c r="H35" t="s">
        <v>79</v>
      </c>
      <c r="I35" s="1">
        <v>42480</v>
      </c>
      <c r="J35" s="2">
        <v>382228.5</v>
      </c>
      <c r="K35">
        <v>1</v>
      </c>
      <c r="L35" s="2">
        <v>382228.5</v>
      </c>
      <c r="N35" t="s">
        <v>31</v>
      </c>
      <c r="O35" t="s">
        <v>22</v>
      </c>
      <c r="P35" s="2">
        <f>SUMIF(Tabela_padrão__GM_CONV_NOTAS_ENTRADA[SEQ_PLA_PEDIDO],Tabela_GM_PEDIDOS_2017_FIM[[#This Row],[SEQ_PLA_PEDIDO]],Tabela_padrão__GM_CONV_NOTAS_ENTRADA[VALOR_NF])</f>
        <v>0</v>
      </c>
      <c r="Q35" s="2">
        <f t="array" ref="Q35">IF(AND(Tabela_GM_PEDIDOS_2017_FIM[[#This Row],[MOEDA]]="US$",Tabela_GM_PEDIDOS_2017_FIM[[#This Row],[PAGO]]="S"),Tabela_GM_PEDIDOS_2017_FIM[[#This Row],[VALOR_PAGO_REAL]]-Tabela_GM_PEDIDOS_2017_FIM[[#This Row],[VALOR_PAGAR]],0)</f>
        <v>0</v>
      </c>
      <c r="R3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6" spans="1:19" hidden="1" x14ac:dyDescent="0.25">
      <c r="A36" t="s">
        <v>226</v>
      </c>
      <c r="B36">
        <v>7</v>
      </c>
      <c r="C36" t="s">
        <v>27</v>
      </c>
      <c r="D36" t="s">
        <v>24</v>
      </c>
      <c r="E36" t="s">
        <v>18</v>
      </c>
      <c r="F36" t="s">
        <v>19</v>
      </c>
      <c r="G36" t="s">
        <v>37</v>
      </c>
      <c r="H36" t="s">
        <v>227</v>
      </c>
      <c r="I36" s="1">
        <v>42480</v>
      </c>
      <c r="J36" s="2">
        <v>191114.25</v>
      </c>
      <c r="K36">
        <v>1</v>
      </c>
      <c r="L36" s="2">
        <v>191114.25</v>
      </c>
      <c r="N36" t="s">
        <v>31</v>
      </c>
      <c r="O36" t="s">
        <v>22</v>
      </c>
      <c r="P36" s="2">
        <f>SUMIF(Tabela_padrão__GM_CONV_NOTAS_ENTRADA[SEQ_PLA_PEDIDO],Tabela_GM_PEDIDOS_2017_FIM[[#This Row],[SEQ_PLA_PEDIDO]],Tabela_padrão__GM_CONV_NOTAS_ENTRADA[VALOR_NF])</f>
        <v>0</v>
      </c>
      <c r="Q36" s="2">
        <f t="array" ref="Q36">IF(AND(Tabela_GM_PEDIDOS_2017_FIM[[#This Row],[MOEDA]]="US$",Tabela_GM_PEDIDOS_2017_FIM[[#This Row],[PAGO]]="S"),Tabela_GM_PEDIDOS_2017_FIM[[#This Row],[VALOR_PAGO_REAL]]-Tabela_GM_PEDIDOS_2017_FIM[[#This Row],[VALOR_PAGAR]],0)</f>
        <v>0</v>
      </c>
      <c r="R3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7" spans="1:19" hidden="1" x14ac:dyDescent="0.25">
      <c r="A37" t="s">
        <v>100</v>
      </c>
      <c r="B37">
        <v>4</v>
      </c>
      <c r="C37" t="s">
        <v>16</v>
      </c>
      <c r="D37" t="s">
        <v>60</v>
      </c>
      <c r="E37" t="s">
        <v>18</v>
      </c>
      <c r="F37" t="s">
        <v>19</v>
      </c>
      <c r="G37" t="s">
        <v>20</v>
      </c>
      <c r="H37" t="s">
        <v>101</v>
      </c>
      <c r="I37" s="1">
        <v>42489</v>
      </c>
      <c r="J37" s="2">
        <v>57054.080000000002</v>
      </c>
      <c r="K37">
        <v>3.4992000000000001</v>
      </c>
      <c r="L37" s="2">
        <v>199643.63673599999</v>
      </c>
      <c r="O37" t="s">
        <v>22</v>
      </c>
      <c r="P37" s="2">
        <f>SUMIF(Tabela_padrão__GM_CONV_NOTAS_ENTRADA[SEQ_PLA_PEDIDO],Tabela_GM_PEDIDOS_2017_FIM[[#This Row],[SEQ_PLA_PEDIDO]],Tabela_padrão__GM_CONV_NOTAS_ENTRADA[VALOR_NF])</f>
        <v>134714.91</v>
      </c>
      <c r="Q37" s="2">
        <f t="array" ref="Q37">IF(AND(Tabela_GM_PEDIDOS_2017_FIM[[#This Row],[MOEDA]]="US$",Tabela_GM_PEDIDOS_2017_FIM[[#This Row],[PAGO]]="S"),Tabela_GM_PEDIDOS_2017_FIM[[#This Row],[VALOR_PAGO_REAL]]-Tabela_GM_PEDIDOS_2017_FIM[[#This Row],[VALOR_PAGAR]],0)</f>
        <v>0</v>
      </c>
      <c r="R3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8" spans="1:19" hidden="1" x14ac:dyDescent="0.25">
      <c r="A38" t="s">
        <v>256</v>
      </c>
      <c r="B38">
        <v>4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257</v>
      </c>
      <c r="I38" s="1">
        <v>42489</v>
      </c>
      <c r="J38" s="2">
        <v>57054.080000000002</v>
      </c>
      <c r="K38">
        <v>3.4992000000000001</v>
      </c>
      <c r="L38" s="2">
        <v>199643.63673599999</v>
      </c>
      <c r="O38" t="s">
        <v>22</v>
      </c>
      <c r="P38" s="2">
        <f>SUMIF(Tabela_padrão__GM_CONV_NOTAS_ENTRADA[SEQ_PLA_PEDIDO],Tabela_GM_PEDIDOS_2017_FIM[[#This Row],[SEQ_PLA_PEDIDO]],Tabela_padrão__GM_CONV_NOTAS_ENTRADA[VALOR_NF])</f>
        <v>111008.77</v>
      </c>
      <c r="Q38" s="2">
        <f t="array" ref="Q38">IF(AND(Tabela_GM_PEDIDOS_2017_FIM[[#This Row],[MOEDA]]="US$",Tabela_GM_PEDIDOS_2017_FIM[[#This Row],[PAGO]]="S"),Tabela_GM_PEDIDOS_2017_FIM[[#This Row],[VALOR_PAGO_REAL]]-Tabela_GM_PEDIDOS_2017_FIM[[#This Row],[VALOR_PAGAR]],0)</f>
        <v>0</v>
      </c>
      <c r="R3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39" spans="1:19" hidden="1" x14ac:dyDescent="0.25">
      <c r="A39" t="s">
        <v>195</v>
      </c>
      <c r="B39">
        <v>2</v>
      </c>
      <c r="C39" t="s">
        <v>16</v>
      </c>
      <c r="D39" t="s">
        <v>33</v>
      </c>
      <c r="E39" t="s">
        <v>18</v>
      </c>
      <c r="F39" t="s">
        <v>19</v>
      </c>
      <c r="G39" t="s">
        <v>20</v>
      </c>
      <c r="H39" t="s">
        <v>196</v>
      </c>
      <c r="I39" s="1">
        <v>42489</v>
      </c>
      <c r="J39" s="2">
        <v>145025.81</v>
      </c>
      <c r="K39">
        <v>3.4992000000000001</v>
      </c>
      <c r="L39" s="2">
        <v>507474.31435200002</v>
      </c>
      <c r="O39" t="s">
        <v>22</v>
      </c>
      <c r="P39" s="2">
        <f>SUMIF(Tabela_padrão__GM_CONV_NOTAS_ENTRADA[SEQ_PLA_PEDIDO],Tabela_GM_PEDIDOS_2017_FIM[[#This Row],[SEQ_PLA_PEDIDO]],Tabela_padrão__GM_CONV_NOTAS_ENTRADA[VALOR_NF])</f>
        <v>0</v>
      </c>
      <c r="Q39" s="2">
        <f t="array" ref="Q39">IF(AND(Tabela_GM_PEDIDOS_2017_FIM[[#This Row],[MOEDA]]="US$",Tabela_GM_PEDIDOS_2017_FIM[[#This Row],[PAGO]]="S"),Tabela_GM_PEDIDOS_2017_FIM[[#This Row],[VALOR_PAGO_REAL]]-Tabela_GM_PEDIDOS_2017_FIM[[#This Row],[VALOR_PAGAR]],0)</f>
        <v>0</v>
      </c>
      <c r="R3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3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0" spans="1:19" hidden="1" x14ac:dyDescent="0.25">
      <c r="A40" t="s">
        <v>238</v>
      </c>
      <c r="B40">
        <v>2</v>
      </c>
      <c r="C40" t="s">
        <v>16</v>
      </c>
      <c r="D40" t="s">
        <v>131</v>
      </c>
      <c r="E40" t="s">
        <v>18</v>
      </c>
      <c r="F40" t="s">
        <v>19</v>
      </c>
      <c r="G40" t="s">
        <v>20</v>
      </c>
      <c r="H40" t="s">
        <v>239</v>
      </c>
      <c r="I40" s="1">
        <v>42489</v>
      </c>
      <c r="J40" s="2">
        <v>46788.36</v>
      </c>
      <c r="K40">
        <v>3.4992000000000001</v>
      </c>
      <c r="L40" s="2">
        <v>163721.82931199999</v>
      </c>
      <c r="O40" t="s">
        <v>22</v>
      </c>
      <c r="P40" s="2">
        <f>SUMIF(Tabela_padrão__GM_CONV_NOTAS_ENTRADA[SEQ_PLA_PEDIDO],Tabela_GM_PEDIDOS_2017_FIM[[#This Row],[SEQ_PLA_PEDIDO]],Tabela_padrão__GM_CONV_NOTAS_ENTRADA[VALOR_NF])</f>
        <v>139986.57</v>
      </c>
      <c r="Q40" s="2">
        <f t="array" ref="Q40">IF(AND(Tabela_GM_PEDIDOS_2017_FIM[[#This Row],[MOEDA]]="US$",Tabela_GM_PEDIDOS_2017_FIM[[#This Row],[PAGO]]="S"),Tabela_GM_PEDIDOS_2017_FIM[[#This Row],[VALOR_PAGO_REAL]]-Tabela_GM_PEDIDOS_2017_FIM[[#This Row],[VALOR_PAGAR]],0)</f>
        <v>0</v>
      </c>
      <c r="R4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1" spans="1:19" hidden="1" x14ac:dyDescent="0.25">
      <c r="A41" t="s">
        <v>141</v>
      </c>
      <c r="B41">
        <v>4</v>
      </c>
      <c r="C41" t="s">
        <v>16</v>
      </c>
      <c r="D41" t="s">
        <v>28</v>
      </c>
      <c r="E41" t="s">
        <v>18</v>
      </c>
      <c r="F41" t="s">
        <v>19</v>
      </c>
      <c r="G41" t="s">
        <v>20</v>
      </c>
      <c r="H41" t="s">
        <v>142</v>
      </c>
      <c r="I41" s="1">
        <v>42489</v>
      </c>
      <c r="J41" s="2">
        <v>189615.27</v>
      </c>
      <c r="K41">
        <v>3.4992000000000001</v>
      </c>
      <c r="L41" s="2">
        <v>663501.75278400001</v>
      </c>
      <c r="O41" t="s">
        <v>22</v>
      </c>
      <c r="P41" s="2">
        <f>SUMIF(Tabela_padrão__GM_CONV_NOTAS_ENTRADA[SEQ_PLA_PEDIDO],Tabela_GM_PEDIDOS_2017_FIM[[#This Row],[SEQ_PLA_PEDIDO]],Tabela_padrão__GM_CONV_NOTAS_ENTRADA[VALOR_NF])</f>
        <v>0</v>
      </c>
      <c r="Q41" s="2">
        <f t="array" ref="Q41">IF(AND(Tabela_GM_PEDIDOS_2017_FIM[[#This Row],[MOEDA]]="US$",Tabela_GM_PEDIDOS_2017_FIM[[#This Row],[PAGO]]="S"),Tabela_GM_PEDIDOS_2017_FIM[[#This Row],[VALOR_PAGO_REAL]]-Tabela_GM_PEDIDOS_2017_FIM[[#This Row],[VALOR_PAGAR]],0)</f>
        <v>0</v>
      </c>
      <c r="R4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2" spans="1:19" hidden="1" x14ac:dyDescent="0.25">
      <c r="A42" t="s">
        <v>86</v>
      </c>
      <c r="B42">
        <v>3</v>
      </c>
      <c r="C42" t="s">
        <v>16</v>
      </c>
      <c r="D42" t="s">
        <v>33</v>
      </c>
      <c r="E42" t="s">
        <v>18</v>
      </c>
      <c r="F42" t="s">
        <v>19</v>
      </c>
      <c r="G42" t="s">
        <v>20</v>
      </c>
      <c r="H42" t="s">
        <v>87</v>
      </c>
      <c r="I42" s="1">
        <v>42576</v>
      </c>
      <c r="J42" s="2">
        <v>30537.84</v>
      </c>
      <c r="K42">
        <v>3.2854000000000001</v>
      </c>
      <c r="L42" s="2">
        <v>100329.01953600001</v>
      </c>
      <c r="O42" t="s">
        <v>22</v>
      </c>
      <c r="P42" s="2">
        <f>SUMIF(Tabela_padrão__GM_CONV_NOTAS_ENTRADA[SEQ_PLA_PEDIDO],Tabela_GM_PEDIDOS_2017_FIM[[#This Row],[SEQ_PLA_PEDIDO]],Tabela_padrão__GM_CONV_NOTAS_ENTRADA[VALOR_NF])</f>
        <v>0</v>
      </c>
      <c r="Q42" s="2">
        <f t="array" ref="Q42">IF(AND(Tabela_GM_PEDIDOS_2017_FIM[[#This Row],[MOEDA]]="US$",Tabela_GM_PEDIDOS_2017_FIM[[#This Row],[PAGO]]="S"),Tabela_GM_PEDIDOS_2017_FIM[[#This Row],[VALOR_PAGO_REAL]]-Tabela_GM_PEDIDOS_2017_FIM[[#This Row],[VALOR_PAGAR]],0)</f>
        <v>0</v>
      </c>
      <c r="R4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3" spans="1:19" hidden="1" x14ac:dyDescent="0.25">
      <c r="A43" t="s">
        <v>199</v>
      </c>
      <c r="B43">
        <v>6</v>
      </c>
      <c r="C43" t="s">
        <v>16</v>
      </c>
      <c r="D43" t="s">
        <v>55</v>
      </c>
      <c r="E43" t="s">
        <v>18</v>
      </c>
      <c r="F43" t="s">
        <v>19</v>
      </c>
      <c r="G43" t="s">
        <v>20</v>
      </c>
      <c r="H43" t="s">
        <v>200</v>
      </c>
      <c r="I43" s="1">
        <v>42576</v>
      </c>
      <c r="J43" s="2">
        <v>5461.69</v>
      </c>
      <c r="K43">
        <v>3.2854000000000001</v>
      </c>
      <c r="L43" s="2">
        <v>17943.836326000001</v>
      </c>
      <c r="O43" t="s">
        <v>22</v>
      </c>
      <c r="P43" s="2">
        <f>SUMIF(Tabela_padrão__GM_CONV_NOTAS_ENTRADA[SEQ_PLA_PEDIDO],Tabela_GM_PEDIDOS_2017_FIM[[#This Row],[SEQ_PLA_PEDIDO]],Tabela_padrão__GM_CONV_NOTAS_ENTRADA[VALOR_NF])</f>
        <v>0</v>
      </c>
      <c r="Q43" s="2">
        <f t="array" ref="Q43">IF(AND(Tabela_GM_PEDIDOS_2017_FIM[[#This Row],[MOEDA]]="US$",Tabela_GM_PEDIDOS_2017_FIM[[#This Row],[PAGO]]="S"),Tabela_GM_PEDIDOS_2017_FIM[[#This Row],[VALOR_PAGO_REAL]]-Tabela_GM_PEDIDOS_2017_FIM[[#This Row],[VALOR_PAGAR]],0)</f>
        <v>0</v>
      </c>
      <c r="R4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4" spans="1:19" hidden="1" x14ac:dyDescent="0.25">
      <c r="A44" t="s">
        <v>264</v>
      </c>
      <c r="B44">
        <v>8</v>
      </c>
      <c r="C44" t="s">
        <v>16</v>
      </c>
      <c r="D44" t="s">
        <v>24</v>
      </c>
      <c r="E44" t="s">
        <v>18</v>
      </c>
      <c r="F44" t="s">
        <v>19</v>
      </c>
      <c r="G44" t="s">
        <v>20</v>
      </c>
      <c r="H44" t="s">
        <v>265</v>
      </c>
      <c r="I44" s="1">
        <v>42576</v>
      </c>
      <c r="J44" s="2">
        <v>1982052.87</v>
      </c>
      <c r="K44">
        <v>3.2854000000000001</v>
      </c>
      <c r="L44" s="2">
        <v>6511836.4990980001</v>
      </c>
      <c r="O44" t="s">
        <v>22</v>
      </c>
      <c r="P44" s="2">
        <f>SUMIF(Tabela_padrão__GM_CONV_NOTAS_ENTRADA[SEQ_PLA_PEDIDO],Tabela_GM_PEDIDOS_2017_FIM[[#This Row],[SEQ_PLA_PEDIDO]],Tabela_padrão__GM_CONV_NOTAS_ENTRADA[VALOR_NF])</f>
        <v>122360.98000000001</v>
      </c>
      <c r="Q44" s="2">
        <f t="array" ref="Q44">IF(AND(Tabela_GM_PEDIDOS_2017_FIM[[#This Row],[MOEDA]]="US$",Tabela_GM_PEDIDOS_2017_FIM[[#This Row],[PAGO]]="S"),Tabela_GM_PEDIDOS_2017_FIM[[#This Row],[VALOR_PAGO_REAL]]-Tabela_GM_PEDIDOS_2017_FIM[[#This Row],[VALOR_PAGAR]],0)</f>
        <v>0</v>
      </c>
      <c r="R4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5" spans="1:19" x14ac:dyDescent="0.25">
      <c r="A45" t="s">
        <v>191</v>
      </c>
      <c r="B45">
        <v>7</v>
      </c>
      <c r="C45" t="s">
        <v>16</v>
      </c>
      <c r="D45" t="s">
        <v>36</v>
      </c>
      <c r="E45" t="s">
        <v>18</v>
      </c>
      <c r="F45" t="s">
        <v>19</v>
      </c>
      <c r="G45" t="s">
        <v>20</v>
      </c>
      <c r="H45" t="s">
        <v>192</v>
      </c>
      <c r="I45" s="1">
        <v>42576</v>
      </c>
      <c r="J45" s="2">
        <v>47364.76</v>
      </c>
      <c r="K45">
        <v>3.2854000000000001</v>
      </c>
      <c r="L45" s="2">
        <v>155612.182504</v>
      </c>
      <c r="O45" t="s">
        <v>22</v>
      </c>
      <c r="P45" s="2">
        <f>SUMIF(Tabela_padrão__GM_CONV_NOTAS_ENTRADA[SEQ_PLA_PEDIDO],Tabela_GM_PEDIDOS_2017_FIM[[#This Row],[SEQ_PLA_PEDIDO]],Tabela_padrão__GM_CONV_NOTAS_ENTRADA[VALOR_NF])</f>
        <v>0</v>
      </c>
      <c r="Q45" s="2">
        <f t="array" ref="Q45">IF(AND(Tabela_GM_PEDIDOS_2017_FIM[[#This Row],[MOEDA]]="US$",Tabela_GM_PEDIDOS_2017_FIM[[#This Row],[PAGO]]="S"),Tabela_GM_PEDIDOS_2017_FIM[[#This Row],[VALOR_PAGO_REAL]]-Tabela_GM_PEDIDOS_2017_FIM[[#This Row],[VALOR_PAGAR]],0)</f>
        <v>0</v>
      </c>
      <c r="R4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6" spans="1:19" hidden="1" x14ac:dyDescent="0.25">
      <c r="A46" t="s">
        <v>189</v>
      </c>
      <c r="B46">
        <v>5</v>
      </c>
      <c r="C46" t="s">
        <v>16</v>
      </c>
      <c r="D46" t="s">
        <v>28</v>
      </c>
      <c r="E46" t="s">
        <v>18</v>
      </c>
      <c r="F46" t="s">
        <v>19</v>
      </c>
      <c r="G46" t="s">
        <v>20</v>
      </c>
      <c r="H46" t="s">
        <v>190</v>
      </c>
      <c r="I46" s="1">
        <v>42576</v>
      </c>
      <c r="J46" s="2">
        <v>55934.48</v>
      </c>
      <c r="K46">
        <v>3.2854000000000001</v>
      </c>
      <c r="L46" s="2">
        <v>183767.14059200001</v>
      </c>
      <c r="O46" t="s">
        <v>22</v>
      </c>
      <c r="P46" s="2">
        <f>SUMIF(Tabela_padrão__GM_CONV_NOTAS_ENTRADA[SEQ_PLA_PEDIDO],Tabela_GM_PEDIDOS_2017_FIM[[#This Row],[SEQ_PLA_PEDIDO]],Tabela_padrão__GM_CONV_NOTAS_ENTRADA[VALOR_NF])</f>
        <v>0</v>
      </c>
      <c r="Q46" s="2">
        <f t="array" ref="Q46">IF(AND(Tabela_GM_PEDIDOS_2017_FIM[[#This Row],[MOEDA]]="US$",Tabela_GM_PEDIDOS_2017_FIM[[#This Row],[PAGO]]="S"),Tabela_GM_PEDIDOS_2017_FIM[[#This Row],[VALOR_PAGO_REAL]]-Tabela_GM_PEDIDOS_2017_FIM[[#This Row],[VALOR_PAGAR]],0)</f>
        <v>0</v>
      </c>
      <c r="R4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7" spans="1:19" hidden="1" x14ac:dyDescent="0.25">
      <c r="A47" t="s">
        <v>151</v>
      </c>
      <c r="B47">
        <v>9</v>
      </c>
      <c r="C47" t="s">
        <v>16</v>
      </c>
      <c r="D47" t="s">
        <v>24</v>
      </c>
      <c r="E47" t="s">
        <v>18</v>
      </c>
      <c r="F47" t="s">
        <v>19</v>
      </c>
      <c r="G47" t="s">
        <v>37</v>
      </c>
      <c r="H47" t="s">
        <v>152</v>
      </c>
      <c r="I47" s="1">
        <v>42493</v>
      </c>
      <c r="J47" s="2">
        <v>21060</v>
      </c>
      <c r="K47">
        <v>3.4990999999999999</v>
      </c>
      <c r="L47" s="2">
        <v>73691.046000000002</v>
      </c>
      <c r="O47" t="s">
        <v>22</v>
      </c>
      <c r="P47" s="2">
        <f>SUMIF(Tabela_padrão__GM_CONV_NOTAS_ENTRADA[SEQ_PLA_PEDIDO],Tabela_GM_PEDIDOS_2017_FIM[[#This Row],[SEQ_PLA_PEDIDO]],Tabela_padrão__GM_CONV_NOTAS_ENTRADA[VALOR_NF])</f>
        <v>72887.5</v>
      </c>
      <c r="Q47" s="2">
        <f t="array" ref="Q47">IF(AND(Tabela_GM_PEDIDOS_2017_FIM[[#This Row],[MOEDA]]="US$",Tabela_GM_PEDIDOS_2017_FIM[[#This Row],[PAGO]]="S"),Tabela_GM_PEDIDOS_2017_FIM[[#This Row],[VALOR_PAGO_REAL]]-Tabela_GM_PEDIDOS_2017_FIM[[#This Row],[VALOR_PAGAR]],0)</f>
        <v>0</v>
      </c>
      <c r="R4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8" spans="1:19" hidden="1" x14ac:dyDescent="0.25">
      <c r="A48" t="s">
        <v>41</v>
      </c>
      <c r="B48">
        <v>10</v>
      </c>
      <c r="C48" t="s">
        <v>27</v>
      </c>
      <c r="D48" t="s">
        <v>24</v>
      </c>
      <c r="E48" t="s">
        <v>18</v>
      </c>
      <c r="F48" t="s">
        <v>19</v>
      </c>
      <c r="G48" t="s">
        <v>42</v>
      </c>
      <c r="H48" t="s">
        <v>43</v>
      </c>
      <c r="I48" s="1">
        <v>42517</v>
      </c>
      <c r="J48" s="2">
        <v>144000</v>
      </c>
      <c r="K48">
        <v>1</v>
      </c>
      <c r="L48" s="2">
        <v>144000</v>
      </c>
      <c r="M48" s="2">
        <v>144000</v>
      </c>
      <c r="O48" t="s">
        <v>31</v>
      </c>
      <c r="P48" s="2">
        <f>SUMIF(Tabela_padrão__GM_CONV_NOTAS_ENTRADA[SEQ_PLA_PEDIDO],Tabela_GM_PEDIDOS_2017_FIM[[#This Row],[SEQ_PLA_PEDIDO]],Tabela_padrão__GM_CONV_NOTAS_ENTRADA[VALOR_NF])</f>
        <v>0</v>
      </c>
      <c r="Q48" s="2">
        <f t="array" ref="Q48">IF(AND(Tabela_GM_PEDIDOS_2017_FIM[[#This Row],[MOEDA]]="US$",Tabela_GM_PEDIDOS_2017_FIM[[#This Row],[PAGO]]="S"),Tabela_GM_PEDIDOS_2017_FIM[[#This Row],[VALOR_PAGO_REAL]]-Tabela_GM_PEDIDOS_2017_FIM[[#This Row],[VALOR_PAGAR]],0)</f>
        <v>0</v>
      </c>
      <c r="R4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8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49" spans="1:19" hidden="1" x14ac:dyDescent="0.25">
      <c r="A49" t="s">
        <v>26</v>
      </c>
      <c r="B49">
        <v>6</v>
      </c>
      <c r="C49" t="s">
        <v>27</v>
      </c>
      <c r="D49" t="s">
        <v>28</v>
      </c>
      <c r="E49" t="s">
        <v>18</v>
      </c>
      <c r="F49" t="s">
        <v>19</v>
      </c>
      <c r="G49" t="s">
        <v>29</v>
      </c>
      <c r="H49" t="s">
        <v>30</v>
      </c>
      <c r="I49" s="1">
        <v>42535</v>
      </c>
      <c r="J49" s="2">
        <v>52000</v>
      </c>
      <c r="K49">
        <v>1</v>
      </c>
      <c r="L49" s="2">
        <v>52000</v>
      </c>
      <c r="M49" s="2">
        <v>52000</v>
      </c>
      <c r="N49" t="s">
        <v>31</v>
      </c>
      <c r="O49" t="s">
        <v>31</v>
      </c>
      <c r="P49" s="2">
        <f>SUMIF(Tabela_padrão__GM_CONV_NOTAS_ENTRADA[SEQ_PLA_PEDIDO],Tabela_GM_PEDIDOS_2017_FIM[[#This Row],[SEQ_PLA_PEDIDO]],Tabela_padrão__GM_CONV_NOTAS_ENTRADA[VALOR_NF])</f>
        <v>0</v>
      </c>
      <c r="Q49" s="2">
        <f t="array" ref="Q49">IF(AND(Tabela_GM_PEDIDOS_2017_FIM[[#This Row],[MOEDA]]="US$",Tabela_GM_PEDIDOS_2017_FIM[[#This Row],[PAGO]]="S"),Tabela_GM_PEDIDOS_2017_FIM[[#This Row],[VALOR_PAGO_REAL]]-Tabela_GM_PEDIDOS_2017_FIM[[#This Row],[VALOR_PAGAR]],0)</f>
        <v>0</v>
      </c>
      <c r="R4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49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0" spans="1:19" hidden="1" x14ac:dyDescent="0.25">
      <c r="A50" t="s">
        <v>108</v>
      </c>
      <c r="B50">
        <v>7</v>
      </c>
      <c r="C50" t="s">
        <v>27</v>
      </c>
      <c r="D50" t="s">
        <v>28</v>
      </c>
      <c r="E50" t="s">
        <v>18</v>
      </c>
      <c r="F50" t="s">
        <v>19</v>
      </c>
      <c r="G50" t="s">
        <v>29</v>
      </c>
      <c r="H50" t="s">
        <v>109</v>
      </c>
      <c r="I50" s="1">
        <v>42536</v>
      </c>
      <c r="J50" s="2">
        <v>640000</v>
      </c>
      <c r="K50">
        <v>1</v>
      </c>
      <c r="L50" s="2">
        <v>640000</v>
      </c>
      <c r="M50" s="2">
        <v>640000</v>
      </c>
      <c r="O50" t="s">
        <v>31</v>
      </c>
      <c r="P50" s="2">
        <f>SUMIF(Tabela_padrão__GM_CONV_NOTAS_ENTRADA[SEQ_PLA_PEDIDO],Tabela_GM_PEDIDOS_2017_FIM[[#This Row],[SEQ_PLA_PEDIDO]],Tabela_padrão__GM_CONV_NOTAS_ENTRADA[VALOR_NF])</f>
        <v>0</v>
      </c>
      <c r="Q50" s="2">
        <f t="array" ref="Q50">IF(AND(Tabela_GM_PEDIDOS_2017_FIM[[#This Row],[MOEDA]]="US$",Tabela_GM_PEDIDOS_2017_FIM[[#This Row],[PAGO]]="S"),Tabela_GM_PEDIDOS_2017_FIM[[#This Row],[VALOR_PAGO_REAL]]-Tabela_GM_PEDIDOS_2017_FIM[[#This Row],[VALOR_PAGAR]],0)</f>
        <v>0</v>
      </c>
      <c r="R5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0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1" spans="1:19" hidden="1" x14ac:dyDescent="0.25">
      <c r="A51" t="s">
        <v>108</v>
      </c>
      <c r="B51">
        <v>7</v>
      </c>
      <c r="C51" t="s">
        <v>27</v>
      </c>
      <c r="D51" t="s">
        <v>28</v>
      </c>
      <c r="E51" t="s">
        <v>18</v>
      </c>
      <c r="F51" t="s">
        <v>19</v>
      </c>
      <c r="G51" t="s">
        <v>29</v>
      </c>
      <c r="H51" t="s">
        <v>109</v>
      </c>
      <c r="I51" s="1">
        <v>42536</v>
      </c>
      <c r="J51" s="2">
        <v>320000</v>
      </c>
      <c r="K51">
        <v>1</v>
      </c>
      <c r="L51" s="2">
        <v>320000</v>
      </c>
      <c r="M51" s="2">
        <v>320000</v>
      </c>
      <c r="O51" t="s">
        <v>31</v>
      </c>
      <c r="P51" s="2">
        <f>SUMIF(Tabela_padrão__GM_CONV_NOTAS_ENTRADA[SEQ_PLA_PEDIDO],Tabela_GM_PEDIDOS_2017_FIM[[#This Row],[SEQ_PLA_PEDIDO]],Tabela_padrão__GM_CONV_NOTAS_ENTRADA[VALOR_NF])</f>
        <v>0</v>
      </c>
      <c r="Q51" s="2">
        <f t="array" ref="Q51">IF(AND(Tabela_GM_PEDIDOS_2017_FIM[[#This Row],[MOEDA]]="US$",Tabela_GM_PEDIDOS_2017_FIM[[#This Row],[PAGO]]="S"),Tabela_GM_PEDIDOS_2017_FIM[[#This Row],[VALOR_PAGO_REAL]]-Tabela_GM_PEDIDOS_2017_FIM[[#This Row],[VALOR_PAGAR]],0)</f>
        <v>0</v>
      </c>
      <c r="R5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1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2" spans="1:19" hidden="1" x14ac:dyDescent="0.25">
      <c r="A52" t="s">
        <v>203</v>
      </c>
      <c r="B52">
        <v>4</v>
      </c>
      <c r="C52" t="s">
        <v>27</v>
      </c>
      <c r="D52" t="s">
        <v>33</v>
      </c>
      <c r="E52" t="s">
        <v>18</v>
      </c>
      <c r="F52" t="s">
        <v>19</v>
      </c>
      <c r="G52" t="s">
        <v>29</v>
      </c>
      <c r="H52" t="s">
        <v>204</v>
      </c>
      <c r="I52" s="1">
        <v>42536</v>
      </c>
      <c r="J52" s="2">
        <v>28000</v>
      </c>
      <c r="K52">
        <v>1</v>
      </c>
      <c r="L52" s="2">
        <v>28000</v>
      </c>
      <c r="M52" s="2">
        <v>28000</v>
      </c>
      <c r="O52" t="s">
        <v>31</v>
      </c>
      <c r="P52" s="2">
        <f>SUMIF(Tabela_padrão__GM_CONV_NOTAS_ENTRADA[SEQ_PLA_PEDIDO],Tabela_GM_PEDIDOS_2017_FIM[[#This Row],[SEQ_PLA_PEDIDO]],Tabela_padrão__GM_CONV_NOTAS_ENTRADA[VALOR_NF])</f>
        <v>0</v>
      </c>
      <c r="Q52" s="2">
        <f t="array" ref="Q52">IF(AND(Tabela_GM_PEDIDOS_2017_FIM[[#This Row],[MOEDA]]="US$",Tabela_GM_PEDIDOS_2017_FIM[[#This Row],[PAGO]]="S"),Tabela_GM_PEDIDOS_2017_FIM[[#This Row],[VALOR_PAGO_REAL]]-Tabela_GM_PEDIDOS_2017_FIM[[#This Row],[VALOR_PAGAR]],0)</f>
        <v>0</v>
      </c>
      <c r="R5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2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3" spans="1:19" x14ac:dyDescent="0.25">
      <c r="A53" t="s">
        <v>35</v>
      </c>
      <c r="B53">
        <v>8</v>
      </c>
      <c r="C53" t="s">
        <v>16</v>
      </c>
      <c r="D53" t="s">
        <v>36</v>
      </c>
      <c r="E53" t="s">
        <v>18</v>
      </c>
      <c r="F53" t="s">
        <v>19</v>
      </c>
      <c r="G53" t="s">
        <v>37</v>
      </c>
      <c r="H53" t="s">
        <v>38</v>
      </c>
      <c r="I53" s="1">
        <v>42537</v>
      </c>
      <c r="J53" s="2">
        <v>303622</v>
      </c>
      <c r="K53">
        <v>3.4767999999999999</v>
      </c>
      <c r="L53" s="2">
        <v>1055632.9696</v>
      </c>
      <c r="O53" t="s">
        <v>22</v>
      </c>
      <c r="P53" s="2">
        <f>SUMIF(Tabela_padrão__GM_CONV_NOTAS_ENTRADA[SEQ_PLA_PEDIDO],Tabela_GM_PEDIDOS_2017_FIM[[#This Row],[SEQ_PLA_PEDIDO]],Tabela_padrão__GM_CONV_NOTAS_ENTRADA[VALOR_NF])</f>
        <v>632596.2799999998</v>
      </c>
      <c r="Q53" s="2">
        <f t="array" ref="Q53">IF(AND(Tabela_GM_PEDIDOS_2017_FIM[[#This Row],[MOEDA]]="US$",Tabela_GM_PEDIDOS_2017_FIM[[#This Row],[PAGO]]="S"),Tabela_GM_PEDIDOS_2017_FIM[[#This Row],[VALOR_PAGO_REAL]]-Tabela_GM_PEDIDOS_2017_FIM[[#This Row],[VALOR_PAGAR]],0)</f>
        <v>0</v>
      </c>
      <c r="R5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4" spans="1:19" hidden="1" x14ac:dyDescent="0.25">
      <c r="A54" t="s">
        <v>90</v>
      </c>
      <c r="B54">
        <v>11</v>
      </c>
      <c r="C54" t="s">
        <v>16</v>
      </c>
      <c r="D54" t="s">
        <v>24</v>
      </c>
      <c r="E54" t="s">
        <v>18</v>
      </c>
      <c r="F54" t="s">
        <v>19</v>
      </c>
      <c r="G54" t="s">
        <v>37</v>
      </c>
      <c r="H54" t="s">
        <v>91</v>
      </c>
      <c r="I54" s="1">
        <v>42537</v>
      </c>
      <c r="J54" s="2">
        <v>2202378</v>
      </c>
      <c r="K54">
        <v>3.4767999999999999</v>
      </c>
      <c r="L54" s="2">
        <v>7657227.8304000003</v>
      </c>
      <c r="O54" t="s">
        <v>22</v>
      </c>
      <c r="P54" s="2">
        <f>SUMIF(Tabela_padrão__GM_CONV_NOTAS_ENTRADA[SEQ_PLA_PEDIDO],Tabela_GM_PEDIDOS_2017_FIM[[#This Row],[SEQ_PLA_PEDIDO]],Tabela_padrão__GM_CONV_NOTAS_ENTRADA[VALOR_NF])</f>
        <v>3672094.2700000014</v>
      </c>
      <c r="Q54" s="2">
        <f t="array" ref="Q54">IF(AND(Tabela_GM_PEDIDOS_2017_FIM[[#This Row],[MOEDA]]="US$",Tabela_GM_PEDIDOS_2017_FIM[[#This Row],[PAGO]]="S"),Tabela_GM_PEDIDOS_2017_FIM[[#This Row],[VALOR_PAGO_REAL]]-Tabela_GM_PEDIDOS_2017_FIM[[#This Row],[VALOR_PAGAR]],0)</f>
        <v>0</v>
      </c>
      <c r="R5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5" spans="1:19" x14ac:dyDescent="0.25">
      <c r="A55" t="s">
        <v>254</v>
      </c>
      <c r="B55">
        <v>9</v>
      </c>
      <c r="C55" t="s">
        <v>16</v>
      </c>
      <c r="D55" t="s">
        <v>36</v>
      </c>
      <c r="E55" t="s">
        <v>18</v>
      </c>
      <c r="F55" t="s">
        <v>19</v>
      </c>
      <c r="G55" t="s">
        <v>37</v>
      </c>
      <c r="H55" t="s">
        <v>255</v>
      </c>
      <c r="I55" s="1">
        <v>42535</v>
      </c>
      <c r="J55" s="2">
        <v>300000</v>
      </c>
      <c r="K55">
        <v>3.4533</v>
      </c>
      <c r="L55" s="2">
        <v>1035990</v>
      </c>
      <c r="O55" t="s">
        <v>22</v>
      </c>
      <c r="P55" s="2">
        <f>SUMIF(Tabela_padrão__GM_CONV_NOTAS_ENTRADA[SEQ_PLA_PEDIDO],Tabela_GM_PEDIDOS_2017_FIM[[#This Row],[SEQ_PLA_PEDIDO]],Tabela_padrão__GM_CONV_NOTAS_ENTRADA[VALOR_NF])</f>
        <v>0</v>
      </c>
      <c r="Q55" s="2">
        <f t="array" ref="Q55">IF(AND(Tabela_GM_PEDIDOS_2017_FIM[[#This Row],[MOEDA]]="US$",Tabela_GM_PEDIDOS_2017_FIM[[#This Row],[PAGO]]="S"),Tabela_GM_PEDIDOS_2017_FIM[[#This Row],[VALOR_PAGO_REAL]]-Tabela_GM_PEDIDOS_2017_FIM[[#This Row],[VALOR_PAGAR]],0)</f>
        <v>0</v>
      </c>
      <c r="R5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6" spans="1:19" hidden="1" x14ac:dyDescent="0.25">
      <c r="A56" t="s">
        <v>197</v>
      </c>
      <c r="B56">
        <v>12</v>
      </c>
      <c r="C56" t="s">
        <v>16</v>
      </c>
      <c r="D56" t="s">
        <v>24</v>
      </c>
      <c r="E56" t="s">
        <v>18</v>
      </c>
      <c r="F56" t="s">
        <v>19</v>
      </c>
      <c r="G56" t="s">
        <v>37</v>
      </c>
      <c r="H56" t="s">
        <v>198</v>
      </c>
      <c r="I56" s="1">
        <v>42535</v>
      </c>
      <c r="J56" s="2">
        <v>2100000</v>
      </c>
      <c r="K56">
        <v>3.4533</v>
      </c>
      <c r="L56" s="2">
        <v>7251930</v>
      </c>
      <c r="O56" t="s">
        <v>22</v>
      </c>
      <c r="P56" s="2">
        <f>SUMIF(Tabela_padrão__GM_CONV_NOTAS_ENTRADA[SEQ_PLA_PEDIDO],Tabela_GM_PEDIDOS_2017_FIM[[#This Row],[SEQ_PLA_PEDIDO]],Tabela_padrão__GM_CONV_NOTAS_ENTRADA[VALOR_NF])</f>
        <v>0</v>
      </c>
      <c r="Q56" s="2">
        <f t="array" ref="Q56">IF(AND(Tabela_GM_PEDIDOS_2017_FIM[[#This Row],[MOEDA]]="US$",Tabela_GM_PEDIDOS_2017_FIM[[#This Row],[PAGO]]="S"),Tabela_GM_PEDIDOS_2017_FIM[[#This Row],[VALOR_PAGO_REAL]]-Tabela_GM_PEDIDOS_2017_FIM[[#This Row],[VALOR_PAGAR]],0)</f>
        <v>0</v>
      </c>
      <c r="R5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7" spans="1:19" hidden="1" x14ac:dyDescent="0.25">
      <c r="A57" t="s">
        <v>66</v>
      </c>
      <c r="B57">
        <v>13</v>
      </c>
      <c r="C57" t="s">
        <v>27</v>
      </c>
      <c r="D57" t="s">
        <v>24</v>
      </c>
      <c r="E57" t="s">
        <v>18</v>
      </c>
      <c r="F57" t="s">
        <v>19</v>
      </c>
      <c r="G57" t="s">
        <v>29</v>
      </c>
      <c r="H57" t="s">
        <v>67</v>
      </c>
      <c r="I57" s="1">
        <v>42550</v>
      </c>
      <c r="J57" s="2">
        <v>192888</v>
      </c>
      <c r="K57">
        <v>1</v>
      </c>
      <c r="L57" s="2">
        <v>192888</v>
      </c>
      <c r="O57" t="s">
        <v>22</v>
      </c>
      <c r="P57" s="2">
        <f>SUMIF(Tabela_padrão__GM_CONV_NOTAS_ENTRADA[SEQ_PLA_PEDIDO],Tabela_GM_PEDIDOS_2017_FIM[[#This Row],[SEQ_PLA_PEDIDO]],Tabela_padrão__GM_CONV_NOTAS_ENTRADA[VALOR_NF])</f>
        <v>0</v>
      </c>
      <c r="Q57" s="2">
        <f t="array" ref="Q57">IF(AND(Tabela_GM_PEDIDOS_2017_FIM[[#This Row],[MOEDA]]="US$",Tabela_GM_PEDIDOS_2017_FIM[[#This Row],[PAGO]]="S"),Tabela_GM_PEDIDOS_2017_FIM[[#This Row],[VALOR_PAGO_REAL]]-Tabela_GM_PEDIDOS_2017_FIM[[#This Row],[VALOR_PAGAR]],0)</f>
        <v>0</v>
      </c>
      <c r="R5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8" spans="1:19" hidden="1" x14ac:dyDescent="0.25">
      <c r="A58" t="s">
        <v>66</v>
      </c>
      <c r="B58">
        <v>13</v>
      </c>
      <c r="C58" t="s">
        <v>27</v>
      </c>
      <c r="D58" t="s">
        <v>24</v>
      </c>
      <c r="E58" t="s">
        <v>18</v>
      </c>
      <c r="F58" t="s">
        <v>19</v>
      </c>
      <c r="G58" t="s">
        <v>29</v>
      </c>
      <c r="H58" t="s">
        <v>67</v>
      </c>
      <c r="I58" s="1">
        <v>42550</v>
      </c>
      <c r="J58" s="2">
        <v>96444</v>
      </c>
      <c r="K58">
        <v>1</v>
      </c>
      <c r="L58" s="2">
        <v>96444</v>
      </c>
      <c r="M58" s="2">
        <v>96444</v>
      </c>
      <c r="O58" t="s">
        <v>31</v>
      </c>
      <c r="P58" s="2">
        <f>SUMIF(Tabela_padrão__GM_CONV_NOTAS_ENTRADA[SEQ_PLA_PEDIDO],Tabela_GM_PEDIDOS_2017_FIM[[#This Row],[SEQ_PLA_PEDIDO]],Tabela_padrão__GM_CONV_NOTAS_ENTRADA[VALOR_NF])</f>
        <v>0</v>
      </c>
      <c r="Q58" s="2">
        <f t="array" ref="Q58">IF(AND(Tabela_GM_PEDIDOS_2017_FIM[[#This Row],[MOEDA]]="US$",Tabela_GM_PEDIDOS_2017_FIM[[#This Row],[PAGO]]="S"),Tabela_GM_PEDIDOS_2017_FIM[[#This Row],[VALOR_PAGO_REAL]]-Tabela_GM_PEDIDOS_2017_FIM[[#This Row],[VALOR_PAGAR]],0)</f>
        <v>0</v>
      </c>
      <c r="R5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8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59" spans="1:19" x14ac:dyDescent="0.25">
      <c r="A59" t="s">
        <v>145</v>
      </c>
      <c r="B59">
        <v>10</v>
      </c>
      <c r="C59" t="s">
        <v>27</v>
      </c>
      <c r="D59" t="s">
        <v>36</v>
      </c>
      <c r="E59" t="s">
        <v>18</v>
      </c>
      <c r="F59" t="s">
        <v>19</v>
      </c>
      <c r="G59" t="s">
        <v>29</v>
      </c>
      <c r="H59" t="s">
        <v>146</v>
      </c>
      <c r="I59" s="1">
        <v>42550</v>
      </c>
      <c r="J59" s="2">
        <v>200000</v>
      </c>
      <c r="K59">
        <v>1</v>
      </c>
      <c r="L59" s="2">
        <v>200000</v>
      </c>
      <c r="M59" s="2">
        <v>200000</v>
      </c>
      <c r="O59" t="s">
        <v>31</v>
      </c>
      <c r="P59" s="2">
        <f>SUMIF(Tabela_padrão__GM_CONV_NOTAS_ENTRADA[SEQ_PLA_PEDIDO],Tabela_GM_PEDIDOS_2017_FIM[[#This Row],[SEQ_PLA_PEDIDO]],Tabela_padrão__GM_CONV_NOTAS_ENTRADA[VALOR_NF])</f>
        <v>0</v>
      </c>
      <c r="Q59" s="2">
        <f t="array" ref="Q59">IF(AND(Tabela_GM_PEDIDOS_2017_FIM[[#This Row],[MOEDA]]="US$",Tabela_GM_PEDIDOS_2017_FIM[[#This Row],[PAGO]]="S"),Tabela_GM_PEDIDOS_2017_FIM[[#This Row],[VALOR_PAGO_REAL]]-Tabela_GM_PEDIDOS_2017_FIM[[#This Row],[VALOR_PAGAR]],0)</f>
        <v>0</v>
      </c>
      <c r="R5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59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0" spans="1:19" x14ac:dyDescent="0.25">
      <c r="A60" t="s">
        <v>145</v>
      </c>
      <c r="B60">
        <v>10</v>
      </c>
      <c r="C60" t="s">
        <v>27</v>
      </c>
      <c r="D60" t="s">
        <v>36</v>
      </c>
      <c r="E60" t="s">
        <v>18</v>
      </c>
      <c r="F60" t="s">
        <v>19</v>
      </c>
      <c r="G60" t="s">
        <v>29</v>
      </c>
      <c r="H60" t="s">
        <v>146</v>
      </c>
      <c r="I60" s="1">
        <v>42550</v>
      </c>
      <c r="J60" s="2">
        <v>400000</v>
      </c>
      <c r="K60">
        <v>1</v>
      </c>
      <c r="L60" s="2">
        <v>400000</v>
      </c>
      <c r="O60" t="s">
        <v>22</v>
      </c>
      <c r="P60" s="2">
        <f>SUMIF(Tabela_padrão__GM_CONV_NOTAS_ENTRADA[SEQ_PLA_PEDIDO],Tabela_GM_PEDIDOS_2017_FIM[[#This Row],[SEQ_PLA_PEDIDO]],Tabela_padrão__GM_CONV_NOTAS_ENTRADA[VALOR_NF])</f>
        <v>0</v>
      </c>
      <c r="Q60" s="2">
        <f t="array" ref="Q60">IF(AND(Tabela_GM_PEDIDOS_2017_FIM[[#This Row],[MOEDA]]="US$",Tabela_GM_PEDIDOS_2017_FIM[[#This Row],[PAGO]]="S"),Tabela_GM_PEDIDOS_2017_FIM[[#This Row],[VALOR_PAGO_REAL]]-Tabela_GM_PEDIDOS_2017_FIM[[#This Row],[VALOR_PAGAR]],0)</f>
        <v>0</v>
      </c>
      <c r="R6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1" spans="1:19" hidden="1" x14ac:dyDescent="0.25">
      <c r="A61" t="s">
        <v>112</v>
      </c>
      <c r="B61">
        <v>8</v>
      </c>
      <c r="C61" t="s">
        <v>27</v>
      </c>
      <c r="D61" t="s">
        <v>28</v>
      </c>
      <c r="E61" t="s">
        <v>18</v>
      </c>
      <c r="F61" t="s">
        <v>19</v>
      </c>
      <c r="G61" t="s">
        <v>29</v>
      </c>
      <c r="H61" t="s">
        <v>113</v>
      </c>
      <c r="I61" s="1">
        <v>42550</v>
      </c>
      <c r="J61" s="2">
        <v>120000</v>
      </c>
      <c r="K61">
        <v>1</v>
      </c>
      <c r="L61" s="2">
        <v>120000</v>
      </c>
      <c r="M61" s="2">
        <v>120000</v>
      </c>
      <c r="O61" t="s">
        <v>31</v>
      </c>
      <c r="P61" s="2">
        <f>SUMIF(Tabela_padrão__GM_CONV_NOTAS_ENTRADA[SEQ_PLA_PEDIDO],Tabela_GM_PEDIDOS_2017_FIM[[#This Row],[SEQ_PLA_PEDIDO]],Tabela_padrão__GM_CONV_NOTAS_ENTRADA[VALOR_NF])</f>
        <v>0</v>
      </c>
      <c r="Q61" s="2">
        <f t="array" ref="Q61">IF(AND(Tabela_GM_PEDIDOS_2017_FIM[[#This Row],[MOEDA]]="US$",Tabela_GM_PEDIDOS_2017_FIM[[#This Row],[PAGO]]="S"),Tabela_GM_PEDIDOS_2017_FIM[[#This Row],[VALOR_PAGO_REAL]]-Tabela_GM_PEDIDOS_2017_FIM[[#This Row],[VALOR_PAGAR]],0)</f>
        <v>0</v>
      </c>
      <c r="R6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1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2" spans="1:19" hidden="1" x14ac:dyDescent="0.25">
      <c r="A62" t="s">
        <v>112</v>
      </c>
      <c r="B62">
        <v>8</v>
      </c>
      <c r="C62" t="s">
        <v>27</v>
      </c>
      <c r="D62" t="s">
        <v>28</v>
      </c>
      <c r="E62" t="s">
        <v>18</v>
      </c>
      <c r="F62" t="s">
        <v>19</v>
      </c>
      <c r="G62" t="s">
        <v>29</v>
      </c>
      <c r="H62" t="s">
        <v>113</v>
      </c>
      <c r="I62" s="1">
        <v>42550</v>
      </c>
      <c r="J62" s="2">
        <v>240000</v>
      </c>
      <c r="K62">
        <v>1</v>
      </c>
      <c r="L62" s="2">
        <v>240000</v>
      </c>
      <c r="O62" t="s">
        <v>22</v>
      </c>
      <c r="P62" s="2">
        <f>SUMIF(Tabela_padrão__GM_CONV_NOTAS_ENTRADA[SEQ_PLA_PEDIDO],Tabela_GM_PEDIDOS_2017_FIM[[#This Row],[SEQ_PLA_PEDIDO]],Tabela_padrão__GM_CONV_NOTAS_ENTRADA[VALOR_NF])</f>
        <v>0</v>
      </c>
      <c r="Q62" s="2">
        <f t="array" ref="Q62">IF(AND(Tabela_GM_PEDIDOS_2017_FIM[[#This Row],[MOEDA]]="US$",Tabela_GM_PEDIDOS_2017_FIM[[#This Row],[PAGO]]="S"),Tabela_GM_PEDIDOS_2017_FIM[[#This Row],[VALOR_PAGO_REAL]]-Tabela_GM_PEDIDOS_2017_FIM[[#This Row],[VALOR_PAGAR]],0)</f>
        <v>0</v>
      </c>
      <c r="R6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3" spans="1:19" hidden="1" x14ac:dyDescent="0.25">
      <c r="A63" t="s">
        <v>54</v>
      </c>
      <c r="B63">
        <v>7</v>
      </c>
      <c r="C63" t="s">
        <v>27</v>
      </c>
      <c r="D63" t="s">
        <v>55</v>
      </c>
      <c r="E63" t="s">
        <v>18</v>
      </c>
      <c r="F63" t="s">
        <v>19</v>
      </c>
      <c r="G63" t="s">
        <v>29</v>
      </c>
      <c r="H63" t="s">
        <v>56</v>
      </c>
      <c r="I63" s="1">
        <v>42550</v>
      </c>
      <c r="J63" s="2">
        <v>160000</v>
      </c>
      <c r="K63">
        <v>1</v>
      </c>
      <c r="L63" s="2">
        <v>160000</v>
      </c>
      <c r="N63" t="s">
        <v>31</v>
      </c>
      <c r="O63" t="s">
        <v>22</v>
      </c>
      <c r="P63" s="2">
        <f>SUMIF(Tabela_padrão__GM_CONV_NOTAS_ENTRADA[SEQ_PLA_PEDIDO],Tabela_GM_PEDIDOS_2017_FIM[[#This Row],[SEQ_PLA_PEDIDO]],Tabela_padrão__GM_CONV_NOTAS_ENTRADA[VALOR_NF])</f>
        <v>0</v>
      </c>
      <c r="Q63" s="2">
        <f t="array" ref="Q63">IF(AND(Tabela_GM_PEDIDOS_2017_FIM[[#This Row],[MOEDA]]="US$",Tabela_GM_PEDIDOS_2017_FIM[[#This Row],[PAGO]]="S"),Tabela_GM_PEDIDOS_2017_FIM[[#This Row],[VALOR_PAGO_REAL]]-Tabela_GM_PEDIDOS_2017_FIM[[#This Row],[VALOR_PAGAR]],0)</f>
        <v>0</v>
      </c>
      <c r="R6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4" spans="1:19" hidden="1" x14ac:dyDescent="0.25">
      <c r="A64" t="s">
        <v>54</v>
      </c>
      <c r="B64">
        <v>7</v>
      </c>
      <c r="C64" t="s">
        <v>27</v>
      </c>
      <c r="D64" t="s">
        <v>55</v>
      </c>
      <c r="E64" t="s">
        <v>18</v>
      </c>
      <c r="F64" t="s">
        <v>19</v>
      </c>
      <c r="G64" t="s">
        <v>29</v>
      </c>
      <c r="H64" t="s">
        <v>56</v>
      </c>
      <c r="I64" s="1">
        <v>42550</v>
      </c>
      <c r="J64" s="2">
        <v>80000</v>
      </c>
      <c r="K64">
        <v>1</v>
      </c>
      <c r="L64" s="2">
        <v>80000</v>
      </c>
      <c r="M64" s="2">
        <v>80000</v>
      </c>
      <c r="N64" t="s">
        <v>31</v>
      </c>
      <c r="O64" t="s">
        <v>31</v>
      </c>
      <c r="P64" s="2">
        <f>SUMIF(Tabela_padrão__GM_CONV_NOTAS_ENTRADA[SEQ_PLA_PEDIDO],Tabela_GM_PEDIDOS_2017_FIM[[#This Row],[SEQ_PLA_PEDIDO]],Tabela_padrão__GM_CONV_NOTAS_ENTRADA[VALOR_NF])</f>
        <v>0</v>
      </c>
      <c r="Q64" s="2">
        <f t="array" ref="Q64">IF(AND(Tabela_GM_PEDIDOS_2017_FIM[[#This Row],[MOEDA]]="US$",Tabela_GM_PEDIDOS_2017_FIM[[#This Row],[PAGO]]="S"),Tabela_GM_PEDIDOS_2017_FIM[[#This Row],[VALOR_PAGO_REAL]]-Tabela_GM_PEDIDOS_2017_FIM[[#This Row],[VALOR_PAGAR]],0)</f>
        <v>0</v>
      </c>
      <c r="R6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4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5" spans="1:19" hidden="1" x14ac:dyDescent="0.25">
      <c r="A65" t="s">
        <v>139</v>
      </c>
      <c r="B65">
        <v>3</v>
      </c>
      <c r="C65" t="s">
        <v>27</v>
      </c>
      <c r="D65" t="s">
        <v>131</v>
      </c>
      <c r="E65" t="s">
        <v>18</v>
      </c>
      <c r="F65" t="s">
        <v>19</v>
      </c>
      <c r="G65" t="s">
        <v>29</v>
      </c>
      <c r="H65" t="s">
        <v>140</v>
      </c>
      <c r="I65" s="1">
        <v>42550</v>
      </c>
      <c r="J65" s="2">
        <v>22400</v>
      </c>
      <c r="K65">
        <v>1</v>
      </c>
      <c r="L65" s="2">
        <v>22400</v>
      </c>
      <c r="M65" s="2">
        <v>22400</v>
      </c>
      <c r="N65" t="s">
        <v>31</v>
      </c>
      <c r="O65" t="s">
        <v>31</v>
      </c>
      <c r="P65" s="2">
        <f>SUMIF(Tabela_padrão__GM_CONV_NOTAS_ENTRADA[SEQ_PLA_PEDIDO],Tabela_GM_PEDIDOS_2017_FIM[[#This Row],[SEQ_PLA_PEDIDO]],Tabela_padrão__GM_CONV_NOTAS_ENTRADA[VALOR_NF])</f>
        <v>0</v>
      </c>
      <c r="Q65" s="2">
        <f t="array" ref="Q65">IF(AND(Tabela_GM_PEDIDOS_2017_FIM[[#This Row],[MOEDA]]="US$",Tabela_GM_PEDIDOS_2017_FIM[[#This Row],[PAGO]]="S"),Tabela_GM_PEDIDOS_2017_FIM[[#This Row],[VALOR_PAGO_REAL]]-Tabela_GM_PEDIDOS_2017_FIM[[#This Row],[VALOR_PAGAR]],0)</f>
        <v>0</v>
      </c>
      <c r="R6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5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6" spans="1:19" hidden="1" x14ac:dyDescent="0.25">
      <c r="A66" t="s">
        <v>139</v>
      </c>
      <c r="B66">
        <v>3</v>
      </c>
      <c r="C66" t="s">
        <v>27</v>
      </c>
      <c r="D66" t="s">
        <v>131</v>
      </c>
      <c r="E66" t="s">
        <v>18</v>
      </c>
      <c r="F66" t="s">
        <v>19</v>
      </c>
      <c r="G66" t="s">
        <v>29</v>
      </c>
      <c r="H66" t="s">
        <v>140</v>
      </c>
      <c r="I66" s="1">
        <v>42550</v>
      </c>
      <c r="J66" s="2">
        <v>44800</v>
      </c>
      <c r="K66">
        <v>1</v>
      </c>
      <c r="L66" s="2">
        <v>44800</v>
      </c>
      <c r="N66" t="s">
        <v>31</v>
      </c>
      <c r="O66" t="s">
        <v>22</v>
      </c>
      <c r="P66" s="2">
        <f>SUMIF(Tabela_padrão__GM_CONV_NOTAS_ENTRADA[SEQ_PLA_PEDIDO],Tabela_GM_PEDIDOS_2017_FIM[[#This Row],[SEQ_PLA_PEDIDO]],Tabela_padrão__GM_CONV_NOTAS_ENTRADA[VALOR_NF])</f>
        <v>0</v>
      </c>
      <c r="Q66" s="2">
        <f t="array" ref="Q66">IF(AND(Tabela_GM_PEDIDOS_2017_FIM[[#This Row],[MOEDA]]="US$",Tabela_GM_PEDIDOS_2017_FIM[[#This Row],[PAGO]]="S"),Tabela_GM_PEDIDOS_2017_FIM[[#This Row],[VALOR_PAGO_REAL]]-Tabela_GM_PEDIDOS_2017_FIM[[#This Row],[VALOR_PAGAR]],0)</f>
        <v>0</v>
      </c>
      <c r="R6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7" spans="1:19" hidden="1" x14ac:dyDescent="0.25">
      <c r="A67" t="s">
        <v>170</v>
      </c>
      <c r="B67">
        <v>8</v>
      </c>
      <c r="C67" t="s">
        <v>16</v>
      </c>
      <c r="D67" t="s">
        <v>55</v>
      </c>
      <c r="E67" t="s">
        <v>18</v>
      </c>
      <c r="F67" t="s">
        <v>19</v>
      </c>
      <c r="G67" t="s">
        <v>37</v>
      </c>
      <c r="H67" t="s">
        <v>171</v>
      </c>
      <c r="I67" s="1">
        <v>42551</v>
      </c>
      <c r="J67" s="2">
        <v>27880</v>
      </c>
      <c r="K67">
        <v>3.2435</v>
      </c>
      <c r="L67" s="2">
        <v>90428.78</v>
      </c>
      <c r="M67" s="2">
        <v>89489.22</v>
      </c>
      <c r="O67" t="s">
        <v>31</v>
      </c>
      <c r="P67" s="2">
        <f>SUMIF(Tabela_padrão__GM_CONV_NOTAS_ENTRADA[SEQ_PLA_PEDIDO],Tabela_GM_PEDIDOS_2017_FIM[[#This Row],[SEQ_PLA_PEDIDO]],Tabela_padrão__GM_CONV_NOTAS_ENTRADA[VALOR_NF])</f>
        <v>89993.86</v>
      </c>
      <c r="Q67" s="2">
        <f t="array" ref="Q67">IF(AND(Tabela_GM_PEDIDOS_2017_FIM[[#This Row],[MOEDA]]="US$",Tabela_GM_PEDIDOS_2017_FIM[[#This Row],[PAGO]]="S"),Tabela_GM_PEDIDOS_2017_FIM[[#This Row],[VALOR_PAGO_REAL]]-Tabela_GM_PEDIDOS_2017_FIM[[#This Row],[VALOR_PAGAR]],0)</f>
        <v>-939.55999999999767</v>
      </c>
      <c r="R6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8" spans="1:19" hidden="1" x14ac:dyDescent="0.25">
      <c r="A68" t="s">
        <v>80</v>
      </c>
      <c r="B68">
        <v>9</v>
      </c>
      <c r="C68" t="s">
        <v>27</v>
      </c>
      <c r="D68" t="s">
        <v>55</v>
      </c>
      <c r="E68" t="s">
        <v>18</v>
      </c>
      <c r="F68" t="s">
        <v>19</v>
      </c>
      <c r="G68" t="s">
        <v>20</v>
      </c>
      <c r="H68" t="s">
        <v>81</v>
      </c>
      <c r="I68" s="1">
        <v>42538</v>
      </c>
      <c r="J68" s="2">
        <v>13900</v>
      </c>
      <c r="K68">
        <v>1</v>
      </c>
      <c r="L68" s="2">
        <v>13900</v>
      </c>
      <c r="M68" s="2">
        <v>13900</v>
      </c>
      <c r="N68" t="s">
        <v>31</v>
      </c>
      <c r="O68" t="s">
        <v>31</v>
      </c>
      <c r="P68" s="2">
        <f>SUMIF(Tabela_padrão__GM_CONV_NOTAS_ENTRADA[SEQ_PLA_PEDIDO],Tabela_GM_PEDIDOS_2017_FIM[[#This Row],[SEQ_PLA_PEDIDO]],Tabela_padrão__GM_CONV_NOTAS_ENTRADA[VALOR_NF])</f>
        <v>0</v>
      </c>
      <c r="Q68" s="2">
        <f t="array" ref="Q68">IF(AND(Tabela_GM_PEDIDOS_2017_FIM[[#This Row],[MOEDA]]="US$",Tabela_GM_PEDIDOS_2017_FIM[[#This Row],[PAGO]]="S"),Tabela_GM_PEDIDOS_2017_FIM[[#This Row],[VALOR_PAGO_REAL]]-Tabela_GM_PEDIDOS_2017_FIM[[#This Row],[VALOR_PAGAR]],0)</f>
        <v>0</v>
      </c>
      <c r="R6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8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69" spans="1:19" hidden="1" x14ac:dyDescent="0.25">
      <c r="A69" t="s">
        <v>207</v>
      </c>
      <c r="B69">
        <v>14</v>
      </c>
      <c r="C69" t="s">
        <v>27</v>
      </c>
      <c r="D69" t="s">
        <v>24</v>
      </c>
      <c r="E69" t="s">
        <v>18</v>
      </c>
      <c r="F69" t="s">
        <v>19</v>
      </c>
      <c r="G69" t="s">
        <v>20</v>
      </c>
      <c r="H69" t="s">
        <v>208</v>
      </c>
      <c r="I69" s="1">
        <v>42550</v>
      </c>
      <c r="J69" s="2">
        <v>9576.73</v>
      </c>
      <c r="K69">
        <v>1</v>
      </c>
      <c r="L69" s="2">
        <v>9576.73</v>
      </c>
      <c r="N69" t="s">
        <v>31</v>
      </c>
      <c r="O69" t="s">
        <v>22</v>
      </c>
      <c r="P69" s="2">
        <f>SUMIF(Tabela_padrão__GM_CONV_NOTAS_ENTRADA[SEQ_PLA_PEDIDO],Tabela_GM_PEDIDOS_2017_FIM[[#This Row],[SEQ_PLA_PEDIDO]],Tabela_padrão__GM_CONV_NOTAS_ENTRADA[VALOR_NF])</f>
        <v>0</v>
      </c>
      <c r="Q69" s="2">
        <f t="array" ref="Q69">IF(AND(Tabela_GM_PEDIDOS_2017_FIM[[#This Row],[MOEDA]]="US$",Tabela_GM_PEDIDOS_2017_FIM[[#This Row],[PAGO]]="S"),Tabela_GM_PEDIDOS_2017_FIM[[#This Row],[VALOR_PAGO_REAL]]-Tabela_GM_PEDIDOS_2017_FIM[[#This Row],[VALOR_PAGAR]],0)</f>
        <v>0</v>
      </c>
      <c r="R6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6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0" spans="1:19" hidden="1" x14ac:dyDescent="0.25">
      <c r="A70" t="s">
        <v>160</v>
      </c>
      <c r="B70">
        <v>9</v>
      </c>
      <c r="C70" t="s">
        <v>16</v>
      </c>
      <c r="D70" t="s">
        <v>28</v>
      </c>
      <c r="E70" t="s">
        <v>18</v>
      </c>
      <c r="F70" t="s">
        <v>19</v>
      </c>
      <c r="G70" t="s">
        <v>37</v>
      </c>
      <c r="H70" t="s">
        <v>161</v>
      </c>
      <c r="I70" s="1">
        <v>42545</v>
      </c>
      <c r="J70" s="2">
        <v>132688.81</v>
      </c>
      <c r="K70">
        <v>3.3532999999999999</v>
      </c>
      <c r="L70" s="2">
        <v>444945.386573</v>
      </c>
      <c r="N70" t="s">
        <v>31</v>
      </c>
      <c r="O70" t="s">
        <v>22</v>
      </c>
      <c r="P70" s="2">
        <f>SUMIF(Tabela_padrão__GM_CONV_NOTAS_ENTRADA[SEQ_PLA_PEDIDO],Tabela_GM_PEDIDOS_2017_FIM[[#This Row],[SEQ_PLA_PEDIDO]],Tabela_padrão__GM_CONV_NOTAS_ENTRADA[VALOR_NF])</f>
        <v>417140.14999999991</v>
      </c>
      <c r="Q70" s="2">
        <f t="array" ref="Q70">IF(AND(Tabela_GM_PEDIDOS_2017_FIM[[#This Row],[MOEDA]]="US$",Tabela_GM_PEDIDOS_2017_FIM[[#This Row],[PAGO]]="S"),Tabela_GM_PEDIDOS_2017_FIM[[#This Row],[VALOR_PAGO_REAL]]-Tabela_GM_PEDIDOS_2017_FIM[[#This Row],[VALOR_PAGAR]],0)</f>
        <v>0</v>
      </c>
      <c r="R70" s="2">
        <f>IF(AND(Tabela_GM_PEDIDOS_2017_FIM[[#This Row],[MOEDA]]="US$",Tabela_GM_PEDIDOS_2017_FIM[[#This Row],[FATURADO]]="S"),Tabela_GM_PEDIDOS_2017_FIM[[#This Row],[VL_NOTAS]]-Tabela_GM_PEDIDOS_2017_FIM[[#This Row],[VALOR_PAGO_REAL]],0)</f>
        <v>417140.14999999991</v>
      </c>
      <c r="S7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1" spans="1:19" hidden="1" x14ac:dyDescent="0.25">
      <c r="A71" t="s">
        <v>44</v>
      </c>
      <c r="B71">
        <v>15</v>
      </c>
      <c r="C71" t="s">
        <v>27</v>
      </c>
      <c r="D71" t="s">
        <v>24</v>
      </c>
      <c r="E71" t="s">
        <v>18</v>
      </c>
      <c r="F71" t="s">
        <v>19</v>
      </c>
      <c r="G71" t="s">
        <v>42</v>
      </c>
      <c r="H71" t="s">
        <v>45</v>
      </c>
      <c r="I71" s="1">
        <v>42549</v>
      </c>
      <c r="J71" s="2">
        <v>203999.99</v>
      </c>
      <c r="K71">
        <v>1</v>
      </c>
      <c r="L71" s="2">
        <v>203999.99</v>
      </c>
      <c r="M71" s="2">
        <v>203999.99</v>
      </c>
      <c r="N71" t="s">
        <v>31</v>
      </c>
      <c r="O71" t="s">
        <v>31</v>
      </c>
      <c r="P71" s="2">
        <f>SUMIF(Tabela_padrão__GM_CONV_NOTAS_ENTRADA[SEQ_PLA_PEDIDO],Tabela_GM_PEDIDOS_2017_FIM[[#This Row],[SEQ_PLA_PEDIDO]],Tabela_padrão__GM_CONV_NOTAS_ENTRADA[VALOR_NF])</f>
        <v>0</v>
      </c>
      <c r="Q71" s="2">
        <f t="array" ref="Q71">IF(AND(Tabela_GM_PEDIDOS_2017_FIM[[#This Row],[MOEDA]]="US$",Tabela_GM_PEDIDOS_2017_FIM[[#This Row],[PAGO]]="S"),Tabela_GM_PEDIDOS_2017_FIM[[#This Row],[VALOR_PAGO_REAL]]-Tabela_GM_PEDIDOS_2017_FIM[[#This Row],[VALOR_PAGAR]],0)</f>
        <v>0</v>
      </c>
      <c r="R7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1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2" spans="1:19" hidden="1" x14ac:dyDescent="0.25">
      <c r="A72" t="s">
        <v>84</v>
      </c>
      <c r="B72">
        <v>16</v>
      </c>
      <c r="C72" t="s">
        <v>27</v>
      </c>
      <c r="D72" t="s">
        <v>24</v>
      </c>
      <c r="E72" t="s">
        <v>18</v>
      </c>
      <c r="F72" t="s">
        <v>19</v>
      </c>
      <c r="G72" t="s">
        <v>42</v>
      </c>
      <c r="H72" t="s">
        <v>85</v>
      </c>
      <c r="I72" s="1">
        <v>42557</v>
      </c>
      <c r="J72" s="2">
        <v>36200</v>
      </c>
      <c r="K72">
        <v>1</v>
      </c>
      <c r="L72" s="2">
        <v>36200</v>
      </c>
      <c r="M72" s="2">
        <v>36200</v>
      </c>
      <c r="N72" t="s">
        <v>31</v>
      </c>
      <c r="O72" t="s">
        <v>31</v>
      </c>
      <c r="P72" s="2">
        <f>SUMIF(Tabela_padrão__GM_CONV_NOTAS_ENTRADA[SEQ_PLA_PEDIDO],Tabela_GM_PEDIDOS_2017_FIM[[#This Row],[SEQ_PLA_PEDIDO]],Tabela_padrão__GM_CONV_NOTAS_ENTRADA[VALOR_NF])</f>
        <v>0</v>
      </c>
      <c r="Q72" s="2">
        <f t="array" ref="Q72">IF(AND(Tabela_GM_PEDIDOS_2017_FIM[[#This Row],[MOEDA]]="US$",Tabela_GM_PEDIDOS_2017_FIM[[#This Row],[PAGO]]="S"),Tabela_GM_PEDIDOS_2017_FIM[[#This Row],[VALOR_PAGO_REAL]]-Tabela_GM_PEDIDOS_2017_FIM[[#This Row],[VALOR_PAGAR]],0)</f>
        <v>0</v>
      </c>
      <c r="R7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2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3" spans="1:19" hidden="1" x14ac:dyDescent="0.25">
      <c r="A73" t="s">
        <v>157</v>
      </c>
      <c r="B73">
        <v>5</v>
      </c>
      <c r="C73" t="s">
        <v>27</v>
      </c>
      <c r="D73" t="s">
        <v>33</v>
      </c>
      <c r="E73" t="s">
        <v>158</v>
      </c>
      <c r="F73" t="s">
        <v>159</v>
      </c>
      <c r="G73" t="s">
        <v>156</v>
      </c>
      <c r="I73" s="1">
        <v>42564</v>
      </c>
      <c r="J73" s="2">
        <v>2013.88</v>
      </c>
      <c r="K73">
        <v>1</v>
      </c>
      <c r="L73" s="2">
        <v>2013.88</v>
      </c>
      <c r="M73" s="2">
        <v>16276</v>
      </c>
      <c r="N73" t="s">
        <v>31</v>
      </c>
      <c r="P73" s="2">
        <f>SUMIF(Tabela_padrão__GM_CONV_NOTAS_ENTRADA[SEQ_PLA_PEDIDO],Tabela_GM_PEDIDOS_2017_FIM[[#This Row],[SEQ_PLA_PEDIDO]],Tabela_padrão__GM_CONV_NOTAS_ENTRADA[VALOR_NF])</f>
        <v>0</v>
      </c>
      <c r="Q73" s="2">
        <f t="array" ref="Q73">IF(AND(Tabela_GM_PEDIDOS_2017_FIM[[#This Row],[MOEDA]]="US$",Tabela_GM_PEDIDOS_2017_FIM[[#This Row],[PAGO]]="S"),Tabela_GM_PEDIDOS_2017_FIM[[#This Row],[VALOR_PAGO_REAL]]-Tabela_GM_PEDIDOS_2017_FIM[[#This Row],[VALOR_PAGAR]],0)</f>
        <v>0</v>
      </c>
      <c r="R7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4" spans="1:19" hidden="1" x14ac:dyDescent="0.25">
      <c r="A74" t="s">
        <v>157</v>
      </c>
      <c r="B74">
        <v>5</v>
      </c>
      <c r="C74" t="s">
        <v>27</v>
      </c>
      <c r="D74" t="s">
        <v>33</v>
      </c>
      <c r="E74" t="s">
        <v>158</v>
      </c>
      <c r="F74" t="s">
        <v>159</v>
      </c>
      <c r="G74" t="s">
        <v>211</v>
      </c>
      <c r="I74" s="1">
        <v>42564</v>
      </c>
      <c r="J74" s="2">
        <v>12</v>
      </c>
      <c r="K74">
        <v>1</v>
      </c>
      <c r="L74" s="2">
        <v>12</v>
      </c>
      <c r="M74" s="2">
        <v>16276</v>
      </c>
      <c r="N74" t="s">
        <v>31</v>
      </c>
      <c r="P74" s="2">
        <f>SUMIF(Tabela_padrão__GM_CONV_NOTAS_ENTRADA[SEQ_PLA_PEDIDO],Tabela_GM_PEDIDOS_2017_FIM[[#This Row],[SEQ_PLA_PEDIDO]],Tabela_padrão__GM_CONV_NOTAS_ENTRADA[VALOR_NF])</f>
        <v>0</v>
      </c>
      <c r="Q74" s="2">
        <f t="array" ref="Q74">IF(AND(Tabela_GM_PEDIDOS_2017_FIM[[#This Row],[MOEDA]]="US$",Tabela_GM_PEDIDOS_2017_FIM[[#This Row],[PAGO]]="S"),Tabela_GM_PEDIDOS_2017_FIM[[#This Row],[VALOR_PAGO_REAL]]-Tabela_GM_PEDIDOS_2017_FIM[[#This Row],[VALOR_PAGAR]],0)</f>
        <v>0</v>
      </c>
      <c r="R7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5" spans="1:19" hidden="1" x14ac:dyDescent="0.25">
      <c r="A75" t="s">
        <v>157</v>
      </c>
      <c r="B75">
        <v>5</v>
      </c>
      <c r="C75" t="s">
        <v>27</v>
      </c>
      <c r="D75" t="s">
        <v>33</v>
      </c>
      <c r="E75" t="s">
        <v>158</v>
      </c>
      <c r="F75" t="s">
        <v>159</v>
      </c>
      <c r="G75" t="s">
        <v>156</v>
      </c>
      <c r="I75" s="1">
        <v>42564</v>
      </c>
      <c r="J75" s="2">
        <v>8.6199999999999992</v>
      </c>
      <c r="K75">
        <v>1</v>
      </c>
      <c r="L75" s="2">
        <v>8.6199999999999992</v>
      </c>
      <c r="M75" s="2">
        <v>16276</v>
      </c>
      <c r="N75" t="s">
        <v>31</v>
      </c>
      <c r="P75" s="2">
        <f>SUMIF(Tabela_padrão__GM_CONV_NOTAS_ENTRADA[SEQ_PLA_PEDIDO],Tabela_GM_PEDIDOS_2017_FIM[[#This Row],[SEQ_PLA_PEDIDO]],Tabela_padrão__GM_CONV_NOTAS_ENTRADA[VALOR_NF])</f>
        <v>0</v>
      </c>
      <c r="Q75" s="2">
        <f t="array" ref="Q75">IF(AND(Tabela_GM_PEDIDOS_2017_FIM[[#This Row],[MOEDA]]="US$",Tabela_GM_PEDIDOS_2017_FIM[[#This Row],[PAGO]]="S"),Tabela_GM_PEDIDOS_2017_FIM[[#This Row],[VALOR_PAGO_REAL]]-Tabela_GM_PEDIDOS_2017_FIM[[#This Row],[VALOR_PAGAR]],0)</f>
        <v>0</v>
      </c>
      <c r="R7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6" spans="1:19" hidden="1" x14ac:dyDescent="0.25">
      <c r="A76" t="s">
        <v>164</v>
      </c>
      <c r="B76">
        <v>10</v>
      </c>
      <c r="C76" t="s">
        <v>27</v>
      </c>
      <c r="D76" t="s">
        <v>55</v>
      </c>
      <c r="E76" t="s">
        <v>18</v>
      </c>
      <c r="F76" t="s">
        <v>19</v>
      </c>
      <c r="G76" t="s">
        <v>20</v>
      </c>
      <c r="H76" t="s">
        <v>165</v>
      </c>
      <c r="I76" s="1">
        <v>42550</v>
      </c>
      <c r="J76" s="2">
        <v>6200.95</v>
      </c>
      <c r="K76">
        <v>1</v>
      </c>
      <c r="L76" s="2">
        <v>6200.95</v>
      </c>
      <c r="N76" t="s">
        <v>31</v>
      </c>
      <c r="O76" t="s">
        <v>22</v>
      </c>
      <c r="P76" s="2">
        <f>SUMIF(Tabela_padrão__GM_CONV_NOTAS_ENTRADA[SEQ_PLA_PEDIDO],Tabela_GM_PEDIDOS_2017_FIM[[#This Row],[SEQ_PLA_PEDIDO]],Tabela_padrão__GM_CONV_NOTAS_ENTRADA[VALOR_NF])</f>
        <v>0</v>
      </c>
      <c r="Q76" s="2">
        <f t="array" ref="Q76">IF(AND(Tabela_GM_PEDIDOS_2017_FIM[[#This Row],[MOEDA]]="US$",Tabela_GM_PEDIDOS_2017_FIM[[#This Row],[PAGO]]="S"),Tabela_GM_PEDIDOS_2017_FIM[[#This Row],[VALOR_PAGO_REAL]]-Tabela_GM_PEDIDOS_2017_FIM[[#This Row],[VALOR_PAGAR]],0)</f>
        <v>0</v>
      </c>
      <c r="R7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7" spans="1:19" hidden="1" x14ac:dyDescent="0.25">
      <c r="A77" t="s">
        <v>187</v>
      </c>
      <c r="B77">
        <v>11</v>
      </c>
      <c r="C77" t="s">
        <v>27</v>
      </c>
      <c r="D77" t="s">
        <v>55</v>
      </c>
      <c r="E77" t="s">
        <v>18</v>
      </c>
      <c r="F77" t="s">
        <v>19</v>
      </c>
      <c r="G77" t="s">
        <v>37</v>
      </c>
      <c r="H77" t="s">
        <v>188</v>
      </c>
      <c r="I77" s="1">
        <v>42550</v>
      </c>
      <c r="J77" s="2">
        <v>11853.8</v>
      </c>
      <c r="K77">
        <v>1</v>
      </c>
      <c r="L77" s="2">
        <v>11853.8</v>
      </c>
      <c r="N77" t="s">
        <v>31</v>
      </c>
      <c r="O77" t="s">
        <v>22</v>
      </c>
      <c r="P77" s="2">
        <f>SUMIF(Tabela_padrão__GM_CONV_NOTAS_ENTRADA[SEQ_PLA_PEDIDO],Tabela_GM_PEDIDOS_2017_FIM[[#This Row],[SEQ_PLA_PEDIDO]],Tabela_padrão__GM_CONV_NOTAS_ENTRADA[VALOR_NF])</f>
        <v>0</v>
      </c>
      <c r="Q77" s="2">
        <f t="array" ref="Q77">IF(AND(Tabela_GM_PEDIDOS_2017_FIM[[#This Row],[MOEDA]]="US$",Tabela_GM_PEDIDOS_2017_FIM[[#This Row],[PAGO]]="S"),Tabela_GM_PEDIDOS_2017_FIM[[#This Row],[VALOR_PAGO_REAL]]-Tabela_GM_PEDIDOS_2017_FIM[[#This Row],[VALOR_PAGAR]],0)</f>
        <v>0</v>
      </c>
      <c r="R7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8" spans="1:19" hidden="1" x14ac:dyDescent="0.25">
      <c r="A78" t="s">
        <v>250</v>
      </c>
      <c r="B78">
        <v>12</v>
      </c>
      <c r="C78" t="s">
        <v>27</v>
      </c>
      <c r="D78" t="s">
        <v>55</v>
      </c>
      <c r="E78" t="s">
        <v>18</v>
      </c>
      <c r="F78" t="s">
        <v>19</v>
      </c>
      <c r="G78" t="s">
        <v>20</v>
      </c>
      <c r="H78" t="s">
        <v>251</v>
      </c>
      <c r="I78" s="1">
        <v>42555</v>
      </c>
      <c r="J78" s="2">
        <v>1815.28</v>
      </c>
      <c r="K78">
        <v>1</v>
      </c>
      <c r="L78" s="2">
        <v>1815.28</v>
      </c>
      <c r="N78" t="s">
        <v>31</v>
      </c>
      <c r="O78" t="s">
        <v>22</v>
      </c>
      <c r="P78" s="2">
        <f>SUMIF(Tabela_padrão__GM_CONV_NOTAS_ENTRADA[SEQ_PLA_PEDIDO],Tabela_GM_PEDIDOS_2017_FIM[[#This Row],[SEQ_PLA_PEDIDO]],Tabela_padrão__GM_CONV_NOTAS_ENTRADA[VALOR_NF])</f>
        <v>0</v>
      </c>
      <c r="Q78" s="2">
        <f t="array" ref="Q78">IF(AND(Tabela_GM_PEDIDOS_2017_FIM[[#This Row],[MOEDA]]="US$",Tabela_GM_PEDIDOS_2017_FIM[[#This Row],[PAGO]]="S"),Tabela_GM_PEDIDOS_2017_FIM[[#This Row],[VALOR_PAGO_REAL]]-Tabela_GM_PEDIDOS_2017_FIM[[#This Row],[VALOR_PAGAR]],0)</f>
        <v>0</v>
      </c>
      <c r="R7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79" spans="1:19" hidden="1" x14ac:dyDescent="0.25">
      <c r="A79" t="s">
        <v>209</v>
      </c>
      <c r="B79">
        <v>13</v>
      </c>
      <c r="C79" t="s">
        <v>27</v>
      </c>
      <c r="D79" t="s">
        <v>55</v>
      </c>
      <c r="E79" t="s">
        <v>18</v>
      </c>
      <c r="F79" t="s">
        <v>19</v>
      </c>
      <c r="G79" t="s">
        <v>20</v>
      </c>
      <c r="H79" t="s">
        <v>210</v>
      </c>
      <c r="I79" s="1">
        <v>42559</v>
      </c>
      <c r="J79" s="2">
        <v>15054.96</v>
      </c>
      <c r="K79">
        <v>1</v>
      </c>
      <c r="L79" s="2">
        <v>15054.96</v>
      </c>
      <c r="N79" t="s">
        <v>31</v>
      </c>
      <c r="O79" t="s">
        <v>22</v>
      </c>
      <c r="P79" s="2">
        <f>SUMIF(Tabela_padrão__GM_CONV_NOTAS_ENTRADA[SEQ_PLA_PEDIDO],Tabela_GM_PEDIDOS_2017_FIM[[#This Row],[SEQ_PLA_PEDIDO]],Tabela_padrão__GM_CONV_NOTAS_ENTRADA[VALOR_NF])</f>
        <v>0</v>
      </c>
      <c r="Q79" s="2">
        <f t="array" ref="Q79">IF(AND(Tabela_GM_PEDIDOS_2017_FIM[[#This Row],[MOEDA]]="US$",Tabela_GM_PEDIDOS_2017_FIM[[#This Row],[PAGO]]="S"),Tabela_GM_PEDIDOS_2017_FIM[[#This Row],[VALOR_PAGO_REAL]]-Tabela_GM_PEDIDOS_2017_FIM[[#This Row],[VALOR_PAGAR]],0)</f>
        <v>0</v>
      </c>
      <c r="R7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7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0" spans="1:19" hidden="1" x14ac:dyDescent="0.25">
      <c r="A80" t="s">
        <v>153</v>
      </c>
      <c r="B80">
        <v>6</v>
      </c>
      <c r="C80" t="s">
        <v>27</v>
      </c>
      <c r="D80" t="s">
        <v>33</v>
      </c>
      <c r="E80" t="s">
        <v>154</v>
      </c>
      <c r="F80" t="s">
        <v>155</v>
      </c>
      <c r="G80" t="s">
        <v>156</v>
      </c>
      <c r="I80" s="1">
        <v>42569</v>
      </c>
      <c r="J80" s="2">
        <v>2420</v>
      </c>
      <c r="K80">
        <v>1</v>
      </c>
      <c r="L80" s="2">
        <v>2420</v>
      </c>
      <c r="M80" s="2">
        <v>7562.5</v>
      </c>
      <c r="N80" t="s">
        <v>31</v>
      </c>
      <c r="P80" s="2">
        <f>SUMIF(Tabela_padrão__GM_CONV_NOTAS_ENTRADA[SEQ_PLA_PEDIDO],Tabela_GM_PEDIDOS_2017_FIM[[#This Row],[SEQ_PLA_PEDIDO]],Tabela_padrão__GM_CONV_NOTAS_ENTRADA[VALOR_NF])</f>
        <v>0</v>
      </c>
      <c r="Q80" s="2">
        <f t="array" ref="Q80">IF(AND(Tabela_GM_PEDIDOS_2017_FIM[[#This Row],[MOEDA]]="US$",Tabela_GM_PEDIDOS_2017_FIM[[#This Row],[PAGO]]="S"),Tabela_GM_PEDIDOS_2017_FIM[[#This Row],[VALOR_PAGO_REAL]]-Tabela_GM_PEDIDOS_2017_FIM[[#This Row],[VALOR_PAGAR]],0)</f>
        <v>0</v>
      </c>
      <c r="R8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1" spans="1:19" hidden="1" x14ac:dyDescent="0.25">
      <c r="A81" t="s">
        <v>153</v>
      </c>
      <c r="B81">
        <v>6</v>
      </c>
      <c r="C81" t="s">
        <v>27</v>
      </c>
      <c r="D81" t="s">
        <v>33</v>
      </c>
      <c r="E81" t="s">
        <v>154</v>
      </c>
      <c r="F81" t="s">
        <v>155</v>
      </c>
      <c r="G81" t="s">
        <v>156</v>
      </c>
      <c r="I81" s="1">
        <v>42569</v>
      </c>
      <c r="J81" s="2">
        <v>605</v>
      </c>
      <c r="K81">
        <v>1</v>
      </c>
      <c r="L81" s="2">
        <v>605</v>
      </c>
      <c r="M81" s="2">
        <v>7562.5</v>
      </c>
      <c r="N81" t="s">
        <v>31</v>
      </c>
      <c r="P81" s="2">
        <f>SUMIF(Tabela_padrão__GM_CONV_NOTAS_ENTRADA[SEQ_PLA_PEDIDO],Tabela_GM_PEDIDOS_2017_FIM[[#This Row],[SEQ_PLA_PEDIDO]],Tabela_padrão__GM_CONV_NOTAS_ENTRADA[VALOR_NF])</f>
        <v>0</v>
      </c>
      <c r="Q81" s="2">
        <f t="array" ref="Q81">IF(AND(Tabela_GM_PEDIDOS_2017_FIM[[#This Row],[MOEDA]]="US$",Tabela_GM_PEDIDOS_2017_FIM[[#This Row],[PAGO]]="S"),Tabela_GM_PEDIDOS_2017_FIM[[#This Row],[VALOR_PAGO_REAL]]-Tabela_GM_PEDIDOS_2017_FIM[[#This Row],[VALOR_PAGAR]],0)</f>
        <v>0</v>
      </c>
      <c r="R8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2" spans="1:19" hidden="1" x14ac:dyDescent="0.25">
      <c r="A82" t="s">
        <v>92</v>
      </c>
      <c r="B82">
        <v>17</v>
      </c>
      <c r="C82" t="s">
        <v>16</v>
      </c>
      <c r="D82" t="s">
        <v>24</v>
      </c>
      <c r="E82" t="s">
        <v>18</v>
      </c>
      <c r="F82" t="s">
        <v>19</v>
      </c>
      <c r="G82" t="s">
        <v>20</v>
      </c>
      <c r="H82" t="s">
        <v>93</v>
      </c>
      <c r="I82" s="1">
        <v>42559</v>
      </c>
      <c r="J82" s="2">
        <v>376340</v>
      </c>
      <c r="K82">
        <v>3.3388</v>
      </c>
      <c r="L82" s="2">
        <v>1256523.9920000001</v>
      </c>
      <c r="O82" t="s">
        <v>22</v>
      </c>
      <c r="P82" s="2">
        <f>SUMIF(Tabela_padrão__GM_CONV_NOTAS_ENTRADA[SEQ_PLA_PEDIDO],Tabela_GM_PEDIDOS_2017_FIM[[#This Row],[SEQ_PLA_PEDIDO]],Tabela_padrão__GM_CONV_NOTAS_ENTRADA[VALOR_NF])</f>
        <v>0</v>
      </c>
      <c r="Q82" s="2">
        <f t="array" ref="Q82">IF(AND(Tabela_GM_PEDIDOS_2017_FIM[[#This Row],[MOEDA]]="US$",Tabela_GM_PEDIDOS_2017_FIM[[#This Row],[PAGO]]="S"),Tabela_GM_PEDIDOS_2017_FIM[[#This Row],[VALOR_PAGO_REAL]]-Tabela_GM_PEDIDOS_2017_FIM[[#This Row],[VALOR_PAGAR]],0)</f>
        <v>0</v>
      </c>
      <c r="R8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3" spans="1:19" hidden="1" x14ac:dyDescent="0.25">
      <c r="A83" t="s">
        <v>82</v>
      </c>
      <c r="B83">
        <v>5</v>
      </c>
      <c r="C83" t="s">
        <v>16</v>
      </c>
      <c r="D83" t="s">
        <v>60</v>
      </c>
      <c r="E83" t="s">
        <v>18</v>
      </c>
      <c r="F83" t="s">
        <v>19</v>
      </c>
      <c r="G83" t="s">
        <v>20</v>
      </c>
      <c r="H83" t="s">
        <v>83</v>
      </c>
      <c r="I83" s="1">
        <v>42573</v>
      </c>
      <c r="J83" s="2">
        <v>7220</v>
      </c>
      <c r="K83">
        <v>3.2585000000000002</v>
      </c>
      <c r="L83" s="2">
        <v>23526.37</v>
      </c>
      <c r="O83" t="s">
        <v>22</v>
      </c>
      <c r="P83" s="2">
        <f>SUMIF(Tabela_padrão__GM_CONV_NOTAS_ENTRADA[SEQ_PLA_PEDIDO],Tabela_GM_PEDIDOS_2017_FIM[[#This Row],[SEQ_PLA_PEDIDO]],Tabela_padrão__GM_CONV_NOTAS_ENTRADA[VALOR_NF])</f>
        <v>0</v>
      </c>
      <c r="Q83" s="2">
        <f t="array" ref="Q83">IF(AND(Tabela_GM_PEDIDOS_2017_FIM[[#This Row],[MOEDA]]="US$",Tabela_GM_PEDIDOS_2017_FIM[[#This Row],[PAGO]]="S"),Tabela_GM_PEDIDOS_2017_FIM[[#This Row],[VALOR_PAGO_REAL]]-Tabela_GM_PEDIDOS_2017_FIM[[#This Row],[VALOR_PAGAR]],0)</f>
        <v>0</v>
      </c>
      <c r="R8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4" spans="1:19" hidden="1" x14ac:dyDescent="0.25">
      <c r="A84" t="s">
        <v>242</v>
      </c>
      <c r="B84">
        <v>10</v>
      </c>
      <c r="C84" t="s">
        <v>16</v>
      </c>
      <c r="D84" t="s">
        <v>28</v>
      </c>
      <c r="E84" t="s">
        <v>18</v>
      </c>
      <c r="F84" t="s">
        <v>19</v>
      </c>
      <c r="G84" t="s">
        <v>20</v>
      </c>
      <c r="H84" t="s">
        <v>243</v>
      </c>
      <c r="I84" s="1">
        <v>42573</v>
      </c>
      <c r="J84" s="2">
        <v>92192</v>
      </c>
      <c r="K84">
        <v>3.2585000000000002</v>
      </c>
      <c r="L84" s="2">
        <v>300407.63199999998</v>
      </c>
      <c r="O84" t="s">
        <v>22</v>
      </c>
      <c r="P84" s="2">
        <f>SUMIF(Tabela_padrão__GM_CONV_NOTAS_ENTRADA[SEQ_PLA_PEDIDO],Tabela_GM_PEDIDOS_2017_FIM[[#This Row],[SEQ_PLA_PEDIDO]],Tabela_padrão__GM_CONV_NOTAS_ENTRADA[VALOR_NF])</f>
        <v>0</v>
      </c>
      <c r="Q84" s="2">
        <f t="array" ref="Q84">IF(AND(Tabela_GM_PEDIDOS_2017_FIM[[#This Row],[MOEDA]]="US$",Tabela_GM_PEDIDOS_2017_FIM[[#This Row],[PAGO]]="S"),Tabela_GM_PEDIDOS_2017_FIM[[#This Row],[VALOR_PAGO_REAL]]-Tabela_GM_PEDIDOS_2017_FIM[[#This Row],[VALOR_PAGAR]],0)</f>
        <v>0</v>
      </c>
      <c r="R8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5" spans="1:19" hidden="1" x14ac:dyDescent="0.25">
      <c r="A85" t="s">
        <v>230</v>
      </c>
      <c r="B85">
        <v>4</v>
      </c>
      <c r="C85" t="s">
        <v>16</v>
      </c>
      <c r="D85" t="s">
        <v>131</v>
      </c>
      <c r="E85" t="s">
        <v>18</v>
      </c>
      <c r="F85" t="s">
        <v>19</v>
      </c>
      <c r="G85" t="s">
        <v>20</v>
      </c>
      <c r="H85" t="s">
        <v>231</v>
      </c>
      <c r="I85" s="1">
        <v>42573</v>
      </c>
      <c r="J85" s="2">
        <v>18172</v>
      </c>
      <c r="K85">
        <v>3.2585000000000002</v>
      </c>
      <c r="L85" s="2">
        <v>59213.462</v>
      </c>
      <c r="O85" t="s">
        <v>22</v>
      </c>
      <c r="P85" s="2">
        <f>SUMIF(Tabela_padrão__GM_CONV_NOTAS_ENTRADA[SEQ_PLA_PEDIDO],Tabela_GM_PEDIDOS_2017_FIM[[#This Row],[SEQ_PLA_PEDIDO]],Tabela_padrão__GM_CONV_NOTAS_ENTRADA[VALOR_NF])</f>
        <v>0</v>
      </c>
      <c r="Q85" s="2">
        <f t="array" ref="Q85">IF(AND(Tabela_GM_PEDIDOS_2017_FIM[[#This Row],[MOEDA]]="US$",Tabela_GM_PEDIDOS_2017_FIM[[#This Row],[PAGO]]="S"),Tabela_GM_PEDIDOS_2017_FIM[[#This Row],[VALOR_PAGO_REAL]]-Tabela_GM_PEDIDOS_2017_FIM[[#This Row],[VALOR_PAGAR]],0)</f>
        <v>0</v>
      </c>
      <c r="R8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6" spans="1:19" hidden="1" x14ac:dyDescent="0.25">
      <c r="A86" t="s">
        <v>32</v>
      </c>
      <c r="B86">
        <v>7</v>
      </c>
      <c r="C86" t="s">
        <v>16</v>
      </c>
      <c r="D86" t="s">
        <v>33</v>
      </c>
      <c r="E86" t="s">
        <v>18</v>
      </c>
      <c r="F86" t="s">
        <v>19</v>
      </c>
      <c r="G86" t="s">
        <v>20</v>
      </c>
      <c r="H86" t="s">
        <v>34</v>
      </c>
      <c r="I86" s="1">
        <v>42573</v>
      </c>
      <c r="J86" s="2">
        <v>43584</v>
      </c>
      <c r="K86">
        <v>3.2585000000000002</v>
      </c>
      <c r="L86" s="2">
        <v>142018.46400000001</v>
      </c>
      <c r="O86" t="s">
        <v>22</v>
      </c>
      <c r="P86" s="2">
        <f>SUMIF(Tabela_padrão__GM_CONV_NOTAS_ENTRADA[SEQ_PLA_PEDIDO],Tabela_GM_PEDIDOS_2017_FIM[[#This Row],[SEQ_PLA_PEDIDO]],Tabela_padrão__GM_CONV_NOTAS_ENTRADA[VALOR_NF])</f>
        <v>0</v>
      </c>
      <c r="Q86" s="2">
        <f t="array" ref="Q86">IF(AND(Tabela_GM_PEDIDOS_2017_FIM[[#This Row],[MOEDA]]="US$",Tabela_GM_PEDIDOS_2017_FIM[[#This Row],[PAGO]]="S"),Tabela_GM_PEDIDOS_2017_FIM[[#This Row],[VALOR_PAGO_REAL]]-Tabela_GM_PEDIDOS_2017_FIM[[#This Row],[VALOR_PAGAR]],0)</f>
        <v>0</v>
      </c>
      <c r="R8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7" spans="1:19" x14ac:dyDescent="0.25">
      <c r="A87" t="s">
        <v>228</v>
      </c>
      <c r="B87">
        <v>11</v>
      </c>
      <c r="C87" t="s">
        <v>16</v>
      </c>
      <c r="D87" t="s">
        <v>36</v>
      </c>
      <c r="E87" t="s">
        <v>18</v>
      </c>
      <c r="F87" t="s">
        <v>19</v>
      </c>
      <c r="G87" t="s">
        <v>20</v>
      </c>
      <c r="H87" t="s">
        <v>229</v>
      </c>
      <c r="I87" s="1">
        <v>42573</v>
      </c>
      <c r="J87" s="2">
        <v>36384</v>
      </c>
      <c r="K87">
        <v>3.2585000000000002</v>
      </c>
      <c r="L87" s="2">
        <v>118557.264</v>
      </c>
      <c r="O87" t="s">
        <v>22</v>
      </c>
      <c r="P87" s="2">
        <f>SUMIF(Tabela_padrão__GM_CONV_NOTAS_ENTRADA[SEQ_PLA_PEDIDO],Tabela_GM_PEDIDOS_2017_FIM[[#This Row],[SEQ_PLA_PEDIDO]],Tabela_padrão__GM_CONV_NOTAS_ENTRADA[VALOR_NF])</f>
        <v>0</v>
      </c>
      <c r="Q87" s="2">
        <f t="array" ref="Q87">IF(AND(Tabela_GM_PEDIDOS_2017_FIM[[#This Row],[MOEDA]]="US$",Tabela_GM_PEDIDOS_2017_FIM[[#This Row],[PAGO]]="S"),Tabela_GM_PEDIDOS_2017_FIM[[#This Row],[VALOR_PAGO_REAL]]-Tabela_GM_PEDIDOS_2017_FIM[[#This Row],[VALOR_PAGAR]],0)</f>
        <v>0</v>
      </c>
      <c r="R8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8" spans="1:19" hidden="1" x14ac:dyDescent="0.25">
      <c r="A88" t="s">
        <v>15</v>
      </c>
      <c r="B88">
        <v>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  <c r="I88" s="1">
        <v>42573</v>
      </c>
      <c r="J88" s="2">
        <v>7220</v>
      </c>
      <c r="K88">
        <v>3.2585000000000002</v>
      </c>
      <c r="L88" s="2">
        <v>23526.37</v>
      </c>
      <c r="O88" t="s">
        <v>22</v>
      </c>
      <c r="P88" s="2">
        <f>SUMIF(Tabela_padrão__GM_CONV_NOTAS_ENTRADA[SEQ_PLA_PEDIDO],Tabela_GM_PEDIDOS_2017_FIM[[#This Row],[SEQ_PLA_PEDIDO]],Tabela_padrão__GM_CONV_NOTAS_ENTRADA[VALOR_NF])</f>
        <v>0</v>
      </c>
      <c r="Q88" s="2">
        <f t="array" ref="Q88">IF(AND(Tabela_GM_PEDIDOS_2017_FIM[[#This Row],[MOEDA]]="US$",Tabela_GM_PEDIDOS_2017_FIM[[#This Row],[PAGO]]="S"),Tabela_GM_PEDIDOS_2017_FIM[[#This Row],[VALOR_PAGO_REAL]]-Tabela_GM_PEDIDOS_2017_FIM[[#This Row],[VALOR_PAGAR]],0)</f>
        <v>0</v>
      </c>
      <c r="R8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89" spans="1:19" hidden="1" x14ac:dyDescent="0.25">
      <c r="A89" t="s">
        <v>240</v>
      </c>
      <c r="B89">
        <v>14</v>
      </c>
      <c r="C89" t="s">
        <v>16</v>
      </c>
      <c r="D89" t="s">
        <v>55</v>
      </c>
      <c r="E89" t="s">
        <v>18</v>
      </c>
      <c r="F89" t="s">
        <v>19</v>
      </c>
      <c r="G89" t="s">
        <v>20</v>
      </c>
      <c r="H89" t="s">
        <v>241</v>
      </c>
      <c r="I89" s="1">
        <v>42573</v>
      </c>
      <c r="J89" s="2">
        <v>10400</v>
      </c>
      <c r="K89">
        <v>3.2585000000000002</v>
      </c>
      <c r="L89" s="2">
        <v>33888.400000000001</v>
      </c>
      <c r="O89" t="s">
        <v>22</v>
      </c>
      <c r="P89" s="2">
        <f>SUMIF(Tabela_padrão__GM_CONV_NOTAS_ENTRADA[SEQ_PLA_PEDIDO],Tabela_GM_PEDIDOS_2017_FIM[[#This Row],[SEQ_PLA_PEDIDO]],Tabela_padrão__GM_CONV_NOTAS_ENTRADA[VALOR_NF])</f>
        <v>0</v>
      </c>
      <c r="Q89" s="2">
        <f t="array" ref="Q89">IF(AND(Tabela_GM_PEDIDOS_2017_FIM[[#This Row],[MOEDA]]="US$",Tabela_GM_PEDIDOS_2017_FIM[[#This Row],[PAGO]]="S"),Tabela_GM_PEDIDOS_2017_FIM[[#This Row],[VALOR_PAGO_REAL]]-Tabela_GM_PEDIDOS_2017_FIM[[#This Row],[VALOR_PAGAR]],0)</f>
        <v>0</v>
      </c>
      <c r="R8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8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0" spans="1:19" hidden="1" x14ac:dyDescent="0.25">
      <c r="A90" t="s">
        <v>48</v>
      </c>
      <c r="B90">
        <v>1</v>
      </c>
      <c r="C90" t="s">
        <v>27</v>
      </c>
      <c r="D90" t="s">
        <v>49</v>
      </c>
      <c r="E90" t="s">
        <v>50</v>
      </c>
      <c r="F90" t="s">
        <v>51</v>
      </c>
      <c r="G90" t="s">
        <v>52</v>
      </c>
      <c r="H90" t="s">
        <v>53</v>
      </c>
      <c r="I90" s="1">
        <v>42578</v>
      </c>
      <c r="J90" s="2">
        <v>35280</v>
      </c>
      <c r="K90">
        <v>1</v>
      </c>
      <c r="L90" s="2">
        <v>35280</v>
      </c>
      <c r="M90" s="2">
        <v>35280</v>
      </c>
      <c r="N90" t="s">
        <v>31</v>
      </c>
      <c r="O90" t="s">
        <v>31</v>
      </c>
      <c r="P90" s="2">
        <f>SUMIF(Tabela_padrão__GM_CONV_NOTAS_ENTRADA[SEQ_PLA_PEDIDO],Tabela_GM_PEDIDOS_2017_FIM[[#This Row],[SEQ_PLA_PEDIDO]],Tabela_padrão__GM_CONV_NOTAS_ENTRADA[VALOR_NF])</f>
        <v>0</v>
      </c>
      <c r="Q90" s="2">
        <f t="array" ref="Q90">IF(AND(Tabela_GM_PEDIDOS_2017_FIM[[#This Row],[MOEDA]]="US$",Tabela_GM_PEDIDOS_2017_FIM[[#This Row],[PAGO]]="S"),Tabela_GM_PEDIDOS_2017_FIM[[#This Row],[VALOR_PAGO_REAL]]-Tabela_GM_PEDIDOS_2017_FIM[[#This Row],[VALOR_PAGAR]],0)</f>
        <v>0</v>
      </c>
      <c r="R9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0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1" spans="1:19" hidden="1" x14ac:dyDescent="0.25">
      <c r="A91" t="s">
        <v>114</v>
      </c>
      <c r="B91">
        <v>15</v>
      </c>
      <c r="C91" t="s">
        <v>27</v>
      </c>
      <c r="D91" t="s">
        <v>55</v>
      </c>
      <c r="E91" t="s">
        <v>18</v>
      </c>
      <c r="F91" t="s">
        <v>19</v>
      </c>
      <c r="G91" t="s">
        <v>37</v>
      </c>
      <c r="H91" t="s">
        <v>115</v>
      </c>
      <c r="I91" s="1">
        <v>42578</v>
      </c>
      <c r="J91" s="2">
        <v>44640</v>
      </c>
      <c r="K91">
        <v>1</v>
      </c>
      <c r="L91" s="2">
        <v>44640</v>
      </c>
      <c r="N91" t="s">
        <v>31</v>
      </c>
      <c r="O91" t="s">
        <v>22</v>
      </c>
      <c r="P91" s="2">
        <f>SUMIF(Tabela_padrão__GM_CONV_NOTAS_ENTRADA[SEQ_PLA_PEDIDO],Tabela_GM_PEDIDOS_2017_FIM[[#This Row],[SEQ_PLA_PEDIDO]],Tabela_padrão__GM_CONV_NOTAS_ENTRADA[VALOR_NF])</f>
        <v>0</v>
      </c>
      <c r="Q91" s="2">
        <f t="array" ref="Q91">IF(AND(Tabela_GM_PEDIDOS_2017_FIM[[#This Row],[MOEDA]]="US$",Tabela_GM_PEDIDOS_2017_FIM[[#This Row],[PAGO]]="S"),Tabela_GM_PEDIDOS_2017_FIM[[#This Row],[VALOR_PAGO_REAL]]-Tabela_GM_PEDIDOS_2017_FIM[[#This Row],[VALOR_PAGAR]],0)</f>
        <v>0</v>
      </c>
      <c r="R9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2" spans="1:19" hidden="1" x14ac:dyDescent="0.25">
      <c r="A92" t="s">
        <v>262</v>
      </c>
      <c r="B92">
        <v>18</v>
      </c>
      <c r="C92" t="s">
        <v>27</v>
      </c>
      <c r="D92" t="s">
        <v>24</v>
      </c>
      <c r="E92" t="s">
        <v>50</v>
      </c>
      <c r="F92" t="s">
        <v>51</v>
      </c>
      <c r="G92" t="s">
        <v>52</v>
      </c>
      <c r="H92" t="s">
        <v>263</v>
      </c>
      <c r="I92" s="1">
        <v>42584</v>
      </c>
      <c r="J92" s="2">
        <v>36302.400000000001</v>
      </c>
      <c r="K92">
        <v>1</v>
      </c>
      <c r="L92" s="2">
        <v>36302.400000000001</v>
      </c>
      <c r="M92" s="2">
        <v>36302.400000000001</v>
      </c>
      <c r="N92" t="s">
        <v>31</v>
      </c>
      <c r="O92" t="s">
        <v>31</v>
      </c>
      <c r="P92" s="2">
        <f>SUMIF(Tabela_padrão__GM_CONV_NOTAS_ENTRADA[SEQ_PLA_PEDIDO],Tabela_GM_PEDIDOS_2017_FIM[[#This Row],[SEQ_PLA_PEDIDO]],Tabela_padrão__GM_CONV_NOTAS_ENTRADA[VALOR_NF])</f>
        <v>0</v>
      </c>
      <c r="Q92" s="2">
        <f t="array" ref="Q92">IF(AND(Tabela_GM_PEDIDOS_2017_FIM[[#This Row],[MOEDA]]="US$",Tabela_GM_PEDIDOS_2017_FIM[[#This Row],[PAGO]]="S"),Tabela_GM_PEDIDOS_2017_FIM[[#This Row],[VALOR_PAGO_REAL]]-Tabela_GM_PEDIDOS_2017_FIM[[#This Row],[VALOR_PAGAR]],0)</f>
        <v>0</v>
      </c>
      <c r="R9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2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3" spans="1:19" hidden="1" x14ac:dyDescent="0.25">
      <c r="A93" t="s">
        <v>260</v>
      </c>
      <c r="B93">
        <v>19</v>
      </c>
      <c r="C93" t="s">
        <v>16</v>
      </c>
      <c r="D93" t="s">
        <v>24</v>
      </c>
      <c r="E93" t="s">
        <v>18</v>
      </c>
      <c r="F93" t="s">
        <v>19</v>
      </c>
      <c r="G93" t="s">
        <v>20</v>
      </c>
      <c r="H93" t="s">
        <v>261</v>
      </c>
      <c r="I93" s="1">
        <v>42569</v>
      </c>
      <c r="J93" s="2">
        <v>55456</v>
      </c>
      <c r="K93">
        <v>3.2656000000000001</v>
      </c>
      <c r="L93" s="2">
        <v>181097.11360000001</v>
      </c>
      <c r="O93" t="s">
        <v>22</v>
      </c>
      <c r="P93" s="2">
        <f>SUMIF(Tabela_padrão__GM_CONV_NOTAS_ENTRADA[SEQ_PLA_PEDIDO],Tabela_GM_PEDIDOS_2017_FIM[[#This Row],[SEQ_PLA_PEDIDO]],Tabela_padrão__GM_CONV_NOTAS_ENTRADA[VALOR_NF])</f>
        <v>22358.99</v>
      </c>
      <c r="Q93" s="2">
        <f t="array" ref="Q93">IF(AND(Tabela_GM_PEDIDOS_2017_FIM[[#This Row],[MOEDA]]="US$",Tabela_GM_PEDIDOS_2017_FIM[[#This Row],[PAGO]]="S"),Tabela_GM_PEDIDOS_2017_FIM[[#This Row],[VALOR_PAGO_REAL]]-Tabela_GM_PEDIDOS_2017_FIM[[#This Row],[VALOR_PAGAR]],0)</f>
        <v>0</v>
      </c>
      <c r="R9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4" spans="1:19" hidden="1" x14ac:dyDescent="0.25">
      <c r="A94" t="s">
        <v>143</v>
      </c>
      <c r="B94">
        <v>20</v>
      </c>
      <c r="C94" t="s">
        <v>16</v>
      </c>
      <c r="D94" t="s">
        <v>24</v>
      </c>
      <c r="E94" t="s">
        <v>18</v>
      </c>
      <c r="F94" t="s">
        <v>19</v>
      </c>
      <c r="G94" t="s">
        <v>20</v>
      </c>
      <c r="H94" t="s">
        <v>144</v>
      </c>
      <c r="I94" s="1">
        <v>42585</v>
      </c>
      <c r="J94" s="2">
        <v>204190</v>
      </c>
      <c r="K94">
        <v>3.2490000000000001</v>
      </c>
      <c r="L94" s="2">
        <v>663413.31000000006</v>
      </c>
      <c r="O94" t="s">
        <v>22</v>
      </c>
      <c r="P94" s="2">
        <f>SUMIF(Tabela_padrão__GM_CONV_NOTAS_ENTRADA[SEQ_PLA_PEDIDO],Tabela_GM_PEDIDOS_2017_FIM[[#This Row],[SEQ_PLA_PEDIDO]],Tabela_padrão__GM_CONV_NOTAS_ENTRADA[VALOR_NF])</f>
        <v>0</v>
      </c>
      <c r="Q94" s="2">
        <f t="array" ref="Q94">IF(AND(Tabela_GM_PEDIDOS_2017_FIM[[#This Row],[MOEDA]]="US$",Tabela_GM_PEDIDOS_2017_FIM[[#This Row],[PAGO]]="S"),Tabela_GM_PEDIDOS_2017_FIM[[#This Row],[VALOR_PAGO_REAL]]-Tabela_GM_PEDIDOS_2017_FIM[[#This Row],[VALOR_PAGAR]],0)</f>
        <v>0</v>
      </c>
      <c r="R9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5" spans="1:19" x14ac:dyDescent="0.25">
      <c r="A95" t="s">
        <v>64</v>
      </c>
      <c r="B95">
        <v>12</v>
      </c>
      <c r="C95" t="s">
        <v>16</v>
      </c>
      <c r="D95" t="s">
        <v>36</v>
      </c>
      <c r="E95" t="s">
        <v>18</v>
      </c>
      <c r="F95" t="s">
        <v>19</v>
      </c>
      <c r="G95" t="s">
        <v>20</v>
      </c>
      <c r="H95" t="s">
        <v>65</v>
      </c>
      <c r="I95" s="1">
        <v>42585</v>
      </c>
      <c r="J95" s="2">
        <v>25080</v>
      </c>
      <c r="K95">
        <v>3.2490000000000001</v>
      </c>
      <c r="L95" s="2">
        <v>81484.92</v>
      </c>
      <c r="O95" t="s">
        <v>22</v>
      </c>
      <c r="P95" s="2">
        <f>SUMIF(Tabela_padrão__GM_CONV_NOTAS_ENTRADA[SEQ_PLA_PEDIDO],Tabela_GM_PEDIDOS_2017_FIM[[#This Row],[SEQ_PLA_PEDIDO]],Tabela_padrão__GM_CONV_NOTAS_ENTRADA[VALOR_NF])</f>
        <v>0</v>
      </c>
      <c r="Q95" s="2">
        <f t="array" ref="Q95">IF(AND(Tabela_GM_PEDIDOS_2017_FIM[[#This Row],[MOEDA]]="US$",Tabela_GM_PEDIDOS_2017_FIM[[#This Row],[PAGO]]="S"),Tabela_GM_PEDIDOS_2017_FIM[[#This Row],[VALOR_PAGO_REAL]]-Tabela_GM_PEDIDOS_2017_FIM[[#This Row],[VALOR_PAGAR]],0)</f>
        <v>0</v>
      </c>
      <c r="R9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6" spans="1:19" hidden="1" x14ac:dyDescent="0.25">
      <c r="A96" t="s">
        <v>222</v>
      </c>
      <c r="B96">
        <v>16</v>
      </c>
      <c r="C96" t="s">
        <v>16</v>
      </c>
      <c r="D96" t="s">
        <v>55</v>
      </c>
      <c r="E96" t="s">
        <v>18</v>
      </c>
      <c r="F96" t="s">
        <v>19</v>
      </c>
      <c r="G96" t="s">
        <v>20</v>
      </c>
      <c r="H96" t="s">
        <v>223</v>
      </c>
      <c r="I96" s="1">
        <v>42585</v>
      </c>
      <c r="J96" s="2">
        <v>9725</v>
      </c>
      <c r="K96">
        <v>3.2490000000000001</v>
      </c>
      <c r="L96" s="2">
        <v>31596.525000000001</v>
      </c>
      <c r="O96" t="s">
        <v>22</v>
      </c>
      <c r="P96" s="2">
        <f>SUMIF(Tabela_padrão__GM_CONV_NOTAS_ENTRADA[SEQ_PLA_PEDIDO],Tabela_GM_PEDIDOS_2017_FIM[[#This Row],[SEQ_PLA_PEDIDO]],Tabela_padrão__GM_CONV_NOTAS_ENTRADA[VALOR_NF])</f>
        <v>0</v>
      </c>
      <c r="Q96" s="2">
        <f t="array" ref="Q96">IF(AND(Tabela_GM_PEDIDOS_2017_FIM[[#This Row],[MOEDA]]="US$",Tabela_GM_PEDIDOS_2017_FIM[[#This Row],[PAGO]]="S"),Tabela_GM_PEDIDOS_2017_FIM[[#This Row],[VALOR_PAGO_REAL]]-Tabela_GM_PEDIDOS_2017_FIM[[#This Row],[VALOR_PAGAR]],0)</f>
        <v>0</v>
      </c>
      <c r="R9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7" spans="1:19" hidden="1" x14ac:dyDescent="0.25">
      <c r="A97" t="s">
        <v>59</v>
      </c>
      <c r="B97">
        <v>6</v>
      </c>
      <c r="C97" t="s">
        <v>16</v>
      </c>
      <c r="D97" t="s">
        <v>60</v>
      </c>
      <c r="E97" t="s">
        <v>18</v>
      </c>
      <c r="F97" t="s">
        <v>19</v>
      </c>
      <c r="G97" t="s">
        <v>20</v>
      </c>
      <c r="H97" t="s">
        <v>61</v>
      </c>
      <c r="I97" s="1">
        <v>42585</v>
      </c>
      <c r="J97" s="2">
        <v>1575</v>
      </c>
      <c r="K97">
        <v>3.2490000000000001</v>
      </c>
      <c r="L97" s="2">
        <v>5117.1750000000002</v>
      </c>
      <c r="O97" t="s">
        <v>22</v>
      </c>
      <c r="P97" s="2">
        <f>SUMIF(Tabela_padrão__GM_CONV_NOTAS_ENTRADA[SEQ_PLA_PEDIDO],Tabela_GM_PEDIDOS_2017_FIM[[#This Row],[SEQ_PLA_PEDIDO]],Tabela_padrão__GM_CONV_NOTAS_ENTRADA[VALOR_NF])</f>
        <v>0</v>
      </c>
      <c r="Q97" s="2">
        <f t="array" ref="Q97">IF(AND(Tabela_GM_PEDIDOS_2017_FIM[[#This Row],[MOEDA]]="US$",Tabela_GM_PEDIDOS_2017_FIM[[#This Row],[PAGO]]="S"),Tabela_GM_PEDIDOS_2017_FIM[[#This Row],[VALOR_PAGO_REAL]]-Tabela_GM_PEDIDOS_2017_FIM[[#This Row],[VALOR_PAGAR]],0)</f>
        <v>0</v>
      </c>
      <c r="R9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8" spans="1:19" hidden="1" x14ac:dyDescent="0.25">
      <c r="A98" t="s">
        <v>106</v>
      </c>
      <c r="B98">
        <v>6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107</v>
      </c>
      <c r="I98" s="1">
        <v>42585</v>
      </c>
      <c r="J98" s="2">
        <v>1575</v>
      </c>
      <c r="K98">
        <v>3.2490000000000001</v>
      </c>
      <c r="L98" s="2">
        <v>5117.1750000000002</v>
      </c>
      <c r="O98" t="s">
        <v>22</v>
      </c>
      <c r="P98" s="2">
        <f>SUMIF(Tabela_padrão__GM_CONV_NOTAS_ENTRADA[SEQ_PLA_PEDIDO],Tabela_GM_PEDIDOS_2017_FIM[[#This Row],[SEQ_PLA_PEDIDO]],Tabela_padrão__GM_CONV_NOTAS_ENTRADA[VALOR_NF])</f>
        <v>0</v>
      </c>
      <c r="Q98" s="2">
        <f t="array" ref="Q98">IF(AND(Tabela_GM_PEDIDOS_2017_FIM[[#This Row],[MOEDA]]="US$",Tabela_GM_PEDIDOS_2017_FIM[[#This Row],[PAGO]]="S"),Tabela_GM_PEDIDOS_2017_FIM[[#This Row],[VALOR_PAGO_REAL]]-Tabela_GM_PEDIDOS_2017_FIM[[#This Row],[VALOR_PAGAR]],0)</f>
        <v>0</v>
      </c>
      <c r="R9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99" spans="1:19" hidden="1" x14ac:dyDescent="0.25">
      <c r="A99" t="s">
        <v>244</v>
      </c>
      <c r="B99">
        <v>8</v>
      </c>
      <c r="C99" t="s">
        <v>16</v>
      </c>
      <c r="D99" t="s">
        <v>33</v>
      </c>
      <c r="E99" t="s">
        <v>18</v>
      </c>
      <c r="F99" t="s">
        <v>19</v>
      </c>
      <c r="G99" t="s">
        <v>20</v>
      </c>
      <c r="H99" t="s">
        <v>245</v>
      </c>
      <c r="I99" s="1">
        <v>42585</v>
      </c>
      <c r="J99" s="2">
        <v>13800</v>
      </c>
      <c r="K99">
        <v>3.2490000000000001</v>
      </c>
      <c r="L99" s="2">
        <v>44836.2</v>
      </c>
      <c r="O99" t="s">
        <v>22</v>
      </c>
      <c r="P99" s="2">
        <f>SUMIF(Tabela_padrão__GM_CONV_NOTAS_ENTRADA[SEQ_PLA_PEDIDO],Tabela_GM_PEDIDOS_2017_FIM[[#This Row],[SEQ_PLA_PEDIDO]],Tabela_padrão__GM_CONV_NOTAS_ENTRADA[VALOR_NF])</f>
        <v>0</v>
      </c>
      <c r="Q99" s="2">
        <f t="array" ref="Q99">IF(AND(Tabela_GM_PEDIDOS_2017_FIM[[#This Row],[MOEDA]]="US$",Tabela_GM_PEDIDOS_2017_FIM[[#This Row],[PAGO]]="S"),Tabela_GM_PEDIDOS_2017_FIM[[#This Row],[VALOR_PAGO_REAL]]-Tabela_GM_PEDIDOS_2017_FIM[[#This Row],[VALOR_PAGAR]],0)</f>
        <v>0</v>
      </c>
      <c r="R9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9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0" spans="1:19" hidden="1" x14ac:dyDescent="0.25">
      <c r="A100" t="s">
        <v>133</v>
      </c>
      <c r="B100">
        <v>5</v>
      </c>
      <c r="C100" t="s">
        <v>16</v>
      </c>
      <c r="D100" t="s">
        <v>131</v>
      </c>
      <c r="E100" t="s">
        <v>18</v>
      </c>
      <c r="F100" t="s">
        <v>19</v>
      </c>
      <c r="G100" t="s">
        <v>20</v>
      </c>
      <c r="H100" t="s">
        <v>134</v>
      </c>
      <c r="I100" s="1">
        <v>42585</v>
      </c>
      <c r="J100" s="2">
        <v>4260</v>
      </c>
      <c r="K100">
        <v>3.2490000000000001</v>
      </c>
      <c r="L100" s="2">
        <v>13840.74</v>
      </c>
      <c r="O100" t="s">
        <v>22</v>
      </c>
      <c r="P100" s="2">
        <f>SUMIF(Tabela_padrão__GM_CONV_NOTAS_ENTRADA[SEQ_PLA_PEDIDO],Tabela_GM_PEDIDOS_2017_FIM[[#This Row],[SEQ_PLA_PEDIDO]],Tabela_padrão__GM_CONV_NOTAS_ENTRADA[VALOR_NF])</f>
        <v>0</v>
      </c>
      <c r="Q100" s="2">
        <f t="array" ref="Q100">IF(AND(Tabela_GM_PEDIDOS_2017_FIM[[#This Row],[MOEDA]]="US$",Tabela_GM_PEDIDOS_2017_FIM[[#This Row],[PAGO]]="S"),Tabela_GM_PEDIDOS_2017_FIM[[#This Row],[VALOR_PAGO_REAL]]-Tabela_GM_PEDIDOS_2017_FIM[[#This Row],[VALOR_PAGAR]],0)</f>
        <v>0</v>
      </c>
      <c r="R10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1" spans="1:19" hidden="1" x14ac:dyDescent="0.25">
      <c r="A101" t="s">
        <v>46</v>
      </c>
      <c r="B101">
        <v>11</v>
      </c>
      <c r="C101" t="s">
        <v>16</v>
      </c>
      <c r="D101" t="s">
        <v>28</v>
      </c>
      <c r="E101" t="s">
        <v>18</v>
      </c>
      <c r="F101" t="s">
        <v>19</v>
      </c>
      <c r="G101" t="s">
        <v>20</v>
      </c>
      <c r="H101" t="s">
        <v>47</v>
      </c>
      <c r="I101" s="1">
        <v>42585</v>
      </c>
      <c r="J101" s="2">
        <v>21025</v>
      </c>
      <c r="K101">
        <v>3.2490000000000001</v>
      </c>
      <c r="L101" s="2">
        <v>68310.225000000006</v>
      </c>
      <c r="O101" t="s">
        <v>22</v>
      </c>
      <c r="P101" s="2">
        <f>SUMIF(Tabela_padrão__GM_CONV_NOTAS_ENTRADA[SEQ_PLA_PEDIDO],Tabela_GM_PEDIDOS_2017_FIM[[#This Row],[SEQ_PLA_PEDIDO]],Tabela_padrão__GM_CONV_NOTAS_ENTRADA[VALOR_NF])</f>
        <v>0</v>
      </c>
      <c r="Q101" s="2">
        <f t="array" ref="Q101">IF(AND(Tabela_GM_PEDIDOS_2017_FIM[[#This Row],[MOEDA]]="US$",Tabela_GM_PEDIDOS_2017_FIM[[#This Row],[PAGO]]="S"),Tabela_GM_PEDIDOS_2017_FIM[[#This Row],[VALOR_PAGO_REAL]]-Tabela_GM_PEDIDOS_2017_FIM[[#This Row],[VALOR_PAGAR]],0)</f>
        <v>0</v>
      </c>
      <c r="R10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2" spans="1:19" hidden="1" x14ac:dyDescent="0.25">
      <c r="A102" t="s">
        <v>205</v>
      </c>
      <c r="B102">
        <v>21</v>
      </c>
      <c r="C102" t="s">
        <v>27</v>
      </c>
      <c r="D102" t="s">
        <v>24</v>
      </c>
      <c r="E102" t="s">
        <v>18</v>
      </c>
      <c r="F102" t="s">
        <v>19</v>
      </c>
      <c r="G102" t="s">
        <v>42</v>
      </c>
      <c r="H102" t="s">
        <v>206</v>
      </c>
      <c r="I102" s="1">
        <v>42571</v>
      </c>
      <c r="J102" s="2">
        <v>2096825</v>
      </c>
      <c r="K102">
        <v>1</v>
      </c>
      <c r="L102" s="2">
        <v>2096825</v>
      </c>
      <c r="O102" t="s">
        <v>22</v>
      </c>
      <c r="P102" s="2">
        <f>SUMIF(Tabela_padrão__GM_CONV_NOTAS_ENTRADA[SEQ_PLA_PEDIDO],Tabela_GM_PEDIDOS_2017_FIM[[#This Row],[SEQ_PLA_PEDIDO]],Tabela_padrão__GM_CONV_NOTAS_ENTRADA[VALOR_NF])</f>
        <v>0</v>
      </c>
      <c r="Q102" s="2">
        <f t="array" ref="Q102">IF(AND(Tabela_GM_PEDIDOS_2017_FIM[[#This Row],[MOEDA]]="US$",Tabela_GM_PEDIDOS_2017_FIM[[#This Row],[PAGO]]="S"),Tabela_GM_PEDIDOS_2017_FIM[[#This Row],[VALOR_PAGO_REAL]]-Tabela_GM_PEDIDOS_2017_FIM[[#This Row],[VALOR_PAGAR]],0)</f>
        <v>0</v>
      </c>
      <c r="R10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3" spans="1:19" hidden="1" x14ac:dyDescent="0.25">
      <c r="A103" t="s">
        <v>166</v>
      </c>
      <c r="B103">
        <v>22</v>
      </c>
      <c r="C103" t="s">
        <v>27</v>
      </c>
      <c r="D103" t="s">
        <v>24</v>
      </c>
      <c r="E103" t="s">
        <v>18</v>
      </c>
      <c r="F103" t="s">
        <v>19</v>
      </c>
      <c r="G103" t="s">
        <v>42</v>
      </c>
      <c r="H103" t="s">
        <v>167</v>
      </c>
      <c r="I103" s="1">
        <v>42571</v>
      </c>
      <c r="J103" s="2">
        <v>193590</v>
      </c>
      <c r="K103">
        <v>1</v>
      </c>
      <c r="L103" s="2">
        <v>193590</v>
      </c>
      <c r="O103" t="s">
        <v>22</v>
      </c>
      <c r="P103" s="2">
        <f>SUMIF(Tabela_padrão__GM_CONV_NOTAS_ENTRADA[SEQ_PLA_PEDIDO],Tabela_GM_PEDIDOS_2017_FIM[[#This Row],[SEQ_PLA_PEDIDO]],Tabela_padrão__GM_CONV_NOTAS_ENTRADA[VALOR_NF])</f>
        <v>0</v>
      </c>
      <c r="Q103" s="2">
        <f t="array" ref="Q103">IF(AND(Tabela_GM_PEDIDOS_2017_FIM[[#This Row],[MOEDA]]="US$",Tabela_GM_PEDIDOS_2017_FIM[[#This Row],[PAGO]]="S"),Tabela_GM_PEDIDOS_2017_FIM[[#This Row],[VALOR_PAGO_REAL]]-Tabela_GM_PEDIDOS_2017_FIM[[#This Row],[VALOR_PAGAR]],0)</f>
        <v>0</v>
      </c>
      <c r="R10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4" spans="1:19" hidden="1" x14ac:dyDescent="0.25">
      <c r="A104" t="s">
        <v>76</v>
      </c>
      <c r="B104">
        <v>23</v>
      </c>
      <c r="C104" t="s">
        <v>27</v>
      </c>
      <c r="D104" t="s">
        <v>24</v>
      </c>
      <c r="E104" t="s">
        <v>18</v>
      </c>
      <c r="F104" t="s">
        <v>19</v>
      </c>
      <c r="G104" t="s">
        <v>42</v>
      </c>
      <c r="H104" t="s">
        <v>77</v>
      </c>
      <c r="I104" s="1">
        <v>42571</v>
      </c>
      <c r="J104" s="2">
        <v>669882.5</v>
      </c>
      <c r="K104">
        <v>1</v>
      </c>
      <c r="L104" s="2">
        <v>669882.5</v>
      </c>
      <c r="O104" t="s">
        <v>22</v>
      </c>
      <c r="P104" s="2">
        <f>SUMIF(Tabela_padrão__GM_CONV_NOTAS_ENTRADA[SEQ_PLA_PEDIDO],Tabela_GM_PEDIDOS_2017_FIM[[#This Row],[SEQ_PLA_PEDIDO]],Tabela_padrão__GM_CONV_NOTAS_ENTRADA[VALOR_NF])</f>
        <v>0</v>
      </c>
      <c r="Q104" s="2">
        <f t="array" ref="Q104">IF(AND(Tabela_GM_PEDIDOS_2017_FIM[[#This Row],[MOEDA]]="US$",Tabela_GM_PEDIDOS_2017_FIM[[#This Row],[PAGO]]="S"),Tabela_GM_PEDIDOS_2017_FIM[[#This Row],[VALOR_PAGO_REAL]]-Tabela_GM_PEDIDOS_2017_FIM[[#This Row],[VALOR_PAGAR]],0)</f>
        <v>0</v>
      </c>
      <c r="R10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5" spans="1:19" x14ac:dyDescent="0.25">
      <c r="A105" t="s">
        <v>168</v>
      </c>
      <c r="B105">
        <v>13</v>
      </c>
      <c r="C105" t="s">
        <v>27</v>
      </c>
      <c r="D105" t="s">
        <v>36</v>
      </c>
      <c r="E105" t="s">
        <v>18</v>
      </c>
      <c r="F105" t="s">
        <v>19</v>
      </c>
      <c r="G105" t="s">
        <v>42</v>
      </c>
      <c r="H105" t="s">
        <v>169</v>
      </c>
      <c r="I105" s="1">
        <v>42571</v>
      </c>
      <c r="J105" s="2">
        <v>391850</v>
      </c>
      <c r="K105">
        <v>1</v>
      </c>
      <c r="L105" s="2">
        <v>391850</v>
      </c>
      <c r="O105" t="s">
        <v>22</v>
      </c>
      <c r="P105" s="2">
        <f>SUMIF(Tabela_padrão__GM_CONV_NOTAS_ENTRADA[SEQ_PLA_PEDIDO],Tabela_GM_PEDIDOS_2017_FIM[[#This Row],[SEQ_PLA_PEDIDO]],Tabela_padrão__GM_CONV_NOTAS_ENTRADA[VALOR_NF])</f>
        <v>0</v>
      </c>
      <c r="Q105" s="2">
        <f t="array" ref="Q105">IF(AND(Tabela_GM_PEDIDOS_2017_FIM[[#This Row],[MOEDA]]="US$",Tabela_GM_PEDIDOS_2017_FIM[[#This Row],[PAGO]]="S"),Tabela_GM_PEDIDOS_2017_FIM[[#This Row],[VALOR_PAGO_REAL]]-Tabela_GM_PEDIDOS_2017_FIM[[#This Row],[VALOR_PAGAR]],0)</f>
        <v>0</v>
      </c>
      <c r="R10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6" spans="1:19" hidden="1" x14ac:dyDescent="0.25">
      <c r="A106" t="s">
        <v>126</v>
      </c>
      <c r="B106">
        <v>17</v>
      </c>
      <c r="C106" t="s">
        <v>27</v>
      </c>
      <c r="D106" t="s">
        <v>55</v>
      </c>
      <c r="E106" t="s">
        <v>18</v>
      </c>
      <c r="F106" t="s">
        <v>19</v>
      </c>
      <c r="G106" t="s">
        <v>42</v>
      </c>
      <c r="H106" t="s">
        <v>127</v>
      </c>
      <c r="I106" s="1">
        <v>42571</v>
      </c>
      <c r="J106" s="2">
        <v>242310</v>
      </c>
      <c r="K106">
        <v>1</v>
      </c>
      <c r="L106" s="2">
        <v>242310</v>
      </c>
      <c r="O106" t="s">
        <v>22</v>
      </c>
      <c r="P106" s="2">
        <f>SUMIF(Tabela_padrão__GM_CONV_NOTAS_ENTRADA[SEQ_PLA_PEDIDO],Tabela_GM_PEDIDOS_2017_FIM[[#This Row],[SEQ_PLA_PEDIDO]],Tabela_padrão__GM_CONV_NOTAS_ENTRADA[VALOR_NF])</f>
        <v>0</v>
      </c>
      <c r="Q106" s="2">
        <f t="array" ref="Q106">IF(AND(Tabela_GM_PEDIDOS_2017_FIM[[#This Row],[MOEDA]]="US$",Tabela_GM_PEDIDOS_2017_FIM[[#This Row],[PAGO]]="S"),Tabela_GM_PEDIDOS_2017_FIM[[#This Row],[VALOR_PAGO_REAL]]-Tabela_GM_PEDIDOS_2017_FIM[[#This Row],[VALOR_PAGAR]],0)</f>
        <v>0</v>
      </c>
      <c r="R10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7" spans="1:19" x14ac:dyDescent="0.25">
      <c r="A107" t="s">
        <v>216</v>
      </c>
      <c r="B107">
        <v>14</v>
      </c>
      <c r="C107" t="s">
        <v>27</v>
      </c>
      <c r="D107" t="s">
        <v>36</v>
      </c>
      <c r="E107" t="s">
        <v>18</v>
      </c>
      <c r="F107" t="s">
        <v>19</v>
      </c>
      <c r="G107" t="s">
        <v>29</v>
      </c>
      <c r="H107" t="s">
        <v>217</v>
      </c>
      <c r="I107" s="1">
        <v>42587</v>
      </c>
      <c r="J107" s="2">
        <v>1763.96</v>
      </c>
      <c r="K107">
        <v>1</v>
      </c>
      <c r="L107" s="2">
        <v>1763.96</v>
      </c>
      <c r="N107" t="s">
        <v>31</v>
      </c>
      <c r="O107" t="s">
        <v>22</v>
      </c>
      <c r="P107" s="2">
        <f>SUMIF(Tabela_padrão__GM_CONV_NOTAS_ENTRADA[SEQ_PLA_PEDIDO],Tabela_GM_PEDIDOS_2017_FIM[[#This Row],[SEQ_PLA_PEDIDO]],Tabela_padrão__GM_CONV_NOTAS_ENTRADA[VALOR_NF])</f>
        <v>0</v>
      </c>
      <c r="Q107" s="2">
        <f t="array" ref="Q107">IF(AND(Tabela_GM_PEDIDOS_2017_FIM[[#This Row],[MOEDA]]="US$",Tabela_GM_PEDIDOS_2017_FIM[[#This Row],[PAGO]]="S"),Tabela_GM_PEDIDOS_2017_FIM[[#This Row],[VALOR_PAGO_REAL]]-Tabela_GM_PEDIDOS_2017_FIM[[#This Row],[VALOR_PAGAR]],0)</f>
        <v>0</v>
      </c>
      <c r="R10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8" spans="1:19" hidden="1" x14ac:dyDescent="0.25">
      <c r="A108" t="s">
        <v>102</v>
      </c>
      <c r="B108">
        <v>2</v>
      </c>
      <c r="C108" t="s">
        <v>27</v>
      </c>
      <c r="D108" t="s">
        <v>49</v>
      </c>
      <c r="E108" t="s">
        <v>50</v>
      </c>
      <c r="F108" t="s">
        <v>51</v>
      </c>
      <c r="G108" t="s">
        <v>52</v>
      </c>
      <c r="H108" t="s">
        <v>103</v>
      </c>
      <c r="I108" s="1">
        <v>42588</v>
      </c>
      <c r="J108" s="2">
        <v>37008</v>
      </c>
      <c r="K108">
        <v>1</v>
      </c>
      <c r="L108" s="2">
        <v>37008</v>
      </c>
      <c r="M108" s="2">
        <v>37008</v>
      </c>
      <c r="N108" t="s">
        <v>31</v>
      </c>
      <c r="O108" t="s">
        <v>31</v>
      </c>
      <c r="P108" s="2">
        <f>SUMIF(Tabela_padrão__GM_CONV_NOTAS_ENTRADA[SEQ_PLA_PEDIDO],Tabela_GM_PEDIDOS_2017_FIM[[#This Row],[SEQ_PLA_PEDIDO]],Tabela_padrão__GM_CONV_NOTAS_ENTRADA[VALOR_NF])</f>
        <v>0</v>
      </c>
      <c r="Q108" s="2">
        <f t="array" ref="Q108">IF(AND(Tabela_GM_PEDIDOS_2017_FIM[[#This Row],[MOEDA]]="US$",Tabela_GM_PEDIDOS_2017_FIM[[#This Row],[PAGO]]="S"),Tabela_GM_PEDIDOS_2017_FIM[[#This Row],[VALOR_PAGO_REAL]]-Tabela_GM_PEDIDOS_2017_FIM[[#This Row],[VALOR_PAGAR]],0)</f>
        <v>0</v>
      </c>
      <c r="R10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8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09" spans="1:19" hidden="1" x14ac:dyDescent="0.25">
      <c r="A109" t="s">
        <v>185</v>
      </c>
      <c r="B109">
        <v>24</v>
      </c>
      <c r="C109" t="s">
        <v>16</v>
      </c>
      <c r="D109" t="s">
        <v>24</v>
      </c>
      <c r="E109" t="s">
        <v>18</v>
      </c>
      <c r="F109" t="s">
        <v>19</v>
      </c>
      <c r="G109" t="s">
        <v>20</v>
      </c>
      <c r="H109" t="s">
        <v>186</v>
      </c>
      <c r="I109" s="1">
        <v>42590</v>
      </c>
      <c r="J109" s="2">
        <v>34020</v>
      </c>
      <c r="K109">
        <v>3.1859000000000002</v>
      </c>
      <c r="L109" s="2">
        <v>108384.318</v>
      </c>
      <c r="O109" t="s">
        <v>22</v>
      </c>
      <c r="P109" s="2">
        <f>SUMIF(Tabela_padrão__GM_CONV_NOTAS_ENTRADA[SEQ_PLA_PEDIDO],Tabela_GM_PEDIDOS_2017_FIM[[#This Row],[SEQ_PLA_PEDIDO]],Tabela_padrão__GM_CONV_NOTAS_ENTRADA[VALOR_NF])</f>
        <v>0</v>
      </c>
      <c r="Q109" s="2">
        <f t="array" ref="Q109">IF(AND(Tabela_GM_PEDIDOS_2017_FIM[[#This Row],[MOEDA]]="US$",Tabela_GM_PEDIDOS_2017_FIM[[#This Row],[PAGO]]="S"),Tabela_GM_PEDIDOS_2017_FIM[[#This Row],[VALOR_PAGO_REAL]]-Tabela_GM_PEDIDOS_2017_FIM[[#This Row],[VALOR_PAGAR]],0)</f>
        <v>0</v>
      </c>
      <c r="R10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0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0" spans="1:19" hidden="1" x14ac:dyDescent="0.25">
      <c r="A110" t="s">
        <v>68</v>
      </c>
      <c r="B110">
        <v>3</v>
      </c>
      <c r="C110" t="s">
        <v>27</v>
      </c>
      <c r="D110" t="s">
        <v>49</v>
      </c>
      <c r="E110" t="s">
        <v>18</v>
      </c>
      <c r="F110" t="s">
        <v>19</v>
      </c>
      <c r="G110" t="s">
        <v>37</v>
      </c>
      <c r="H110" t="s">
        <v>69</v>
      </c>
      <c r="I110" s="1">
        <v>42586</v>
      </c>
      <c r="J110" s="2">
        <v>9027.5</v>
      </c>
      <c r="K110">
        <v>1</v>
      </c>
      <c r="L110" s="2">
        <v>9027.5</v>
      </c>
      <c r="O110" t="s">
        <v>22</v>
      </c>
      <c r="P110" s="2">
        <f>SUMIF(Tabela_padrão__GM_CONV_NOTAS_ENTRADA[SEQ_PLA_PEDIDO],Tabela_GM_PEDIDOS_2017_FIM[[#This Row],[SEQ_PLA_PEDIDO]],Tabela_padrão__GM_CONV_NOTAS_ENTRADA[VALOR_NF])</f>
        <v>0</v>
      </c>
      <c r="Q110" s="2">
        <f t="array" ref="Q110">IF(AND(Tabela_GM_PEDIDOS_2017_FIM[[#This Row],[MOEDA]]="US$",Tabela_GM_PEDIDOS_2017_FIM[[#This Row],[PAGO]]="S"),Tabela_GM_PEDIDOS_2017_FIM[[#This Row],[VALOR_PAGO_REAL]]-Tabela_GM_PEDIDOS_2017_FIM[[#This Row],[VALOR_PAGAR]],0)</f>
        <v>0</v>
      </c>
      <c r="R11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1" spans="1:19" hidden="1" x14ac:dyDescent="0.25">
      <c r="A111" t="s">
        <v>23</v>
      </c>
      <c r="B111">
        <v>25</v>
      </c>
      <c r="C111" t="s">
        <v>16</v>
      </c>
      <c r="D111" t="s">
        <v>24</v>
      </c>
      <c r="E111" t="s">
        <v>18</v>
      </c>
      <c r="F111" t="s">
        <v>19</v>
      </c>
      <c r="G111" t="s">
        <v>20</v>
      </c>
      <c r="H111" t="s">
        <v>25</v>
      </c>
      <c r="I111" s="1">
        <v>42585</v>
      </c>
      <c r="J111" s="2">
        <v>136000</v>
      </c>
      <c r="K111">
        <v>3.2490000000000001</v>
      </c>
      <c r="L111" s="2">
        <v>441864</v>
      </c>
      <c r="O111" t="s">
        <v>22</v>
      </c>
      <c r="P111" s="2">
        <f>SUMIF(Tabela_padrão__GM_CONV_NOTAS_ENTRADA[SEQ_PLA_PEDIDO],Tabela_GM_PEDIDOS_2017_FIM[[#This Row],[SEQ_PLA_PEDIDO]],Tabela_padrão__GM_CONV_NOTAS_ENTRADA[VALOR_NF])</f>
        <v>0</v>
      </c>
      <c r="Q111" s="2">
        <f t="array" ref="Q111">IF(AND(Tabela_GM_PEDIDOS_2017_FIM[[#This Row],[MOEDA]]="US$",Tabela_GM_PEDIDOS_2017_FIM[[#This Row],[PAGO]]="S"),Tabela_GM_PEDIDOS_2017_FIM[[#This Row],[VALOR_PAGO_REAL]]-Tabela_GM_PEDIDOS_2017_FIM[[#This Row],[VALOR_PAGAR]],0)</f>
        <v>0</v>
      </c>
      <c r="R11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2" spans="1:19" hidden="1" x14ac:dyDescent="0.25">
      <c r="A112" t="s">
        <v>23</v>
      </c>
      <c r="B112">
        <v>25</v>
      </c>
      <c r="C112" t="s">
        <v>16</v>
      </c>
      <c r="D112" t="s">
        <v>24</v>
      </c>
      <c r="E112" t="s">
        <v>18</v>
      </c>
      <c r="F112" t="s">
        <v>19</v>
      </c>
      <c r="G112" t="s">
        <v>37</v>
      </c>
      <c r="H112" t="s">
        <v>25</v>
      </c>
      <c r="I112" s="1">
        <v>42585</v>
      </c>
      <c r="J112" s="2">
        <v>212391</v>
      </c>
      <c r="K112">
        <v>3.2490000000000001</v>
      </c>
      <c r="L112" s="2">
        <v>690058.35900000005</v>
      </c>
      <c r="O112" t="s">
        <v>22</v>
      </c>
      <c r="P112" s="2">
        <f>SUMIF(Tabela_padrão__GM_CONV_NOTAS_ENTRADA[SEQ_PLA_PEDIDO],Tabela_GM_PEDIDOS_2017_FIM[[#This Row],[SEQ_PLA_PEDIDO]],Tabela_padrão__GM_CONV_NOTAS_ENTRADA[VALOR_NF])</f>
        <v>0</v>
      </c>
      <c r="Q112" s="2">
        <f t="array" ref="Q112">IF(AND(Tabela_GM_PEDIDOS_2017_FIM[[#This Row],[MOEDA]]="US$",Tabela_GM_PEDIDOS_2017_FIM[[#This Row],[PAGO]]="S"),Tabela_GM_PEDIDOS_2017_FIM[[#This Row],[VALOR_PAGO_REAL]]-Tabela_GM_PEDIDOS_2017_FIM[[#This Row],[VALOR_PAGAR]],0)</f>
        <v>0</v>
      </c>
      <c r="R11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3" spans="1:19" x14ac:dyDescent="0.25">
      <c r="A113" t="s">
        <v>172</v>
      </c>
      <c r="B113">
        <v>15</v>
      </c>
      <c r="C113" t="s">
        <v>16</v>
      </c>
      <c r="D113" t="s">
        <v>36</v>
      </c>
      <c r="E113" t="s">
        <v>18</v>
      </c>
      <c r="F113" t="s">
        <v>19</v>
      </c>
      <c r="G113" t="s">
        <v>37</v>
      </c>
      <c r="H113" t="s">
        <v>173</v>
      </c>
      <c r="I113" s="1">
        <v>42559</v>
      </c>
      <c r="J113" s="2">
        <v>20340</v>
      </c>
      <c r="K113">
        <v>3.3388</v>
      </c>
      <c r="L113" s="2">
        <v>67911.191999999995</v>
      </c>
      <c r="O113" t="s">
        <v>22</v>
      </c>
      <c r="P113" s="2">
        <f>SUMIF(Tabela_padrão__GM_CONV_NOTAS_ENTRADA[SEQ_PLA_PEDIDO],Tabela_GM_PEDIDOS_2017_FIM[[#This Row],[SEQ_PLA_PEDIDO]],Tabela_padrão__GM_CONV_NOTAS_ENTRADA[VALOR_NF])</f>
        <v>0</v>
      </c>
      <c r="Q113" s="2">
        <f t="array" ref="Q113">IF(AND(Tabela_GM_PEDIDOS_2017_FIM[[#This Row],[MOEDA]]="US$",Tabela_GM_PEDIDOS_2017_FIM[[#This Row],[PAGO]]="S"),Tabela_GM_PEDIDOS_2017_FIM[[#This Row],[VALOR_PAGO_REAL]]-Tabela_GM_PEDIDOS_2017_FIM[[#This Row],[VALOR_PAGAR]],0)</f>
        <v>0</v>
      </c>
      <c r="R11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4" spans="1:19" hidden="1" x14ac:dyDescent="0.25">
      <c r="A114" t="s">
        <v>57</v>
      </c>
      <c r="B114">
        <v>18</v>
      </c>
      <c r="C114" t="s">
        <v>16</v>
      </c>
      <c r="D114" t="s">
        <v>55</v>
      </c>
      <c r="E114" t="s">
        <v>18</v>
      </c>
      <c r="F114" t="s">
        <v>19</v>
      </c>
      <c r="G114" t="s">
        <v>37</v>
      </c>
      <c r="H114" t="s">
        <v>58</v>
      </c>
      <c r="I114" s="1">
        <v>42559</v>
      </c>
      <c r="J114" s="2">
        <v>8475</v>
      </c>
      <c r="K114">
        <v>3.3388</v>
      </c>
      <c r="L114" s="2">
        <v>28296.33</v>
      </c>
      <c r="O114" t="s">
        <v>22</v>
      </c>
      <c r="P114" s="2">
        <f>SUMIF(Tabela_padrão__GM_CONV_NOTAS_ENTRADA[SEQ_PLA_PEDIDO],Tabela_GM_PEDIDOS_2017_FIM[[#This Row],[SEQ_PLA_PEDIDO]],Tabela_padrão__GM_CONV_NOTAS_ENTRADA[VALOR_NF])</f>
        <v>0</v>
      </c>
      <c r="Q114" s="2">
        <f t="array" ref="Q114">IF(AND(Tabela_GM_PEDIDOS_2017_FIM[[#This Row],[MOEDA]]="US$",Tabela_GM_PEDIDOS_2017_FIM[[#This Row],[PAGO]]="S"),Tabela_GM_PEDIDOS_2017_FIM[[#This Row],[VALOR_PAGO_REAL]]-Tabela_GM_PEDIDOS_2017_FIM[[#This Row],[VALOR_PAGAR]],0)</f>
        <v>0</v>
      </c>
      <c r="R11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5" spans="1:19" hidden="1" x14ac:dyDescent="0.25">
      <c r="A115" t="s">
        <v>248</v>
      </c>
      <c r="B115">
        <v>7</v>
      </c>
      <c r="C115" t="s">
        <v>16</v>
      </c>
      <c r="D115" t="s">
        <v>60</v>
      </c>
      <c r="E115" t="s">
        <v>18</v>
      </c>
      <c r="F115" t="s">
        <v>19</v>
      </c>
      <c r="G115" t="s">
        <v>37</v>
      </c>
      <c r="H115" t="s">
        <v>249</v>
      </c>
      <c r="I115" s="1">
        <v>42559</v>
      </c>
      <c r="J115" s="2">
        <v>2712</v>
      </c>
      <c r="K115">
        <v>3.3388</v>
      </c>
      <c r="L115" s="2">
        <v>9054.8256000000001</v>
      </c>
      <c r="O115" t="s">
        <v>22</v>
      </c>
      <c r="P115" s="2">
        <f>SUMIF(Tabela_padrão__GM_CONV_NOTAS_ENTRADA[SEQ_PLA_PEDIDO],Tabela_GM_PEDIDOS_2017_FIM[[#This Row],[SEQ_PLA_PEDIDO]],Tabela_padrão__GM_CONV_NOTAS_ENTRADA[VALOR_NF])</f>
        <v>0</v>
      </c>
      <c r="Q115" s="2">
        <f t="array" ref="Q115">IF(AND(Tabela_GM_PEDIDOS_2017_FIM[[#This Row],[MOEDA]]="US$",Tabela_GM_PEDIDOS_2017_FIM[[#This Row],[PAGO]]="S"),Tabela_GM_PEDIDOS_2017_FIM[[#This Row],[VALOR_PAGO_REAL]]-Tabela_GM_PEDIDOS_2017_FIM[[#This Row],[VALOR_PAGAR]],0)</f>
        <v>0</v>
      </c>
      <c r="R11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6" spans="1:19" hidden="1" x14ac:dyDescent="0.25">
      <c r="A116" t="s">
        <v>234</v>
      </c>
      <c r="B116">
        <v>7</v>
      </c>
      <c r="C116" t="s">
        <v>16</v>
      </c>
      <c r="D116" t="s">
        <v>17</v>
      </c>
      <c r="E116" t="s">
        <v>18</v>
      </c>
      <c r="F116" t="s">
        <v>19</v>
      </c>
      <c r="G116" t="s">
        <v>37</v>
      </c>
      <c r="H116" t="s">
        <v>235</v>
      </c>
      <c r="I116" s="1">
        <v>42559</v>
      </c>
      <c r="J116" s="2">
        <v>2712</v>
      </c>
      <c r="K116">
        <v>3.3388</v>
      </c>
      <c r="L116" s="2">
        <v>9054.8256000000001</v>
      </c>
      <c r="O116" t="s">
        <v>22</v>
      </c>
      <c r="P116" s="2">
        <f>SUMIF(Tabela_padrão__GM_CONV_NOTAS_ENTRADA[SEQ_PLA_PEDIDO],Tabela_GM_PEDIDOS_2017_FIM[[#This Row],[SEQ_PLA_PEDIDO]],Tabela_padrão__GM_CONV_NOTAS_ENTRADA[VALOR_NF])</f>
        <v>0</v>
      </c>
      <c r="Q116" s="2">
        <f t="array" ref="Q116">IF(AND(Tabela_GM_PEDIDOS_2017_FIM[[#This Row],[MOEDA]]="US$",Tabela_GM_PEDIDOS_2017_FIM[[#This Row],[PAGO]]="S"),Tabela_GM_PEDIDOS_2017_FIM[[#This Row],[VALOR_PAGO_REAL]]-Tabela_GM_PEDIDOS_2017_FIM[[#This Row],[VALOR_PAGAR]],0)</f>
        <v>0</v>
      </c>
      <c r="R11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7" spans="1:19" hidden="1" x14ac:dyDescent="0.25">
      <c r="A117" t="s">
        <v>39</v>
      </c>
      <c r="B117">
        <v>9</v>
      </c>
      <c r="C117" t="s">
        <v>16</v>
      </c>
      <c r="D117" t="s">
        <v>33</v>
      </c>
      <c r="E117" t="s">
        <v>18</v>
      </c>
      <c r="F117" t="s">
        <v>19</v>
      </c>
      <c r="G117" t="s">
        <v>37</v>
      </c>
      <c r="H117" t="s">
        <v>40</v>
      </c>
      <c r="I117" s="1">
        <v>42563</v>
      </c>
      <c r="J117" s="2">
        <v>8475</v>
      </c>
      <c r="K117">
        <v>3.3031000000000001</v>
      </c>
      <c r="L117" s="2">
        <v>27993.772499999999</v>
      </c>
      <c r="O117" t="s">
        <v>22</v>
      </c>
      <c r="P117" s="2">
        <f>SUMIF(Tabela_padrão__GM_CONV_NOTAS_ENTRADA[SEQ_PLA_PEDIDO],Tabela_GM_PEDIDOS_2017_FIM[[#This Row],[SEQ_PLA_PEDIDO]],Tabela_padrão__GM_CONV_NOTAS_ENTRADA[VALOR_NF])</f>
        <v>0</v>
      </c>
      <c r="Q117" s="2">
        <f t="array" ref="Q117">IF(AND(Tabela_GM_PEDIDOS_2017_FIM[[#This Row],[MOEDA]]="US$",Tabela_GM_PEDIDOS_2017_FIM[[#This Row],[PAGO]]="S"),Tabela_GM_PEDIDOS_2017_FIM[[#This Row],[VALOR_PAGO_REAL]]-Tabela_GM_PEDIDOS_2017_FIM[[#This Row],[VALOR_PAGAR]],0)</f>
        <v>0</v>
      </c>
      <c r="R11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8" spans="1:19" hidden="1" x14ac:dyDescent="0.25">
      <c r="A118" t="s">
        <v>130</v>
      </c>
      <c r="B118">
        <v>6</v>
      </c>
      <c r="C118" t="s">
        <v>16</v>
      </c>
      <c r="D118" t="s">
        <v>131</v>
      </c>
      <c r="E118" t="s">
        <v>18</v>
      </c>
      <c r="F118" t="s">
        <v>19</v>
      </c>
      <c r="G118" t="s">
        <v>37</v>
      </c>
      <c r="H118" t="s">
        <v>132</v>
      </c>
      <c r="I118" s="1">
        <v>42556</v>
      </c>
      <c r="J118" s="2">
        <v>5085</v>
      </c>
      <c r="K118">
        <v>3.2480000000000002</v>
      </c>
      <c r="L118" s="2">
        <v>16516.080000000002</v>
      </c>
      <c r="O118" t="s">
        <v>22</v>
      </c>
      <c r="P118" s="2">
        <f>SUMIF(Tabela_padrão__GM_CONV_NOTAS_ENTRADA[SEQ_PLA_PEDIDO],Tabela_GM_PEDIDOS_2017_FIM[[#This Row],[SEQ_PLA_PEDIDO]],Tabela_padrão__GM_CONV_NOTAS_ENTRADA[VALOR_NF])</f>
        <v>0</v>
      </c>
      <c r="Q118" s="2">
        <f t="array" ref="Q118">IF(AND(Tabela_GM_PEDIDOS_2017_FIM[[#This Row],[MOEDA]]="US$",Tabela_GM_PEDIDOS_2017_FIM[[#This Row],[PAGO]]="S"),Tabela_GM_PEDIDOS_2017_FIM[[#This Row],[VALOR_PAGO_REAL]]-Tabela_GM_PEDIDOS_2017_FIM[[#This Row],[VALOR_PAGAR]],0)</f>
        <v>0</v>
      </c>
      <c r="R11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19" spans="1:19" hidden="1" x14ac:dyDescent="0.25">
      <c r="A119" t="s">
        <v>120</v>
      </c>
      <c r="B119">
        <v>12</v>
      </c>
      <c r="C119" t="s">
        <v>16</v>
      </c>
      <c r="D119" t="s">
        <v>28</v>
      </c>
      <c r="E119" t="s">
        <v>18</v>
      </c>
      <c r="F119" t="s">
        <v>19</v>
      </c>
      <c r="G119" t="s">
        <v>37</v>
      </c>
      <c r="H119" t="s">
        <v>121</v>
      </c>
      <c r="I119" s="1">
        <v>42556</v>
      </c>
      <c r="J119" s="2">
        <v>16950</v>
      </c>
      <c r="K119">
        <v>3.2480000000000002</v>
      </c>
      <c r="L119" s="2">
        <v>55053.599999999999</v>
      </c>
      <c r="O119" t="s">
        <v>22</v>
      </c>
      <c r="P119" s="2">
        <f>SUMIF(Tabela_padrão__GM_CONV_NOTAS_ENTRADA[SEQ_PLA_PEDIDO],Tabela_GM_PEDIDOS_2017_FIM[[#This Row],[SEQ_PLA_PEDIDO]],Tabela_padrão__GM_CONV_NOTAS_ENTRADA[VALOR_NF])</f>
        <v>0</v>
      </c>
      <c r="Q119" s="2">
        <f t="array" ref="Q119">IF(AND(Tabela_GM_PEDIDOS_2017_FIM[[#This Row],[MOEDA]]="US$",Tabela_GM_PEDIDOS_2017_FIM[[#This Row],[PAGO]]="S"),Tabela_GM_PEDIDOS_2017_FIM[[#This Row],[VALOR_PAGO_REAL]]-Tabela_GM_PEDIDOS_2017_FIM[[#This Row],[VALOR_PAGAR]],0)</f>
        <v>0</v>
      </c>
      <c r="R11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1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0" spans="1:19" hidden="1" x14ac:dyDescent="0.25">
      <c r="A120" t="s">
        <v>174</v>
      </c>
      <c r="B120">
        <v>19</v>
      </c>
      <c r="C120" t="s">
        <v>27</v>
      </c>
      <c r="D120" t="s">
        <v>55</v>
      </c>
      <c r="E120" t="s">
        <v>18</v>
      </c>
      <c r="F120" t="s">
        <v>19</v>
      </c>
      <c r="G120" t="s">
        <v>37</v>
      </c>
      <c r="H120" t="s">
        <v>144</v>
      </c>
      <c r="I120" s="1">
        <v>42583</v>
      </c>
      <c r="J120" s="2">
        <v>540292.5</v>
      </c>
      <c r="K120">
        <v>1</v>
      </c>
      <c r="L120" s="2">
        <v>540292.5</v>
      </c>
      <c r="O120" t="s">
        <v>22</v>
      </c>
      <c r="P120" s="2">
        <f>SUMIF(Tabela_padrão__GM_CONV_NOTAS_ENTRADA[SEQ_PLA_PEDIDO],Tabela_GM_PEDIDOS_2017_FIM[[#This Row],[SEQ_PLA_PEDIDO]],Tabela_padrão__GM_CONV_NOTAS_ENTRADA[VALOR_NF])</f>
        <v>0</v>
      </c>
      <c r="Q120" s="2">
        <f t="array" ref="Q120">IF(AND(Tabela_GM_PEDIDOS_2017_FIM[[#This Row],[MOEDA]]="US$",Tabela_GM_PEDIDOS_2017_FIM[[#This Row],[PAGO]]="S"),Tabela_GM_PEDIDOS_2017_FIM[[#This Row],[VALOR_PAGO_REAL]]-Tabela_GM_PEDIDOS_2017_FIM[[#This Row],[VALOR_PAGAR]],0)</f>
        <v>0</v>
      </c>
      <c r="R12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1" spans="1:19" hidden="1" x14ac:dyDescent="0.25">
      <c r="A121" t="s">
        <v>162</v>
      </c>
      <c r="B121">
        <v>13</v>
      </c>
      <c r="C121" t="s">
        <v>16</v>
      </c>
      <c r="D121" t="s">
        <v>28</v>
      </c>
      <c r="E121" t="s">
        <v>18</v>
      </c>
      <c r="F121" t="s">
        <v>19</v>
      </c>
      <c r="G121" t="s">
        <v>20</v>
      </c>
      <c r="H121" t="s">
        <v>163</v>
      </c>
      <c r="I121" s="1">
        <v>42584</v>
      </c>
      <c r="J121" s="2">
        <v>12400</v>
      </c>
      <c r="K121">
        <v>3.2662</v>
      </c>
      <c r="L121" s="2">
        <v>40500.879999999997</v>
      </c>
      <c r="O121" t="s">
        <v>22</v>
      </c>
      <c r="P121" s="2">
        <f>SUMIF(Tabela_padrão__GM_CONV_NOTAS_ENTRADA[SEQ_PLA_PEDIDO],Tabela_GM_PEDIDOS_2017_FIM[[#This Row],[SEQ_PLA_PEDIDO]],Tabela_padrão__GM_CONV_NOTAS_ENTRADA[VALOR_NF])</f>
        <v>0</v>
      </c>
      <c r="Q121" s="2">
        <f t="array" ref="Q121">IF(AND(Tabela_GM_PEDIDOS_2017_FIM[[#This Row],[MOEDA]]="US$",Tabela_GM_PEDIDOS_2017_FIM[[#This Row],[PAGO]]="S"),Tabela_GM_PEDIDOS_2017_FIM[[#This Row],[VALOR_PAGO_REAL]]-Tabela_GM_PEDIDOS_2017_FIM[[#This Row],[VALOR_PAGAR]],0)</f>
        <v>0</v>
      </c>
      <c r="R12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2" spans="1:19" hidden="1" x14ac:dyDescent="0.25">
      <c r="A122" t="s">
        <v>110</v>
      </c>
      <c r="B122">
        <v>10</v>
      </c>
      <c r="C122" t="s">
        <v>16</v>
      </c>
      <c r="D122" t="s">
        <v>33</v>
      </c>
      <c r="E122" t="s">
        <v>18</v>
      </c>
      <c r="F122" t="s">
        <v>19</v>
      </c>
      <c r="G122" t="s">
        <v>20</v>
      </c>
      <c r="H122" t="s">
        <v>111</v>
      </c>
      <c r="I122" s="1">
        <v>42591</v>
      </c>
      <c r="J122" s="2">
        <v>4960</v>
      </c>
      <c r="K122">
        <v>3.1770999999999998</v>
      </c>
      <c r="L122" s="2">
        <v>15758.415999999999</v>
      </c>
      <c r="O122" t="s">
        <v>22</v>
      </c>
      <c r="P122" s="2">
        <f>SUMIF(Tabela_padrão__GM_CONV_NOTAS_ENTRADA[SEQ_PLA_PEDIDO],Tabela_GM_PEDIDOS_2017_FIM[[#This Row],[SEQ_PLA_PEDIDO]],Tabela_padrão__GM_CONV_NOTAS_ENTRADA[VALOR_NF])</f>
        <v>0</v>
      </c>
      <c r="Q122" s="2">
        <f t="array" ref="Q122">IF(AND(Tabela_GM_PEDIDOS_2017_FIM[[#This Row],[MOEDA]]="US$",Tabela_GM_PEDIDOS_2017_FIM[[#This Row],[PAGO]]="S"),Tabela_GM_PEDIDOS_2017_FIM[[#This Row],[VALOR_PAGO_REAL]]-Tabela_GM_PEDIDOS_2017_FIM[[#This Row],[VALOR_PAGAR]],0)</f>
        <v>0</v>
      </c>
      <c r="R12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3" spans="1:19" hidden="1" x14ac:dyDescent="0.25">
      <c r="A123" t="s">
        <v>252</v>
      </c>
      <c r="B123">
        <v>26</v>
      </c>
      <c r="C123" t="s">
        <v>16</v>
      </c>
      <c r="D123" t="s">
        <v>24</v>
      </c>
      <c r="E123" t="s">
        <v>18</v>
      </c>
      <c r="F123" t="s">
        <v>19</v>
      </c>
      <c r="G123" t="s">
        <v>20</v>
      </c>
      <c r="H123" t="s">
        <v>253</v>
      </c>
      <c r="I123" s="1">
        <v>42534</v>
      </c>
      <c r="J123" s="2">
        <v>401760</v>
      </c>
      <c r="K123">
        <v>3.4260999999999999</v>
      </c>
      <c r="L123" s="2">
        <v>1376469.936</v>
      </c>
      <c r="O123" t="s">
        <v>22</v>
      </c>
      <c r="P123" s="2">
        <f>SUMIF(Tabela_padrão__GM_CONV_NOTAS_ENTRADA[SEQ_PLA_PEDIDO],Tabela_GM_PEDIDOS_2017_FIM[[#This Row],[SEQ_PLA_PEDIDO]],Tabela_padrão__GM_CONV_NOTAS_ENTRADA[VALOR_NF])</f>
        <v>0</v>
      </c>
      <c r="Q123" s="2">
        <f t="array" ref="Q123">IF(AND(Tabela_GM_PEDIDOS_2017_FIM[[#This Row],[MOEDA]]="US$",Tabela_GM_PEDIDOS_2017_FIM[[#This Row],[PAGO]]="S"),Tabela_GM_PEDIDOS_2017_FIM[[#This Row],[VALOR_PAGO_REAL]]-Tabela_GM_PEDIDOS_2017_FIM[[#This Row],[VALOR_PAGAR]],0)</f>
        <v>0</v>
      </c>
      <c r="R12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4" spans="1:19" x14ac:dyDescent="0.25">
      <c r="A124" t="s">
        <v>94</v>
      </c>
      <c r="B124">
        <v>16</v>
      </c>
      <c r="C124" t="s">
        <v>16</v>
      </c>
      <c r="D124" t="s">
        <v>36</v>
      </c>
      <c r="E124" t="s">
        <v>18</v>
      </c>
      <c r="F124" t="s">
        <v>19</v>
      </c>
      <c r="G124" t="s">
        <v>20</v>
      </c>
      <c r="H124" t="s">
        <v>95</v>
      </c>
      <c r="I124" s="1">
        <v>42584</v>
      </c>
      <c r="J124" s="2">
        <v>14880</v>
      </c>
      <c r="K124">
        <v>3.2662</v>
      </c>
      <c r="L124" s="2">
        <v>48601.055999999997</v>
      </c>
      <c r="O124" t="s">
        <v>22</v>
      </c>
      <c r="P124" s="2">
        <f>SUMIF(Tabela_padrão__GM_CONV_NOTAS_ENTRADA[SEQ_PLA_PEDIDO],Tabela_GM_PEDIDOS_2017_FIM[[#This Row],[SEQ_PLA_PEDIDO]],Tabela_padrão__GM_CONV_NOTAS_ENTRADA[VALOR_NF])</f>
        <v>0</v>
      </c>
      <c r="Q124" s="2">
        <f t="array" ref="Q124">IF(AND(Tabela_GM_PEDIDOS_2017_FIM[[#This Row],[MOEDA]]="US$",Tabela_GM_PEDIDOS_2017_FIM[[#This Row],[PAGO]]="S"),Tabela_GM_PEDIDOS_2017_FIM[[#This Row],[VALOR_PAGO_REAL]]-Tabela_GM_PEDIDOS_2017_FIM[[#This Row],[VALOR_PAGAR]],0)</f>
        <v>0</v>
      </c>
      <c r="R12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5" spans="1:19" hidden="1" x14ac:dyDescent="0.25">
      <c r="A125" t="s">
        <v>88</v>
      </c>
      <c r="B125">
        <v>20</v>
      </c>
      <c r="C125" t="s">
        <v>16</v>
      </c>
      <c r="D125" t="s">
        <v>55</v>
      </c>
      <c r="E125" t="s">
        <v>18</v>
      </c>
      <c r="F125" t="s">
        <v>19</v>
      </c>
      <c r="G125" t="s">
        <v>20</v>
      </c>
      <c r="H125" t="s">
        <v>89</v>
      </c>
      <c r="I125" s="1">
        <v>42584</v>
      </c>
      <c r="J125" s="2">
        <v>12400</v>
      </c>
      <c r="K125">
        <v>3.2662</v>
      </c>
      <c r="L125" s="2">
        <v>40500.879999999997</v>
      </c>
      <c r="O125" t="s">
        <v>22</v>
      </c>
      <c r="P125" s="2">
        <f>SUMIF(Tabela_padrão__GM_CONV_NOTAS_ENTRADA[SEQ_PLA_PEDIDO],Tabela_GM_PEDIDOS_2017_FIM[[#This Row],[SEQ_PLA_PEDIDO]],Tabela_padrão__GM_CONV_NOTAS_ENTRADA[VALOR_NF])</f>
        <v>0</v>
      </c>
      <c r="Q125" s="2">
        <f t="array" ref="Q125">IF(AND(Tabela_GM_PEDIDOS_2017_FIM[[#This Row],[MOEDA]]="US$",Tabela_GM_PEDIDOS_2017_FIM[[#This Row],[PAGO]]="S"),Tabela_GM_PEDIDOS_2017_FIM[[#This Row],[VALOR_PAGO_REAL]]-Tabela_GM_PEDIDOS_2017_FIM[[#This Row],[VALOR_PAGAR]],0)</f>
        <v>0</v>
      </c>
      <c r="R125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5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6" spans="1:19" hidden="1" x14ac:dyDescent="0.25">
      <c r="A126" t="s">
        <v>122</v>
      </c>
      <c r="B126">
        <v>4</v>
      </c>
      <c r="C126" t="s">
        <v>27</v>
      </c>
      <c r="D126" t="s">
        <v>49</v>
      </c>
      <c r="E126" t="s">
        <v>18</v>
      </c>
      <c r="F126" t="s">
        <v>19</v>
      </c>
      <c r="G126" t="s">
        <v>37</v>
      </c>
      <c r="H126" t="s">
        <v>123</v>
      </c>
      <c r="I126" s="1">
        <v>42593</v>
      </c>
      <c r="J126" s="2">
        <v>84960</v>
      </c>
      <c r="K126">
        <v>1</v>
      </c>
      <c r="L126" s="2">
        <v>84960</v>
      </c>
      <c r="O126" t="s">
        <v>22</v>
      </c>
      <c r="P126" s="2">
        <f>SUMIF(Tabela_padrão__GM_CONV_NOTAS_ENTRADA[SEQ_PLA_PEDIDO],Tabela_GM_PEDIDOS_2017_FIM[[#This Row],[SEQ_PLA_PEDIDO]],Tabela_padrão__GM_CONV_NOTAS_ENTRADA[VALOR_NF])</f>
        <v>0</v>
      </c>
      <c r="Q126" s="2">
        <f t="array" ref="Q126">IF(AND(Tabela_GM_PEDIDOS_2017_FIM[[#This Row],[MOEDA]]="US$",Tabela_GM_PEDIDOS_2017_FIM[[#This Row],[PAGO]]="S"),Tabela_GM_PEDIDOS_2017_FIM[[#This Row],[VALOR_PAGO_REAL]]-Tabela_GM_PEDIDOS_2017_FIM[[#This Row],[VALOR_PAGAR]],0)</f>
        <v>0</v>
      </c>
      <c r="R126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6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7" spans="1:19" hidden="1" x14ac:dyDescent="0.25">
      <c r="A127" t="s">
        <v>70</v>
      </c>
      <c r="B127">
        <v>27</v>
      </c>
      <c r="C127" t="s">
        <v>16</v>
      </c>
      <c r="D127" t="s">
        <v>24</v>
      </c>
      <c r="E127" t="s">
        <v>18</v>
      </c>
      <c r="F127" t="s">
        <v>19</v>
      </c>
      <c r="G127" t="s">
        <v>20</v>
      </c>
      <c r="H127" t="s">
        <v>71</v>
      </c>
      <c r="I127" s="1">
        <v>42599</v>
      </c>
      <c r="J127" s="2">
        <v>2884503.6</v>
      </c>
      <c r="K127">
        <v>3.1749000000000001</v>
      </c>
      <c r="L127" s="2">
        <v>9158010.4796399996</v>
      </c>
      <c r="O127" t="s">
        <v>22</v>
      </c>
      <c r="P127" s="2">
        <f>SUMIF(Tabela_padrão__GM_CONV_NOTAS_ENTRADA[SEQ_PLA_PEDIDO],Tabela_GM_PEDIDOS_2017_FIM[[#This Row],[SEQ_PLA_PEDIDO]],Tabela_padrão__GM_CONV_NOTAS_ENTRADA[VALOR_NF])</f>
        <v>0</v>
      </c>
      <c r="Q127" s="2">
        <f t="array" ref="Q127">IF(AND(Tabela_GM_PEDIDOS_2017_FIM[[#This Row],[MOEDA]]="US$",Tabela_GM_PEDIDOS_2017_FIM[[#This Row],[PAGO]]="S"),Tabela_GM_PEDIDOS_2017_FIM[[#This Row],[VALOR_PAGO_REAL]]-Tabela_GM_PEDIDOS_2017_FIM[[#This Row],[VALOR_PAGAR]],0)</f>
        <v>0</v>
      </c>
      <c r="R127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7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8" spans="1:19" x14ac:dyDescent="0.25">
      <c r="A128" t="s">
        <v>72</v>
      </c>
      <c r="B128">
        <v>17</v>
      </c>
      <c r="C128" t="s">
        <v>16</v>
      </c>
      <c r="D128" t="s">
        <v>36</v>
      </c>
      <c r="E128" t="s">
        <v>18</v>
      </c>
      <c r="F128" t="s">
        <v>19</v>
      </c>
      <c r="G128" t="s">
        <v>20</v>
      </c>
      <c r="H128" t="s">
        <v>73</v>
      </c>
      <c r="I128" s="1">
        <v>42599</v>
      </c>
      <c r="J128" s="2">
        <v>454140</v>
      </c>
      <c r="K128">
        <v>3.1749000000000001</v>
      </c>
      <c r="L128" s="2">
        <v>1441849.0859999999</v>
      </c>
      <c r="O128" t="s">
        <v>22</v>
      </c>
      <c r="P128" s="2">
        <f>SUMIF(Tabela_padrão__GM_CONV_NOTAS_ENTRADA[SEQ_PLA_PEDIDO],Tabela_GM_PEDIDOS_2017_FIM[[#This Row],[SEQ_PLA_PEDIDO]],Tabela_padrão__GM_CONV_NOTAS_ENTRADA[VALOR_NF])</f>
        <v>0</v>
      </c>
      <c r="Q128" s="2">
        <f t="array" ref="Q128">IF(AND(Tabela_GM_PEDIDOS_2017_FIM[[#This Row],[MOEDA]]="US$",Tabela_GM_PEDIDOS_2017_FIM[[#This Row],[PAGO]]="S"),Tabela_GM_PEDIDOS_2017_FIM[[#This Row],[VALOR_PAGO_REAL]]-Tabela_GM_PEDIDOS_2017_FIM[[#This Row],[VALOR_PAGAR]],0)</f>
        <v>0</v>
      </c>
      <c r="R128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8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29" spans="1:19" hidden="1" x14ac:dyDescent="0.25">
      <c r="A129" t="s">
        <v>135</v>
      </c>
      <c r="B129">
        <v>21</v>
      </c>
      <c r="C129" t="s">
        <v>16</v>
      </c>
      <c r="D129" t="s">
        <v>55</v>
      </c>
      <c r="E129" t="s">
        <v>18</v>
      </c>
      <c r="F129" t="s">
        <v>19</v>
      </c>
      <c r="G129" t="s">
        <v>20</v>
      </c>
      <c r="H129" t="s">
        <v>136</v>
      </c>
      <c r="I129" s="1">
        <v>42599</v>
      </c>
      <c r="J129" s="2">
        <v>157210</v>
      </c>
      <c r="K129">
        <v>3.1749000000000001</v>
      </c>
      <c r="L129" s="2">
        <v>499126.02899999998</v>
      </c>
      <c r="O129" t="s">
        <v>22</v>
      </c>
      <c r="P129" s="2">
        <f>SUMIF(Tabela_padrão__GM_CONV_NOTAS_ENTRADA[SEQ_PLA_PEDIDO],Tabela_GM_PEDIDOS_2017_FIM[[#This Row],[SEQ_PLA_PEDIDO]],Tabela_padrão__GM_CONV_NOTAS_ENTRADA[VALOR_NF])</f>
        <v>0</v>
      </c>
      <c r="Q129" s="2">
        <f t="array" ref="Q129">IF(AND(Tabela_GM_PEDIDOS_2017_FIM[[#This Row],[MOEDA]]="US$",Tabela_GM_PEDIDOS_2017_FIM[[#This Row],[PAGO]]="S"),Tabela_GM_PEDIDOS_2017_FIM[[#This Row],[VALOR_PAGO_REAL]]-Tabela_GM_PEDIDOS_2017_FIM[[#This Row],[VALOR_PAGAR]],0)</f>
        <v>0</v>
      </c>
      <c r="R129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29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30" spans="1:19" hidden="1" x14ac:dyDescent="0.25">
      <c r="A130" t="s">
        <v>177</v>
      </c>
      <c r="B130">
        <v>8</v>
      </c>
      <c r="C130" t="s">
        <v>16</v>
      </c>
      <c r="D130" t="s">
        <v>60</v>
      </c>
      <c r="E130" t="s">
        <v>18</v>
      </c>
      <c r="F130" t="s">
        <v>19</v>
      </c>
      <c r="G130" t="s">
        <v>20</v>
      </c>
      <c r="H130" t="s">
        <v>178</v>
      </c>
      <c r="I130" s="1">
        <v>42599</v>
      </c>
      <c r="J130" s="2">
        <v>46672.2</v>
      </c>
      <c r="K130">
        <v>3.1749000000000001</v>
      </c>
      <c r="L130" s="2">
        <v>148179.56778000001</v>
      </c>
      <c r="O130" t="s">
        <v>22</v>
      </c>
      <c r="P130" s="2">
        <f>SUMIF(Tabela_padrão__GM_CONV_NOTAS_ENTRADA[SEQ_PLA_PEDIDO],Tabela_GM_PEDIDOS_2017_FIM[[#This Row],[SEQ_PLA_PEDIDO]],Tabela_padrão__GM_CONV_NOTAS_ENTRADA[VALOR_NF])</f>
        <v>0</v>
      </c>
      <c r="Q130" s="2">
        <f t="array" ref="Q130">IF(AND(Tabela_GM_PEDIDOS_2017_FIM[[#This Row],[MOEDA]]="US$",Tabela_GM_PEDIDOS_2017_FIM[[#This Row],[PAGO]]="S"),Tabela_GM_PEDIDOS_2017_FIM[[#This Row],[VALOR_PAGO_REAL]]-Tabela_GM_PEDIDOS_2017_FIM[[#This Row],[VALOR_PAGAR]],0)</f>
        <v>0</v>
      </c>
      <c r="R130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30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31" spans="1:19" hidden="1" x14ac:dyDescent="0.25">
      <c r="A131" t="s">
        <v>116</v>
      </c>
      <c r="B131">
        <v>8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 t="s">
        <v>117</v>
      </c>
      <c r="I131" s="1">
        <v>42599</v>
      </c>
      <c r="J131" s="2">
        <v>46654.92</v>
      </c>
      <c r="K131">
        <v>3.1749000000000001</v>
      </c>
      <c r="L131" s="2">
        <v>148124.70550800001</v>
      </c>
      <c r="O131" t="s">
        <v>22</v>
      </c>
      <c r="P131" s="2">
        <f>SUMIF(Tabela_padrão__GM_CONV_NOTAS_ENTRADA[SEQ_PLA_PEDIDO],Tabela_GM_PEDIDOS_2017_FIM[[#This Row],[SEQ_PLA_PEDIDO]],Tabela_padrão__GM_CONV_NOTAS_ENTRADA[VALOR_NF])</f>
        <v>0</v>
      </c>
      <c r="Q131" s="2">
        <f t="array" ref="Q131">IF(AND(Tabela_GM_PEDIDOS_2017_FIM[[#This Row],[MOEDA]]="US$",Tabela_GM_PEDIDOS_2017_FIM[[#This Row],[PAGO]]="S"),Tabela_GM_PEDIDOS_2017_FIM[[#This Row],[VALOR_PAGO_REAL]]-Tabela_GM_PEDIDOS_2017_FIM[[#This Row],[VALOR_PAGAR]],0)</f>
        <v>0</v>
      </c>
      <c r="R131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31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32" spans="1:19" hidden="1" x14ac:dyDescent="0.25">
      <c r="A132" t="s">
        <v>193</v>
      </c>
      <c r="B132">
        <v>11</v>
      </c>
      <c r="C132" t="s">
        <v>16</v>
      </c>
      <c r="D132" t="s">
        <v>33</v>
      </c>
      <c r="E132" t="s">
        <v>18</v>
      </c>
      <c r="F132" t="s">
        <v>19</v>
      </c>
      <c r="G132" t="s">
        <v>20</v>
      </c>
      <c r="H132" t="s">
        <v>194</v>
      </c>
      <c r="I132" s="1">
        <v>42599</v>
      </c>
      <c r="J132" s="2">
        <v>166330</v>
      </c>
      <c r="K132">
        <v>3.1749000000000001</v>
      </c>
      <c r="L132" s="2">
        <v>528081.11699999997</v>
      </c>
      <c r="O132" t="s">
        <v>22</v>
      </c>
      <c r="P132" s="2">
        <f>SUMIF(Tabela_padrão__GM_CONV_NOTAS_ENTRADA[SEQ_PLA_PEDIDO],Tabela_GM_PEDIDOS_2017_FIM[[#This Row],[SEQ_PLA_PEDIDO]],Tabela_padrão__GM_CONV_NOTAS_ENTRADA[VALOR_NF])</f>
        <v>0</v>
      </c>
      <c r="Q132" s="2">
        <f t="array" ref="Q132">IF(AND(Tabela_GM_PEDIDOS_2017_FIM[[#This Row],[MOEDA]]="US$",Tabela_GM_PEDIDOS_2017_FIM[[#This Row],[PAGO]]="S"),Tabela_GM_PEDIDOS_2017_FIM[[#This Row],[VALOR_PAGO_REAL]]-Tabela_GM_PEDIDOS_2017_FIM[[#This Row],[VALOR_PAGAR]],0)</f>
        <v>0</v>
      </c>
      <c r="R132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32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33" spans="1:19" hidden="1" x14ac:dyDescent="0.25">
      <c r="A133" t="s">
        <v>232</v>
      </c>
      <c r="B133">
        <v>7</v>
      </c>
      <c r="C133" t="s">
        <v>16</v>
      </c>
      <c r="D133" t="s">
        <v>131</v>
      </c>
      <c r="E133" t="s">
        <v>18</v>
      </c>
      <c r="F133" t="s">
        <v>19</v>
      </c>
      <c r="G133" t="s">
        <v>20</v>
      </c>
      <c r="H133" t="s">
        <v>233</v>
      </c>
      <c r="I133" s="1">
        <v>42599</v>
      </c>
      <c r="J133" s="2">
        <v>48714</v>
      </c>
      <c r="K133">
        <v>3.1749000000000001</v>
      </c>
      <c r="L133" s="2">
        <v>154662.07860000001</v>
      </c>
      <c r="O133" t="s">
        <v>22</v>
      </c>
      <c r="P133" s="2">
        <f>SUMIF(Tabela_padrão__GM_CONV_NOTAS_ENTRADA[SEQ_PLA_PEDIDO],Tabela_GM_PEDIDOS_2017_FIM[[#This Row],[SEQ_PLA_PEDIDO]],Tabela_padrão__GM_CONV_NOTAS_ENTRADA[VALOR_NF])</f>
        <v>0</v>
      </c>
      <c r="Q133" s="2">
        <f t="array" ref="Q133">IF(AND(Tabela_GM_PEDIDOS_2017_FIM[[#This Row],[MOEDA]]="US$",Tabela_GM_PEDIDOS_2017_FIM[[#This Row],[PAGO]]="S"),Tabela_GM_PEDIDOS_2017_FIM[[#This Row],[VALOR_PAGO_REAL]]-Tabela_GM_PEDIDOS_2017_FIM[[#This Row],[VALOR_PAGAR]],0)</f>
        <v>0</v>
      </c>
      <c r="R133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33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  <row r="134" spans="1:19" hidden="1" x14ac:dyDescent="0.25">
      <c r="A134" t="s">
        <v>124</v>
      </c>
      <c r="B134">
        <v>14</v>
      </c>
      <c r="C134" t="s">
        <v>16</v>
      </c>
      <c r="D134" t="s">
        <v>28</v>
      </c>
      <c r="E134" t="s">
        <v>18</v>
      </c>
      <c r="F134" t="s">
        <v>19</v>
      </c>
      <c r="G134" t="s">
        <v>20</v>
      </c>
      <c r="H134" t="s">
        <v>125</v>
      </c>
      <c r="I134" s="1">
        <v>42599</v>
      </c>
      <c r="J134" s="2">
        <v>353460</v>
      </c>
      <c r="K134">
        <v>3.1749000000000001</v>
      </c>
      <c r="L134" s="2">
        <v>1122200.1540000001</v>
      </c>
      <c r="O134" t="s">
        <v>22</v>
      </c>
      <c r="P134" s="2">
        <f>SUMIF(Tabela_padrão__GM_CONV_NOTAS_ENTRADA[SEQ_PLA_PEDIDO],Tabela_GM_PEDIDOS_2017_FIM[[#This Row],[SEQ_PLA_PEDIDO]],Tabela_padrão__GM_CONV_NOTAS_ENTRADA[VALOR_NF])</f>
        <v>0</v>
      </c>
      <c r="Q134" s="2">
        <f t="array" ref="Q134">IF(AND(Tabela_GM_PEDIDOS_2017_FIM[[#This Row],[MOEDA]]="US$",Tabela_GM_PEDIDOS_2017_FIM[[#This Row],[PAGO]]="S"),Tabela_GM_PEDIDOS_2017_FIM[[#This Row],[VALOR_PAGO_REAL]]-Tabela_GM_PEDIDOS_2017_FIM[[#This Row],[VALOR_PAGAR]],0)</f>
        <v>0</v>
      </c>
      <c r="R134" s="2">
        <f>IF(AND(Tabela_GM_PEDIDOS_2017_FIM[[#This Row],[MOEDA]]="US$",Tabela_GM_PEDIDOS_2017_FIM[[#This Row],[FATURADO]]="S"),Tabela_GM_PEDIDOS_2017_FIM[[#This Row],[VL_NOTAS]]-Tabela_GM_PEDIDOS_2017_FIM[[#This Row],[VALOR_PAGO_REAL]],0)</f>
        <v>0</v>
      </c>
      <c r="S134" t="b">
        <f>IF(AND(Tabela_GM_PEDIDOS_2017_FIM[[#This Row],[PAGO]]="S",Tabela_GM_PEDIDOS_2017_FIM[[#This Row],[MOEDA]]="R$"),Tabela_GM_PEDIDOS_2017_FIM[[#This Row],[VALOR_PAGO_REAL]]-Tabela_GM_PEDIDOS_2017_FIM[[#This Row],[VL_PEDIDO_COMPRA]])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zoomScale="80" zoomScaleNormal="80" workbookViewId="0">
      <selection activeCell="L17" sqref="L17"/>
    </sheetView>
  </sheetViews>
  <sheetFormatPr defaultRowHeight="15" x14ac:dyDescent="0.25"/>
  <cols>
    <col min="1" max="1" width="19.85546875" style="6" bestFit="1" customWidth="1"/>
    <col min="2" max="2" width="33.7109375" style="6" bestFit="1" customWidth="1"/>
    <col min="3" max="3" width="18.140625" style="6" bestFit="1" customWidth="1"/>
    <col min="4" max="4" width="43" style="6" bestFit="1" customWidth="1"/>
    <col min="5" max="6" width="9.140625" style="6"/>
    <col min="7" max="7" width="33.7109375" style="6" bestFit="1" customWidth="1"/>
    <col min="8" max="8" width="26.28515625" style="6" bestFit="1" customWidth="1"/>
    <col min="9" max="9" width="20.85546875" style="6" bestFit="1" customWidth="1"/>
    <col min="10" max="10" width="14.28515625" style="6" bestFit="1" customWidth="1"/>
    <col min="11" max="11" width="18" style="6" bestFit="1" customWidth="1"/>
    <col min="12" max="12" width="22" style="6" customWidth="1"/>
    <col min="13" max="13" width="26.7109375" style="6" bestFit="1" customWidth="1"/>
    <col min="14" max="14" width="14.7109375" style="6" bestFit="1" customWidth="1"/>
    <col min="15" max="15" width="20.7109375" style="6" bestFit="1" customWidth="1"/>
    <col min="16" max="16" width="9.42578125" style="6" bestFit="1" customWidth="1"/>
    <col min="17" max="16384" width="9.140625" style="6"/>
  </cols>
  <sheetData>
    <row r="1" spans="1:16" x14ac:dyDescent="0.25">
      <c r="A1" s="275" t="s">
        <v>7793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</row>
    <row r="3" spans="1:16" ht="18.75" x14ac:dyDescent="0.3">
      <c r="A3" s="276" t="s">
        <v>7794</v>
      </c>
      <c r="B3" s="128"/>
      <c r="C3" s="128"/>
      <c r="D3" s="128" t="s">
        <v>7795</v>
      </c>
      <c r="E3" s="128"/>
      <c r="F3" s="128"/>
      <c r="G3" s="128"/>
      <c r="H3" s="128"/>
      <c r="I3" s="128"/>
      <c r="J3" s="128"/>
      <c r="K3" s="128"/>
      <c r="L3" s="128"/>
    </row>
    <row r="4" spans="1:16" ht="15.75" x14ac:dyDescent="0.25">
      <c r="A4" s="277" t="s">
        <v>7796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7" spans="1:16" ht="15.75" x14ac:dyDescent="0.25">
      <c r="A7" s="128"/>
      <c r="B7" s="278" t="s">
        <v>7797</v>
      </c>
      <c r="C7" s="278" t="s">
        <v>7798</v>
      </c>
      <c r="D7" s="128"/>
      <c r="E7" s="128"/>
      <c r="F7" s="128"/>
      <c r="G7" s="279" t="s">
        <v>7799</v>
      </c>
      <c r="H7" s="279"/>
      <c r="I7" s="279"/>
      <c r="J7" s="279"/>
      <c r="K7" s="279"/>
      <c r="L7" s="128"/>
    </row>
    <row r="8" spans="1:16" ht="15.75" x14ac:dyDescent="0.25">
      <c r="A8" s="128"/>
      <c r="B8" s="280" t="s">
        <v>24</v>
      </c>
      <c r="C8" s="144">
        <f>K26+K35</f>
        <v>9244818.3114614934</v>
      </c>
      <c r="D8" s="146">
        <f>(C8-K26)/1000</f>
        <v>1884.8183114614933</v>
      </c>
      <c r="E8" s="128"/>
      <c r="F8" s="128"/>
      <c r="G8" s="128"/>
      <c r="H8" s="128"/>
      <c r="I8" s="128"/>
      <c r="J8" s="128"/>
      <c r="K8" s="128"/>
      <c r="L8" s="128"/>
      <c r="M8" s="281" t="s">
        <v>7660</v>
      </c>
      <c r="N8" s="282">
        <f>[1]PROJECAO!J7</f>
        <v>10855</v>
      </c>
      <c r="O8" s="282">
        <f>[1]PROJECAO!K7</f>
        <v>21710000</v>
      </c>
      <c r="P8" s="283">
        <f>O8/$O$13</f>
        <v>0.33510171131859667</v>
      </c>
    </row>
    <row r="9" spans="1:16" ht="15.75" x14ac:dyDescent="0.25">
      <c r="A9" s="128"/>
      <c r="B9" s="280" t="s">
        <v>36</v>
      </c>
      <c r="C9" s="144">
        <f>K36</f>
        <v>522025.03660808329</v>
      </c>
      <c r="D9" s="128"/>
      <c r="E9" s="128"/>
      <c r="F9" s="128"/>
      <c r="G9" s="128"/>
      <c r="H9" s="128"/>
      <c r="I9" s="128"/>
      <c r="J9" s="128"/>
      <c r="K9" s="128"/>
      <c r="L9" s="128"/>
      <c r="M9" s="281" t="s">
        <v>7663</v>
      </c>
      <c r="N9" s="282">
        <f>[1]PROJECAO!J9</f>
        <v>13359</v>
      </c>
      <c r="O9" s="282">
        <f>[1]PROJECAO!K9</f>
        <v>16030800</v>
      </c>
      <c r="P9" s="283">
        <f>O9/$O$13</f>
        <v>0.24744120284689819</v>
      </c>
    </row>
    <row r="10" spans="1:16" ht="15.75" x14ac:dyDescent="0.25">
      <c r="A10" s="128"/>
      <c r="B10" s="280" t="s">
        <v>55</v>
      </c>
      <c r="C10" s="144">
        <f>K37</f>
        <v>242464.02071903541</v>
      </c>
      <c r="D10" s="128"/>
      <c r="E10" s="128"/>
      <c r="F10" s="128"/>
      <c r="G10" s="128"/>
      <c r="H10" s="128"/>
      <c r="I10" s="284" t="s">
        <v>7800</v>
      </c>
      <c r="J10" s="284" t="s">
        <v>27</v>
      </c>
      <c r="K10" s="284" t="s">
        <v>7801</v>
      </c>
      <c r="L10" s="128"/>
      <c r="M10" s="281" t="s">
        <v>7659</v>
      </c>
      <c r="N10" s="282">
        <f>[1]PROJECAO!J11</f>
        <v>12100</v>
      </c>
      <c r="O10" s="282">
        <f>[1]PROJECAO!K11</f>
        <v>24200000</v>
      </c>
      <c r="P10" s="283">
        <f>O10/$O$13</f>
        <v>0.37353576296223123</v>
      </c>
    </row>
    <row r="11" spans="1:16" ht="15.75" x14ac:dyDescent="0.25">
      <c r="A11" s="128"/>
      <c r="B11" s="280" t="s">
        <v>33</v>
      </c>
      <c r="C11" s="144">
        <f>K38</f>
        <v>94076.040038985739</v>
      </c>
      <c r="D11" s="128"/>
      <c r="E11" s="128"/>
      <c r="F11" s="128"/>
      <c r="G11" s="128"/>
      <c r="H11" s="128"/>
      <c r="I11" s="128"/>
      <c r="J11" s="128"/>
      <c r="K11" s="128"/>
      <c r="L11" s="128"/>
      <c r="M11" s="281" t="s">
        <v>7661</v>
      </c>
      <c r="N11" s="282">
        <f>[1]PROJECAO!J12</f>
        <v>948.5</v>
      </c>
      <c r="O11" s="282">
        <f>[1]PROJECAO!K12</f>
        <v>2845500</v>
      </c>
      <c r="P11" s="283">
        <f>O11/$O$13</f>
        <v>4.3921322872273925E-2</v>
      </c>
    </row>
    <row r="12" spans="1:16" x14ac:dyDescent="0.25">
      <c r="A12" s="128"/>
      <c r="B12" s="280" t="s">
        <v>60</v>
      </c>
      <c r="C12" s="144">
        <f>K39</f>
        <v>62555.717345511141</v>
      </c>
      <c r="D12" s="128"/>
      <c r="E12" s="128"/>
      <c r="F12" s="128"/>
      <c r="G12" s="128" t="s">
        <v>7802</v>
      </c>
      <c r="H12" s="128" t="s">
        <v>7803</v>
      </c>
      <c r="I12" s="285">
        <f>Resultado!F25</f>
        <v>2015915</v>
      </c>
      <c r="J12" s="286">
        <v>0.45</v>
      </c>
      <c r="K12" s="144">
        <f>I12*J12</f>
        <v>907161.75</v>
      </c>
      <c r="L12" s="128"/>
    </row>
    <row r="13" spans="1:16" ht="15.75" x14ac:dyDescent="0.25">
      <c r="A13" s="128"/>
      <c r="B13" s="287" t="s">
        <v>17</v>
      </c>
      <c r="C13" s="144">
        <f>K40</f>
        <v>59161.221055444636</v>
      </c>
      <c r="D13" s="128"/>
      <c r="E13" s="128"/>
      <c r="F13" s="128"/>
      <c r="G13" s="128"/>
      <c r="H13" s="128"/>
      <c r="I13" s="128"/>
      <c r="J13" s="288"/>
      <c r="K13" s="128"/>
      <c r="L13" s="128"/>
      <c r="O13" s="289">
        <f>SUM(O8:O11)</f>
        <v>64786300</v>
      </c>
    </row>
    <row r="14" spans="1:16" ht="15.75" x14ac:dyDescent="0.25">
      <c r="A14" s="128"/>
      <c r="B14" s="287" t="s">
        <v>49</v>
      </c>
      <c r="C14" s="144">
        <v>0</v>
      </c>
      <c r="D14" s="128"/>
      <c r="E14" s="128"/>
      <c r="F14" s="128"/>
      <c r="G14" s="128" t="s">
        <v>7719</v>
      </c>
      <c r="H14" s="128" t="s">
        <v>7803</v>
      </c>
      <c r="I14" s="146">
        <f>Resultado!B32</f>
        <v>22460</v>
      </c>
      <c r="J14" s="286">
        <v>0.35</v>
      </c>
      <c r="K14" s="144">
        <f>I14*J14</f>
        <v>7860.9999999999991</v>
      </c>
      <c r="L14" s="128"/>
    </row>
    <row r="15" spans="1:16" ht="15.75" x14ac:dyDescent="0.25">
      <c r="A15" s="128"/>
      <c r="B15" s="287" t="s">
        <v>7672</v>
      </c>
      <c r="C15" s="144">
        <v>0</v>
      </c>
      <c r="D15" s="128"/>
      <c r="E15" s="128"/>
      <c r="F15" s="128"/>
      <c r="G15" s="128"/>
      <c r="H15" s="128"/>
      <c r="I15" s="128"/>
      <c r="J15" s="128"/>
      <c r="K15" s="128"/>
      <c r="L15" s="128"/>
    </row>
    <row r="16" spans="1:16" x14ac:dyDescent="0.25">
      <c r="A16" s="128"/>
      <c r="B16" s="290" t="s">
        <v>7673</v>
      </c>
      <c r="C16" s="144">
        <v>0</v>
      </c>
      <c r="D16" s="128"/>
      <c r="E16" s="128"/>
      <c r="F16" s="128"/>
      <c r="G16" s="128" t="s">
        <v>7694</v>
      </c>
      <c r="H16" s="128" t="s">
        <v>7804</v>
      </c>
      <c r="I16" s="285">
        <f>Resultado!F13</f>
        <v>920000</v>
      </c>
      <c r="J16" s="286">
        <v>8</v>
      </c>
      <c r="K16" s="308">
        <f>I16*J16</f>
        <v>7360000</v>
      </c>
      <c r="L16" s="315">
        <f>K16/1000</f>
        <v>7360</v>
      </c>
    </row>
    <row r="17" spans="2:11" x14ac:dyDescent="0.25">
      <c r="B17" s="291" t="s">
        <v>28</v>
      </c>
      <c r="C17" s="144">
        <f>K41+C33</f>
        <v>196550.17429613444</v>
      </c>
      <c r="D17" s="128"/>
      <c r="E17" s="128"/>
      <c r="F17" s="128"/>
      <c r="G17" s="128"/>
      <c r="H17" s="128"/>
      <c r="I17" s="128"/>
      <c r="J17" s="288"/>
      <c r="K17" s="128"/>
    </row>
    <row r="18" spans="2:11" x14ac:dyDescent="0.25">
      <c r="B18" s="291" t="s">
        <v>131</v>
      </c>
      <c r="C18" s="144">
        <f>K42</f>
        <v>52372.228475311647</v>
      </c>
      <c r="D18" s="128"/>
      <c r="E18" s="128"/>
      <c r="F18" s="128"/>
      <c r="G18" s="128" t="s">
        <v>7720</v>
      </c>
      <c r="H18" s="128" t="s">
        <v>7803</v>
      </c>
      <c r="I18" s="285">
        <f>Resultado!F38</f>
        <v>166500</v>
      </c>
      <c r="J18" s="286">
        <v>1.5</v>
      </c>
      <c r="K18" s="144">
        <f>I18*J18</f>
        <v>249750</v>
      </c>
    </row>
    <row r="19" spans="2:11" x14ac:dyDescent="0.25">
      <c r="B19" s="292"/>
      <c r="C19" s="144"/>
      <c r="D19" s="128"/>
      <c r="E19" s="128"/>
      <c r="F19" s="128"/>
      <c r="G19" s="128"/>
      <c r="H19" s="128"/>
      <c r="I19" s="128"/>
      <c r="J19" s="288"/>
      <c r="K19" s="128"/>
    </row>
    <row r="20" spans="2:11" x14ac:dyDescent="0.25">
      <c r="B20" s="292"/>
      <c r="C20" s="144"/>
      <c r="D20" s="128"/>
      <c r="E20" s="128"/>
      <c r="F20" s="128"/>
      <c r="G20" s="128" t="s">
        <v>7805</v>
      </c>
      <c r="H20" s="128" t="s">
        <v>7806</v>
      </c>
      <c r="I20" s="144">
        <v>160000</v>
      </c>
      <c r="J20" s="286">
        <v>12</v>
      </c>
      <c r="K20" s="144">
        <f>I20*J20</f>
        <v>1920000</v>
      </c>
    </row>
    <row r="22" spans="2:11" x14ac:dyDescent="0.25">
      <c r="B22" s="293" t="s">
        <v>7807</v>
      </c>
      <c r="C22" s="293">
        <f>SUM(C8:C18)</f>
        <v>10474022.75</v>
      </c>
      <c r="D22" s="128"/>
      <c r="E22" s="128"/>
      <c r="F22" s="128"/>
      <c r="G22" s="128" t="s">
        <v>7814</v>
      </c>
      <c r="H22" s="128" t="s">
        <v>7803</v>
      </c>
      <c r="I22" s="175">
        <f>Resultado!F44</f>
        <v>22500</v>
      </c>
      <c r="J22" s="310">
        <v>1.3</v>
      </c>
      <c r="K22" s="144">
        <f>I22*J22</f>
        <v>29250</v>
      </c>
    </row>
    <row r="23" spans="2:11" x14ac:dyDescent="0.25">
      <c r="B23" s="128"/>
      <c r="C23" s="128"/>
      <c r="D23" s="128"/>
      <c r="E23" s="128"/>
      <c r="F23" s="128"/>
      <c r="G23" s="128"/>
      <c r="H23" s="128"/>
      <c r="I23" s="128"/>
      <c r="J23" s="294" t="s">
        <v>7808</v>
      </c>
      <c r="K23" s="295">
        <f>SUM(K12:K22)</f>
        <v>10474022.75</v>
      </c>
    </row>
    <row r="25" spans="2:11" ht="15.75" x14ac:dyDescent="0.25">
      <c r="B25" s="128"/>
      <c r="C25" s="128"/>
      <c r="D25" s="128"/>
      <c r="E25" s="128"/>
      <c r="F25" s="128"/>
      <c r="G25" s="296" t="s">
        <v>7809</v>
      </c>
      <c r="H25" s="296"/>
      <c r="I25" s="128"/>
      <c r="J25" s="128"/>
      <c r="K25" s="128"/>
    </row>
    <row r="26" spans="2:11" x14ac:dyDescent="0.25">
      <c r="B26" s="278" t="s">
        <v>7810</v>
      </c>
      <c r="C26" s="278" t="s">
        <v>7798</v>
      </c>
      <c r="D26" s="278" t="s">
        <v>7658</v>
      </c>
      <c r="E26" s="128"/>
      <c r="F26" s="128"/>
      <c r="G26" s="292" t="s">
        <v>7811</v>
      </c>
      <c r="H26" s="292"/>
      <c r="I26" s="144">
        <f>Resultado!B13</f>
        <v>8000</v>
      </c>
      <c r="J26" s="297">
        <f>I26/I28</f>
        <v>1</v>
      </c>
      <c r="K26" s="146">
        <f>K$16*J26</f>
        <v>7360000</v>
      </c>
    </row>
    <row r="27" spans="2:11" x14ac:dyDescent="0.25">
      <c r="B27" s="128" t="s">
        <v>7802</v>
      </c>
      <c r="C27" s="144">
        <f>K12</f>
        <v>907161.75</v>
      </c>
      <c r="D27" s="309">
        <f>C27/C$38</f>
        <v>8.6610633913316637E-2</v>
      </c>
      <c r="E27" s="128"/>
      <c r="F27" s="128"/>
      <c r="G27" s="292"/>
      <c r="H27" s="292"/>
      <c r="I27" s="144"/>
      <c r="J27" s="297"/>
      <c r="K27" s="146"/>
    </row>
    <row r="28" spans="2:11" x14ac:dyDescent="0.25">
      <c r="B28" s="128"/>
      <c r="C28" s="144"/>
      <c r="D28" s="309"/>
      <c r="E28" s="128"/>
      <c r="F28" s="128"/>
      <c r="G28" s="298" t="s">
        <v>7808</v>
      </c>
      <c r="H28" s="298"/>
      <c r="I28" s="299">
        <f>SUM(I26:I27)</f>
        <v>8000</v>
      </c>
      <c r="J28" s="297">
        <f>I28/I28</f>
        <v>1</v>
      </c>
      <c r="K28" s="299">
        <f>SUM(K26:K27)</f>
        <v>7360000</v>
      </c>
    </row>
    <row r="29" spans="2:11" x14ac:dyDescent="0.25">
      <c r="B29" s="128" t="s">
        <v>7719</v>
      </c>
      <c r="C29" s="144">
        <f>K14</f>
        <v>7860.9999999999991</v>
      </c>
      <c r="D29" s="309">
        <f>C29/C$38</f>
        <v>7.5052347962486512E-4</v>
      </c>
      <c r="E29" s="128"/>
      <c r="F29" s="128"/>
      <c r="G29" s="128"/>
      <c r="H29" s="128"/>
      <c r="I29" s="128"/>
      <c r="J29" s="128"/>
      <c r="K29" s="128"/>
    </row>
    <row r="30" spans="2:11" x14ac:dyDescent="0.25">
      <c r="B30" s="128"/>
      <c r="C30" s="144"/>
      <c r="D30" s="309"/>
      <c r="E30" s="128"/>
      <c r="F30" s="128"/>
    </row>
    <row r="31" spans="2:11" x14ac:dyDescent="0.25">
      <c r="B31" s="128" t="s">
        <v>7694</v>
      </c>
      <c r="C31" s="144">
        <f>K16</f>
        <v>7360000</v>
      </c>
      <c r="D31" s="309">
        <f>C31/C$38</f>
        <v>0.7026908548580344</v>
      </c>
      <c r="E31" s="128"/>
      <c r="F31" s="128"/>
    </row>
    <row r="32" spans="2:11" x14ac:dyDescent="0.25">
      <c r="B32" s="128"/>
      <c r="C32" s="144"/>
      <c r="D32" s="309"/>
      <c r="E32" s="128"/>
      <c r="F32" s="128"/>
    </row>
    <row r="33" spans="2:11" x14ac:dyDescent="0.25">
      <c r="B33" s="6" t="s">
        <v>7814</v>
      </c>
      <c r="C33" s="289">
        <f>K22</f>
        <v>29250</v>
      </c>
      <c r="E33" s="128"/>
      <c r="F33" s="128"/>
    </row>
    <row r="34" spans="2:11" ht="15.75" x14ac:dyDescent="0.25">
      <c r="E34" s="128"/>
      <c r="F34" s="128"/>
      <c r="G34" s="296" t="s">
        <v>7812</v>
      </c>
      <c r="H34" s="300" t="s">
        <v>7663</v>
      </c>
      <c r="I34" s="301" t="s">
        <v>7813</v>
      </c>
      <c r="J34" s="128" t="s">
        <v>42</v>
      </c>
      <c r="K34" s="128"/>
    </row>
    <row r="35" spans="2:11" x14ac:dyDescent="0.25">
      <c r="B35" s="128" t="s">
        <v>7720</v>
      </c>
      <c r="C35" s="144">
        <f>K18</f>
        <v>249750</v>
      </c>
      <c r="D35" s="309">
        <f>C35/C$38</f>
        <v>2.3844706657716586E-2</v>
      </c>
      <c r="E35" s="128"/>
      <c r="F35" s="128"/>
      <c r="G35" s="280" t="s">
        <v>24</v>
      </c>
      <c r="H35" s="311">
        <f>ProjecaoAreas!J9</f>
        <v>12000</v>
      </c>
      <c r="I35" s="312">
        <f>ProjecaoAreas!J7+ProjecaoAreas!J8+ProjecaoAreas!J11+ProjecaoAreas!J12</f>
        <v>26868</v>
      </c>
      <c r="J35" s="302">
        <f t="shared" ref="J35:J42" si="0">SUM(H35:I35)/$I$43</f>
        <v>0.61100718406614996</v>
      </c>
      <c r="K35" s="146">
        <f t="shared" ref="K35:K40" si="1">($K$12+$K$18+$K$20+$K$14)*J35</f>
        <v>1884818.3114614936</v>
      </c>
    </row>
    <row r="36" spans="2:11" x14ac:dyDescent="0.25">
      <c r="B36" s="128"/>
      <c r="C36" s="128"/>
      <c r="D36" s="309"/>
      <c r="E36" s="128"/>
      <c r="F36" s="128"/>
      <c r="G36" s="280" t="s">
        <v>36</v>
      </c>
      <c r="H36" s="311">
        <f>ProjecaoAreas!J16</f>
        <v>5150</v>
      </c>
      <c r="I36" s="312">
        <f>ProjecaoAreas!J14+ProjecaoAreas!J15</f>
        <v>5615</v>
      </c>
      <c r="J36" s="302">
        <f t="shared" si="0"/>
        <v>0.16922641598415419</v>
      </c>
      <c r="K36" s="146">
        <f>($K$12+$K$18+$K$20+$K$14)*J36</f>
        <v>522025.03660808329</v>
      </c>
    </row>
    <row r="37" spans="2:11" x14ac:dyDescent="0.25">
      <c r="B37" s="128" t="s">
        <v>7805</v>
      </c>
      <c r="C37" s="146">
        <f>K20</f>
        <v>1920000</v>
      </c>
      <c r="D37" s="309">
        <f>C37/C$38</f>
        <v>0.18331065778905245</v>
      </c>
      <c r="E37" s="128"/>
      <c r="F37" s="128"/>
      <c r="G37" s="280" t="s">
        <v>55</v>
      </c>
      <c r="H37" s="311">
        <f>ProjecaoAreas!J20</f>
        <v>2500</v>
      </c>
      <c r="I37" s="312">
        <f>ProjecaoAreas!J21</f>
        <v>2500</v>
      </c>
      <c r="J37" s="302">
        <f t="shared" si="0"/>
        <v>7.8600286105041425E-2</v>
      </c>
      <c r="K37" s="146">
        <f t="shared" si="1"/>
        <v>242464.02071903541</v>
      </c>
    </row>
    <row r="38" spans="2:11" x14ac:dyDescent="0.25">
      <c r="B38" s="128"/>
      <c r="C38" s="293">
        <f>SUM(C27:C37)</f>
        <v>10474022.75</v>
      </c>
      <c r="D38" s="303">
        <f>SUM(D27:D37)</f>
        <v>0.99720737669774484</v>
      </c>
      <c r="E38" s="128"/>
      <c r="F38" s="128"/>
      <c r="G38" s="280" t="s">
        <v>33</v>
      </c>
      <c r="H38" s="311">
        <f>ProjecaoAreas!J23</f>
        <v>360</v>
      </c>
      <c r="I38" s="312">
        <f>ProjecaoAreas!J24</f>
        <v>1580</v>
      </c>
      <c r="J38" s="302">
        <f t="shared" si="0"/>
        <v>3.049691100875607E-2</v>
      </c>
      <c r="K38" s="146">
        <f t="shared" si="1"/>
        <v>94076.040038985739</v>
      </c>
    </row>
    <row r="39" spans="2:11" x14ac:dyDescent="0.25">
      <c r="B39" s="128"/>
      <c r="C39" s="128"/>
      <c r="D39" s="128"/>
      <c r="E39" s="128"/>
      <c r="F39" s="128"/>
      <c r="G39" s="280" t="s">
        <v>60</v>
      </c>
      <c r="H39" s="311">
        <f>ProjecaoAreas!J30</f>
        <v>570</v>
      </c>
      <c r="I39" s="312">
        <f>ProjecaoAreas!J27</f>
        <v>720</v>
      </c>
      <c r="J39" s="302">
        <f t="shared" si="0"/>
        <v>2.0278873815100688E-2</v>
      </c>
      <c r="K39" s="146">
        <f>($K$12+$K$18+$K$20+$K$14)*J39</f>
        <v>62555.717345511141</v>
      </c>
    </row>
    <row r="40" spans="2:11" ht="15.75" x14ac:dyDescent="0.25">
      <c r="B40" s="128"/>
      <c r="C40" s="128"/>
      <c r="D40" s="128"/>
      <c r="E40" s="128"/>
      <c r="F40" s="128"/>
      <c r="G40" s="287" t="s">
        <v>17</v>
      </c>
      <c r="H40" s="313">
        <f>ProjecaoAreas!J32</f>
        <v>560</v>
      </c>
      <c r="I40" s="312">
        <f>ProjecaoAreas!J31</f>
        <v>660</v>
      </c>
      <c r="J40" s="302">
        <f t="shared" si="0"/>
        <v>1.9178469809630106E-2</v>
      </c>
      <c r="K40" s="146">
        <f t="shared" si="1"/>
        <v>59161.221055444636</v>
      </c>
    </row>
    <row r="41" spans="2:11" x14ac:dyDescent="0.25">
      <c r="B41" s="128"/>
      <c r="C41" s="128"/>
      <c r="D41" s="128"/>
      <c r="E41" s="128"/>
      <c r="F41" s="128"/>
      <c r="G41" s="291" t="s">
        <v>28</v>
      </c>
      <c r="H41" s="314">
        <f>ProjecaoAreas!J37</f>
        <v>1000</v>
      </c>
      <c r="I41" s="312">
        <f>ProjecaoAreas!J34+ProjecaoAreas!J35+ProjecaoAreas!J40</f>
        <v>2450</v>
      </c>
      <c r="J41" s="302">
        <f t="shared" si="0"/>
        <v>5.4234197412478584E-2</v>
      </c>
      <c r="K41" s="146">
        <f>($K$12+$K$18+$K$20+$K$14)*J41</f>
        <v>167300.17429613444</v>
      </c>
    </row>
    <row r="42" spans="2:11" x14ac:dyDescent="0.25">
      <c r="B42" s="128"/>
      <c r="C42" s="128"/>
      <c r="D42" s="128"/>
      <c r="E42" s="128"/>
      <c r="F42" s="128"/>
      <c r="G42" s="291" t="s">
        <v>131</v>
      </c>
      <c r="H42" s="314">
        <f>ProjecaoAreas!J45</f>
        <v>320</v>
      </c>
      <c r="I42" s="312">
        <f>ProjecaoAreas!J44</f>
        <v>760</v>
      </c>
      <c r="J42" s="302">
        <f t="shared" si="0"/>
        <v>1.6977661798688946E-2</v>
      </c>
      <c r="K42" s="146">
        <f>($K$12+$K$18+$K$20+$K$14)*J42</f>
        <v>52372.228475311647</v>
      </c>
    </row>
    <row r="43" spans="2:11" x14ac:dyDescent="0.25">
      <c r="G43" s="304" t="s">
        <v>7801</v>
      </c>
      <c r="H43" s="304"/>
      <c r="I43" s="305">
        <f>SUM(H35:I42)</f>
        <v>63613</v>
      </c>
      <c r="J43" s="306">
        <f>I43/I$43</f>
        <v>1</v>
      </c>
      <c r="K43" s="307">
        <f>($K$12+$K$18+$K$20+K14)*J43</f>
        <v>3084772.75</v>
      </c>
    </row>
  </sheetData>
  <hyperlinks>
    <hyperlink ref="A1" location="Resumo!B2" display="RESUMO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036"/>
  <sheetViews>
    <sheetView zoomScale="80" zoomScaleNormal="80" workbookViewId="0">
      <selection activeCell="F23" sqref="F23"/>
    </sheetView>
  </sheetViews>
  <sheetFormatPr defaultRowHeight="15" x14ac:dyDescent="0.25"/>
  <cols>
    <col min="1" max="1" width="18.85546875" bestFit="1" customWidth="1"/>
    <col min="2" max="2" width="13.5703125" bestFit="1" customWidth="1"/>
    <col min="3" max="3" width="17.42578125" bestFit="1" customWidth="1"/>
    <col min="4" max="4" width="17.7109375" bestFit="1" customWidth="1"/>
    <col min="5" max="5" width="16.42578125" bestFit="1" customWidth="1"/>
    <col min="6" max="6" width="55.7109375" bestFit="1" customWidth="1"/>
    <col min="7" max="7" width="16.42578125" bestFit="1" customWidth="1"/>
    <col min="8" max="8" width="19" bestFit="1" customWidth="1"/>
    <col min="9" max="9" width="9.28515625" bestFit="1" customWidth="1"/>
    <col min="10" max="10" width="12.7109375" bestFit="1" customWidth="1"/>
    <col min="11" max="11" width="16.42578125" bestFit="1" customWidth="1"/>
  </cols>
  <sheetData>
    <row r="3" spans="1:11" x14ac:dyDescent="0.25">
      <c r="A3" t="s">
        <v>0</v>
      </c>
      <c r="B3" t="s">
        <v>633</v>
      </c>
      <c r="C3" t="s">
        <v>634</v>
      </c>
      <c r="D3" t="s">
        <v>635</v>
      </c>
      <c r="E3" t="s">
        <v>1</v>
      </c>
      <c r="F3" t="s">
        <v>274</v>
      </c>
      <c r="G3" t="s">
        <v>275</v>
      </c>
      <c r="H3" t="s">
        <v>636</v>
      </c>
      <c r="I3" t="s">
        <v>637</v>
      </c>
      <c r="J3" t="s">
        <v>638</v>
      </c>
      <c r="K3" t="s">
        <v>639</v>
      </c>
    </row>
    <row r="4" spans="1:11" x14ac:dyDescent="0.25">
      <c r="A4" t="s">
        <v>640</v>
      </c>
      <c r="B4" t="s">
        <v>641</v>
      </c>
      <c r="C4" s="1">
        <v>40789</v>
      </c>
      <c r="D4" s="1">
        <v>40791</v>
      </c>
      <c r="E4">
        <v>115</v>
      </c>
      <c r="F4" t="s">
        <v>642</v>
      </c>
      <c r="G4" t="s">
        <v>16</v>
      </c>
      <c r="H4" t="s">
        <v>643</v>
      </c>
      <c r="I4">
        <v>1.6343000000000001</v>
      </c>
      <c r="J4">
        <v>82280.070000000007</v>
      </c>
      <c r="K4">
        <v>50345.756593036771</v>
      </c>
    </row>
    <row r="5" spans="1:11" x14ac:dyDescent="0.25">
      <c r="A5" t="s">
        <v>640</v>
      </c>
      <c r="B5" t="s">
        <v>641</v>
      </c>
      <c r="C5" s="1">
        <v>40791</v>
      </c>
      <c r="D5" s="1">
        <v>40792</v>
      </c>
      <c r="E5">
        <v>115</v>
      </c>
      <c r="F5" t="s">
        <v>642</v>
      </c>
      <c r="G5" t="s">
        <v>16</v>
      </c>
      <c r="H5" t="s">
        <v>644</v>
      </c>
      <c r="I5">
        <v>1.6343000000000001</v>
      </c>
      <c r="J5">
        <v>22518.76</v>
      </c>
      <c r="K5">
        <v>13778.84109404638</v>
      </c>
    </row>
    <row r="6" spans="1:11" x14ac:dyDescent="0.25">
      <c r="A6" t="s">
        <v>645</v>
      </c>
      <c r="B6" t="s">
        <v>646</v>
      </c>
      <c r="C6" s="1">
        <v>40791</v>
      </c>
      <c r="D6" s="1">
        <v>40792</v>
      </c>
      <c r="E6">
        <v>108</v>
      </c>
      <c r="F6" t="s">
        <v>642</v>
      </c>
      <c r="G6" t="s">
        <v>16</v>
      </c>
      <c r="H6" t="s">
        <v>647</v>
      </c>
      <c r="I6">
        <v>1.6343000000000001</v>
      </c>
      <c r="J6">
        <v>95993.42</v>
      </c>
      <c r="K6">
        <v>58736.719084623386</v>
      </c>
    </row>
    <row r="7" spans="1:11" x14ac:dyDescent="0.25">
      <c r="A7" t="s">
        <v>648</v>
      </c>
      <c r="B7" t="s">
        <v>649</v>
      </c>
      <c r="C7" s="1">
        <v>40799</v>
      </c>
      <c r="D7" s="1">
        <v>40803</v>
      </c>
      <c r="E7">
        <v>1</v>
      </c>
      <c r="F7" t="s">
        <v>642</v>
      </c>
      <c r="G7" t="s">
        <v>16</v>
      </c>
      <c r="H7" t="s">
        <v>650</v>
      </c>
      <c r="I7">
        <v>1.6899</v>
      </c>
      <c r="J7">
        <v>45037.51</v>
      </c>
      <c r="K7">
        <v>26650.991182910231</v>
      </c>
    </row>
    <row r="8" spans="1:11" x14ac:dyDescent="0.25">
      <c r="A8" t="s">
        <v>4484</v>
      </c>
      <c r="B8" t="s">
        <v>4485</v>
      </c>
      <c r="C8" s="1">
        <v>40810</v>
      </c>
      <c r="D8" s="1">
        <v>40812</v>
      </c>
      <c r="E8">
        <v>3</v>
      </c>
      <c r="F8" t="s">
        <v>368</v>
      </c>
      <c r="G8" t="s">
        <v>16</v>
      </c>
      <c r="H8" t="s">
        <v>4486</v>
      </c>
      <c r="I8">
        <v>1.8734999999999999</v>
      </c>
      <c r="J8">
        <v>80393.45</v>
      </c>
      <c r="K8">
        <v>42910.835334934614</v>
      </c>
    </row>
    <row r="9" spans="1:11" x14ac:dyDescent="0.25">
      <c r="A9" t="s">
        <v>648</v>
      </c>
      <c r="B9" t="s">
        <v>649</v>
      </c>
      <c r="C9" s="1">
        <v>40810</v>
      </c>
      <c r="D9" s="1">
        <v>40812</v>
      </c>
      <c r="E9">
        <v>1</v>
      </c>
      <c r="F9" t="s">
        <v>642</v>
      </c>
      <c r="G9" t="s">
        <v>16</v>
      </c>
      <c r="H9" t="s">
        <v>4487</v>
      </c>
      <c r="I9">
        <v>1.8734999999999999</v>
      </c>
      <c r="J9">
        <v>64957.95</v>
      </c>
      <c r="K9">
        <v>34671.97758206565</v>
      </c>
    </row>
    <row r="10" spans="1:11" x14ac:dyDescent="0.25">
      <c r="A10" t="s">
        <v>651</v>
      </c>
      <c r="B10" t="s">
        <v>652</v>
      </c>
      <c r="C10" s="1">
        <v>40815</v>
      </c>
      <c r="D10" s="1">
        <v>40819</v>
      </c>
      <c r="E10">
        <v>141</v>
      </c>
      <c r="F10" t="s">
        <v>331</v>
      </c>
      <c r="G10" t="s">
        <v>16</v>
      </c>
      <c r="H10" t="s">
        <v>653</v>
      </c>
      <c r="I10">
        <v>1.8123</v>
      </c>
      <c r="J10">
        <v>78907.48</v>
      </c>
      <c r="K10">
        <v>43539.965789328475</v>
      </c>
    </row>
    <row r="11" spans="1:11" x14ac:dyDescent="0.25">
      <c r="A11" t="s">
        <v>651</v>
      </c>
      <c r="B11" t="s">
        <v>652</v>
      </c>
      <c r="C11" s="1">
        <v>40814</v>
      </c>
      <c r="D11" s="1">
        <v>40819</v>
      </c>
      <c r="E11">
        <v>141</v>
      </c>
      <c r="F11" t="s">
        <v>331</v>
      </c>
      <c r="G11" t="s">
        <v>16</v>
      </c>
      <c r="H11" t="s">
        <v>4488</v>
      </c>
      <c r="I11">
        <v>1.8008</v>
      </c>
      <c r="J11">
        <v>78017.55</v>
      </c>
      <c r="K11">
        <v>43323.828298533983</v>
      </c>
    </row>
    <row r="12" spans="1:11" x14ac:dyDescent="0.25">
      <c r="A12" t="s">
        <v>651</v>
      </c>
      <c r="B12" t="s">
        <v>652</v>
      </c>
      <c r="C12" s="1">
        <v>40814</v>
      </c>
      <c r="D12" s="1">
        <v>40819</v>
      </c>
      <c r="E12">
        <v>141</v>
      </c>
      <c r="F12" t="s">
        <v>331</v>
      </c>
      <c r="G12" t="s">
        <v>16</v>
      </c>
      <c r="H12" t="s">
        <v>4489</v>
      </c>
      <c r="I12">
        <v>1.8008</v>
      </c>
      <c r="J12">
        <v>79544.28</v>
      </c>
      <c r="K12">
        <v>44171.634828964903</v>
      </c>
    </row>
    <row r="13" spans="1:11" x14ac:dyDescent="0.25">
      <c r="A13" t="s">
        <v>654</v>
      </c>
      <c r="B13" t="s">
        <v>655</v>
      </c>
      <c r="C13" s="1">
        <v>40841</v>
      </c>
      <c r="D13" s="1">
        <v>40844</v>
      </c>
      <c r="E13">
        <v>116</v>
      </c>
      <c r="F13" t="s">
        <v>301</v>
      </c>
      <c r="G13" t="s">
        <v>16</v>
      </c>
      <c r="H13" t="s">
        <v>656</v>
      </c>
      <c r="I13">
        <v>1.7767999999999999</v>
      </c>
      <c r="J13">
        <v>386078.4</v>
      </c>
      <c r="K13">
        <v>217288.60873480415</v>
      </c>
    </row>
    <row r="14" spans="1:11" x14ac:dyDescent="0.25">
      <c r="A14" t="s">
        <v>668</v>
      </c>
      <c r="B14" t="s">
        <v>476</v>
      </c>
      <c r="C14" s="1">
        <v>40863</v>
      </c>
      <c r="D14" s="1">
        <v>40869</v>
      </c>
      <c r="E14">
        <v>1687</v>
      </c>
      <c r="F14" t="s">
        <v>311</v>
      </c>
      <c r="G14" t="s">
        <v>16</v>
      </c>
      <c r="H14" t="s">
        <v>4490</v>
      </c>
      <c r="I14">
        <v>1.7648999999999999</v>
      </c>
      <c r="J14">
        <v>33533.910000000003</v>
      </c>
      <c r="K14">
        <v>19000.458949515552</v>
      </c>
    </row>
    <row r="15" spans="1:11" x14ac:dyDescent="0.25">
      <c r="A15" t="s">
        <v>657</v>
      </c>
      <c r="C15" s="1">
        <v>40831</v>
      </c>
      <c r="D15" s="1">
        <v>40834</v>
      </c>
      <c r="E15">
        <v>1542</v>
      </c>
      <c r="F15" t="s">
        <v>287</v>
      </c>
      <c r="G15" t="s">
        <v>16</v>
      </c>
      <c r="H15" t="s">
        <v>658</v>
      </c>
      <c r="I15">
        <v>1.7376</v>
      </c>
      <c r="J15">
        <v>360</v>
      </c>
      <c r="K15">
        <v>207.18232044198896</v>
      </c>
    </row>
    <row r="16" spans="1:11" x14ac:dyDescent="0.25">
      <c r="A16" t="s">
        <v>4491</v>
      </c>
      <c r="C16" s="1">
        <v>40831</v>
      </c>
      <c r="D16" s="1">
        <v>40834</v>
      </c>
      <c r="E16">
        <v>1528</v>
      </c>
      <c r="F16" t="s">
        <v>315</v>
      </c>
      <c r="G16" t="s">
        <v>16</v>
      </c>
      <c r="H16" t="s">
        <v>4492</v>
      </c>
      <c r="I16">
        <v>1.7376</v>
      </c>
      <c r="J16">
        <v>280</v>
      </c>
      <c r="K16">
        <v>161.14180478821362</v>
      </c>
    </row>
    <row r="17" spans="1:11" x14ac:dyDescent="0.25">
      <c r="A17" t="s">
        <v>659</v>
      </c>
      <c r="C17" s="1">
        <v>40819</v>
      </c>
      <c r="D17" s="1">
        <v>40820</v>
      </c>
      <c r="E17">
        <v>1235</v>
      </c>
      <c r="F17" t="s">
        <v>660</v>
      </c>
      <c r="G17" t="s">
        <v>16</v>
      </c>
      <c r="H17" t="s">
        <v>661</v>
      </c>
      <c r="I17">
        <v>1.8544</v>
      </c>
      <c r="J17">
        <v>2307</v>
      </c>
      <c r="K17">
        <v>1244.0681622088007</v>
      </c>
    </row>
    <row r="18" spans="1:11" x14ac:dyDescent="0.25">
      <c r="A18" t="s">
        <v>4493</v>
      </c>
      <c r="C18" s="1">
        <v>40819</v>
      </c>
      <c r="D18" s="1">
        <v>40820</v>
      </c>
      <c r="E18">
        <v>1232</v>
      </c>
      <c r="F18" t="s">
        <v>660</v>
      </c>
      <c r="G18" t="s">
        <v>16</v>
      </c>
      <c r="H18" t="s">
        <v>4494</v>
      </c>
      <c r="I18">
        <v>1.8544</v>
      </c>
      <c r="J18">
        <v>150</v>
      </c>
      <c r="K18">
        <v>80.888697152717867</v>
      </c>
    </row>
    <row r="19" spans="1:11" x14ac:dyDescent="0.25">
      <c r="A19" t="s">
        <v>654</v>
      </c>
      <c r="B19" t="s">
        <v>655</v>
      </c>
      <c r="C19" s="1">
        <v>40841</v>
      </c>
      <c r="D19" s="1">
        <v>40844</v>
      </c>
      <c r="E19">
        <v>116</v>
      </c>
      <c r="F19" t="s">
        <v>301</v>
      </c>
      <c r="G19" t="s">
        <v>16</v>
      </c>
      <c r="H19" t="s">
        <v>4495</v>
      </c>
      <c r="I19">
        <v>1.7767999999999999</v>
      </c>
      <c r="J19">
        <v>37080</v>
      </c>
      <c r="K19">
        <v>20868.977937865828</v>
      </c>
    </row>
    <row r="20" spans="1:11" x14ac:dyDescent="0.25">
      <c r="A20" t="s">
        <v>654</v>
      </c>
      <c r="B20" t="s">
        <v>655</v>
      </c>
      <c r="C20" s="1">
        <v>40845</v>
      </c>
      <c r="D20" s="1">
        <v>40847</v>
      </c>
      <c r="E20">
        <v>116</v>
      </c>
      <c r="F20" t="s">
        <v>301</v>
      </c>
      <c r="G20" t="s">
        <v>16</v>
      </c>
      <c r="H20" t="s">
        <v>662</v>
      </c>
      <c r="I20">
        <v>1.6986000000000001</v>
      </c>
      <c r="J20">
        <v>35521.19</v>
      </c>
      <c r="K20">
        <v>20912.039326504178</v>
      </c>
    </row>
    <row r="21" spans="1:11" x14ac:dyDescent="0.25">
      <c r="A21" t="s">
        <v>1339</v>
      </c>
      <c r="B21" t="s">
        <v>1340</v>
      </c>
      <c r="C21" s="1">
        <v>40876</v>
      </c>
      <c r="D21" s="1">
        <v>40879</v>
      </c>
      <c r="E21">
        <v>1843</v>
      </c>
      <c r="F21" t="s">
        <v>373</v>
      </c>
      <c r="G21" t="s">
        <v>16</v>
      </c>
      <c r="H21" t="s">
        <v>4496</v>
      </c>
      <c r="I21">
        <v>1.8595999999999999</v>
      </c>
      <c r="J21">
        <v>2626.24</v>
      </c>
      <c r="K21">
        <v>1412.2607012260701</v>
      </c>
    </row>
    <row r="22" spans="1:11" x14ac:dyDescent="0.25">
      <c r="A22" t="s">
        <v>663</v>
      </c>
      <c r="B22" t="s">
        <v>664</v>
      </c>
      <c r="C22" s="1">
        <v>40837</v>
      </c>
      <c r="D22" s="1">
        <v>40841</v>
      </c>
      <c r="E22">
        <v>1660</v>
      </c>
      <c r="F22" t="s">
        <v>665</v>
      </c>
      <c r="G22" t="s">
        <v>16</v>
      </c>
      <c r="H22" t="s">
        <v>666</v>
      </c>
      <c r="I22">
        <v>1.7826</v>
      </c>
      <c r="J22">
        <v>123156</v>
      </c>
      <c r="K22">
        <v>69087.849209020525</v>
      </c>
    </row>
    <row r="23" spans="1:11" x14ac:dyDescent="0.25">
      <c r="A23" t="s">
        <v>1828</v>
      </c>
      <c r="B23" t="s">
        <v>549</v>
      </c>
      <c r="C23" s="1">
        <v>40842</v>
      </c>
      <c r="D23" s="1">
        <v>40851</v>
      </c>
      <c r="E23">
        <v>1685</v>
      </c>
      <c r="F23" t="s">
        <v>311</v>
      </c>
      <c r="G23" t="s">
        <v>16</v>
      </c>
      <c r="H23" t="s">
        <v>4497</v>
      </c>
      <c r="I23">
        <v>1.7547999999999999</v>
      </c>
      <c r="J23">
        <v>53841.49</v>
      </c>
      <c r="K23">
        <v>30682.40825165261</v>
      </c>
    </row>
    <row r="24" spans="1:11" x14ac:dyDescent="0.25">
      <c r="A24" t="s">
        <v>654</v>
      </c>
      <c r="B24" t="s">
        <v>655</v>
      </c>
      <c r="C24" s="1">
        <v>40841</v>
      </c>
      <c r="D24" s="1">
        <v>40845</v>
      </c>
      <c r="E24">
        <v>116</v>
      </c>
      <c r="F24" t="s">
        <v>301</v>
      </c>
      <c r="G24" t="s">
        <v>16</v>
      </c>
      <c r="H24" t="s">
        <v>667</v>
      </c>
      <c r="I24">
        <v>1.7767999999999999</v>
      </c>
      <c r="J24">
        <v>37080</v>
      </c>
      <c r="K24">
        <v>20868.977937865828</v>
      </c>
    </row>
    <row r="25" spans="1:11" x14ac:dyDescent="0.25">
      <c r="A25" t="s">
        <v>668</v>
      </c>
      <c r="B25" t="s">
        <v>476</v>
      </c>
      <c r="C25" s="1">
        <v>40843</v>
      </c>
      <c r="D25" s="1">
        <v>40852</v>
      </c>
      <c r="E25">
        <v>1687</v>
      </c>
      <c r="F25" t="s">
        <v>311</v>
      </c>
      <c r="G25" t="s">
        <v>16</v>
      </c>
      <c r="H25" t="s">
        <v>669</v>
      </c>
      <c r="I25">
        <v>1.7605999999999999</v>
      </c>
      <c r="J25">
        <v>212877.5</v>
      </c>
      <c r="K25">
        <v>120911.90503237533</v>
      </c>
    </row>
    <row r="26" spans="1:11" x14ac:dyDescent="0.25">
      <c r="A26" t="s">
        <v>668</v>
      </c>
      <c r="B26" t="s">
        <v>476</v>
      </c>
      <c r="C26" s="1">
        <v>40843</v>
      </c>
      <c r="D26" s="1">
        <v>40852</v>
      </c>
      <c r="E26">
        <v>1687</v>
      </c>
      <c r="F26" t="s">
        <v>311</v>
      </c>
      <c r="G26" t="s">
        <v>16</v>
      </c>
      <c r="H26" t="s">
        <v>4498</v>
      </c>
      <c r="I26">
        <v>1.7605999999999999</v>
      </c>
      <c r="J26">
        <v>212877.5</v>
      </c>
      <c r="K26">
        <v>120911.90503237533</v>
      </c>
    </row>
    <row r="27" spans="1:11" x14ac:dyDescent="0.25">
      <c r="A27" t="s">
        <v>3205</v>
      </c>
      <c r="B27" t="s">
        <v>3206</v>
      </c>
      <c r="C27" s="1">
        <v>40812</v>
      </c>
      <c r="D27" s="1">
        <v>40820</v>
      </c>
      <c r="E27">
        <v>111</v>
      </c>
      <c r="F27" t="s">
        <v>311</v>
      </c>
      <c r="G27" t="s">
        <v>16</v>
      </c>
      <c r="H27" t="s">
        <v>4499</v>
      </c>
      <c r="I27">
        <v>1.8734999999999999</v>
      </c>
      <c r="J27">
        <v>667171.4</v>
      </c>
      <c r="K27">
        <v>356109.63437416602</v>
      </c>
    </row>
    <row r="28" spans="1:11" x14ac:dyDescent="0.25">
      <c r="A28" t="s">
        <v>670</v>
      </c>
      <c r="C28" s="1">
        <v>40835</v>
      </c>
      <c r="D28" s="1">
        <v>40871</v>
      </c>
      <c r="E28">
        <v>352</v>
      </c>
      <c r="F28" t="s">
        <v>478</v>
      </c>
      <c r="G28" t="s">
        <v>16</v>
      </c>
      <c r="H28" t="s">
        <v>4500</v>
      </c>
      <c r="I28">
        <v>1.7724</v>
      </c>
      <c r="J28">
        <v>1465.91</v>
      </c>
      <c r="K28">
        <v>827.07628074926652</v>
      </c>
    </row>
    <row r="29" spans="1:11" x14ac:dyDescent="0.25">
      <c r="A29" t="s">
        <v>670</v>
      </c>
      <c r="C29" s="1">
        <v>40857</v>
      </c>
      <c r="D29" s="1">
        <v>40871</v>
      </c>
      <c r="E29">
        <v>352</v>
      </c>
      <c r="F29" t="s">
        <v>478</v>
      </c>
      <c r="G29" t="s">
        <v>16</v>
      </c>
      <c r="H29" t="s">
        <v>671</v>
      </c>
      <c r="I29">
        <v>1.7516</v>
      </c>
      <c r="J29">
        <v>261.8</v>
      </c>
      <c r="K29">
        <v>149.46334779630052</v>
      </c>
    </row>
    <row r="30" spans="1:11" x14ac:dyDescent="0.25">
      <c r="A30" t="s">
        <v>670</v>
      </c>
      <c r="C30" s="1">
        <v>40823</v>
      </c>
      <c r="D30" s="1">
        <v>40871</v>
      </c>
      <c r="E30">
        <v>352</v>
      </c>
      <c r="F30" t="s">
        <v>478</v>
      </c>
      <c r="G30" t="s">
        <v>16</v>
      </c>
      <c r="H30" t="s">
        <v>4501</v>
      </c>
      <c r="I30">
        <v>1.8116000000000001</v>
      </c>
      <c r="J30">
        <v>261</v>
      </c>
      <c r="K30">
        <v>144.07153897107528</v>
      </c>
    </row>
    <row r="31" spans="1:11" x14ac:dyDescent="0.25">
      <c r="A31" t="s">
        <v>672</v>
      </c>
      <c r="B31" t="s">
        <v>673</v>
      </c>
      <c r="C31" s="1">
        <v>40869</v>
      </c>
      <c r="D31" s="1">
        <v>40878</v>
      </c>
      <c r="E31">
        <v>118</v>
      </c>
      <c r="F31" t="s">
        <v>370</v>
      </c>
      <c r="G31" t="s">
        <v>16</v>
      </c>
      <c r="H31" t="s">
        <v>674</v>
      </c>
      <c r="I31">
        <v>1.8061</v>
      </c>
      <c r="J31">
        <v>71720.23</v>
      </c>
      <c r="K31">
        <v>39709.999446320799</v>
      </c>
    </row>
    <row r="32" spans="1:11" x14ac:dyDescent="0.25">
      <c r="A32" t="s">
        <v>654</v>
      </c>
      <c r="B32" t="s">
        <v>655</v>
      </c>
      <c r="C32" s="1">
        <v>40892</v>
      </c>
      <c r="D32" s="1">
        <v>40896</v>
      </c>
      <c r="E32">
        <v>116</v>
      </c>
      <c r="F32" t="s">
        <v>675</v>
      </c>
      <c r="G32" t="s">
        <v>16</v>
      </c>
      <c r="H32" t="s">
        <v>676</v>
      </c>
      <c r="I32">
        <v>1.8728</v>
      </c>
      <c r="J32">
        <v>211342</v>
      </c>
      <c r="K32">
        <v>112848.14181973516</v>
      </c>
    </row>
    <row r="33" spans="1:11" x14ac:dyDescent="0.25">
      <c r="A33" t="s">
        <v>677</v>
      </c>
      <c r="B33" t="s">
        <v>678</v>
      </c>
      <c r="C33" s="1">
        <v>40906</v>
      </c>
      <c r="D33" s="1">
        <v>40910</v>
      </c>
      <c r="E33">
        <v>2629</v>
      </c>
      <c r="F33" t="s">
        <v>331</v>
      </c>
      <c r="G33" t="s">
        <v>16</v>
      </c>
      <c r="H33" t="s">
        <v>679</v>
      </c>
      <c r="I33">
        <v>1.8633999999999999</v>
      </c>
      <c r="J33">
        <v>57960.36</v>
      </c>
      <c r="K33">
        <v>31104.625952559836</v>
      </c>
    </row>
    <row r="34" spans="1:11" x14ac:dyDescent="0.25">
      <c r="A34" t="s">
        <v>677</v>
      </c>
      <c r="B34" t="s">
        <v>678</v>
      </c>
      <c r="C34" s="1">
        <v>40905</v>
      </c>
      <c r="D34" s="1">
        <v>40910</v>
      </c>
      <c r="E34">
        <v>2629</v>
      </c>
      <c r="F34" t="s">
        <v>331</v>
      </c>
      <c r="G34" t="s">
        <v>16</v>
      </c>
      <c r="H34" t="s">
        <v>680</v>
      </c>
      <c r="I34">
        <v>1.8585</v>
      </c>
      <c r="J34">
        <v>58680.56</v>
      </c>
      <c r="K34">
        <v>31574.151197202045</v>
      </c>
    </row>
    <row r="35" spans="1:11" x14ac:dyDescent="0.25">
      <c r="A35" t="s">
        <v>681</v>
      </c>
      <c r="B35" t="s">
        <v>682</v>
      </c>
      <c r="C35" s="1">
        <v>40898</v>
      </c>
      <c r="D35" s="1">
        <v>40931</v>
      </c>
      <c r="E35">
        <v>1534</v>
      </c>
      <c r="F35" t="s">
        <v>331</v>
      </c>
      <c r="G35" t="s">
        <v>16</v>
      </c>
      <c r="H35" t="s">
        <v>4502</v>
      </c>
      <c r="I35">
        <v>1.8508</v>
      </c>
      <c r="J35">
        <v>68409.509999999995</v>
      </c>
      <c r="K35">
        <v>36962.129889777396</v>
      </c>
    </row>
    <row r="36" spans="1:11" x14ac:dyDescent="0.25">
      <c r="A36" t="s">
        <v>1836</v>
      </c>
      <c r="B36" t="s">
        <v>1837</v>
      </c>
      <c r="C36" s="1">
        <v>40907</v>
      </c>
      <c r="D36" s="1">
        <v>40921</v>
      </c>
      <c r="E36">
        <v>1533</v>
      </c>
      <c r="F36" t="s">
        <v>331</v>
      </c>
      <c r="G36" t="s">
        <v>16</v>
      </c>
      <c r="H36" t="s">
        <v>4503</v>
      </c>
      <c r="I36">
        <v>1.8757999999999999</v>
      </c>
      <c r="J36">
        <v>57929.05</v>
      </c>
      <c r="K36">
        <v>30882.316878131998</v>
      </c>
    </row>
    <row r="37" spans="1:11" x14ac:dyDescent="0.25">
      <c r="A37" t="s">
        <v>681</v>
      </c>
      <c r="B37" t="s">
        <v>682</v>
      </c>
      <c r="C37" s="1">
        <v>40896</v>
      </c>
      <c r="D37" s="1">
        <v>40921</v>
      </c>
      <c r="E37">
        <v>1534</v>
      </c>
      <c r="F37" t="s">
        <v>331</v>
      </c>
      <c r="G37" t="s">
        <v>16</v>
      </c>
      <c r="H37" t="s">
        <v>683</v>
      </c>
      <c r="I37">
        <v>1.8465</v>
      </c>
      <c r="J37">
        <v>78071.14</v>
      </c>
      <c r="K37">
        <v>42280.606552937992</v>
      </c>
    </row>
    <row r="38" spans="1:11" x14ac:dyDescent="0.25">
      <c r="A38" t="s">
        <v>1368</v>
      </c>
      <c r="B38" t="s">
        <v>1369</v>
      </c>
      <c r="C38" s="1">
        <v>40932</v>
      </c>
      <c r="D38" s="1">
        <v>40935</v>
      </c>
      <c r="E38">
        <v>3413</v>
      </c>
      <c r="F38" t="s">
        <v>689</v>
      </c>
      <c r="G38" t="s">
        <v>16</v>
      </c>
      <c r="H38" t="s">
        <v>4504</v>
      </c>
      <c r="I38">
        <v>1.7527999999999999</v>
      </c>
      <c r="J38">
        <v>50424.83</v>
      </c>
      <c r="K38">
        <v>28768.159516202646</v>
      </c>
    </row>
    <row r="39" spans="1:11" x14ac:dyDescent="0.25">
      <c r="A39" t="s">
        <v>684</v>
      </c>
      <c r="B39" t="s">
        <v>685</v>
      </c>
      <c r="C39" s="1">
        <v>40926</v>
      </c>
      <c r="D39" s="1">
        <v>40936</v>
      </c>
      <c r="E39">
        <v>3636</v>
      </c>
      <c r="F39" t="s">
        <v>309</v>
      </c>
      <c r="G39" t="s">
        <v>16</v>
      </c>
      <c r="H39" t="s">
        <v>686</v>
      </c>
      <c r="I39">
        <v>1.776</v>
      </c>
      <c r="J39">
        <v>27888.77</v>
      </c>
      <c r="K39">
        <v>15703.136261261261</v>
      </c>
    </row>
    <row r="40" spans="1:11" x14ac:dyDescent="0.25">
      <c r="A40" t="s">
        <v>687</v>
      </c>
      <c r="B40" t="s">
        <v>688</v>
      </c>
      <c r="C40" s="1">
        <v>40934</v>
      </c>
      <c r="D40" s="1">
        <v>40936</v>
      </c>
      <c r="E40">
        <v>3414</v>
      </c>
      <c r="F40" t="s">
        <v>689</v>
      </c>
      <c r="G40" t="s">
        <v>16</v>
      </c>
      <c r="H40" t="s">
        <v>690</v>
      </c>
      <c r="I40">
        <v>1.7632000000000001</v>
      </c>
      <c r="J40">
        <v>63262.49</v>
      </c>
      <c r="K40">
        <v>35879.361388384757</v>
      </c>
    </row>
    <row r="41" spans="1:11" x14ac:dyDescent="0.25">
      <c r="A41" t="s">
        <v>654</v>
      </c>
      <c r="B41" t="s">
        <v>655</v>
      </c>
      <c r="C41" s="1">
        <v>40904</v>
      </c>
      <c r="D41" s="1">
        <v>40911</v>
      </c>
      <c r="E41">
        <v>116</v>
      </c>
      <c r="F41" t="s">
        <v>675</v>
      </c>
      <c r="G41" t="s">
        <v>16</v>
      </c>
      <c r="H41" t="s">
        <v>4505</v>
      </c>
      <c r="I41">
        <v>1.8566</v>
      </c>
      <c r="J41">
        <v>13584</v>
      </c>
      <c r="K41">
        <v>7316.6002369923517</v>
      </c>
    </row>
    <row r="42" spans="1:11" x14ac:dyDescent="0.25">
      <c r="A42" t="s">
        <v>654</v>
      </c>
      <c r="B42" t="s">
        <v>655</v>
      </c>
      <c r="C42" s="1">
        <v>40904</v>
      </c>
      <c r="D42" s="1">
        <v>40911</v>
      </c>
      <c r="E42">
        <v>116</v>
      </c>
      <c r="F42" t="s">
        <v>675</v>
      </c>
      <c r="G42" t="s">
        <v>16</v>
      </c>
      <c r="H42" t="s">
        <v>4506</v>
      </c>
      <c r="I42">
        <v>1.8566</v>
      </c>
      <c r="J42">
        <v>1329.99</v>
      </c>
      <c r="K42">
        <v>716.35785845093176</v>
      </c>
    </row>
    <row r="43" spans="1:11" x14ac:dyDescent="0.25">
      <c r="A43" t="s">
        <v>691</v>
      </c>
      <c r="B43" t="s">
        <v>692</v>
      </c>
      <c r="C43" s="1">
        <v>40927</v>
      </c>
      <c r="D43" s="1">
        <v>40935</v>
      </c>
      <c r="E43">
        <v>3419</v>
      </c>
      <c r="F43" t="s">
        <v>338</v>
      </c>
      <c r="G43" t="s">
        <v>16</v>
      </c>
      <c r="H43" t="s">
        <v>693</v>
      </c>
      <c r="I43">
        <v>1.7790999999999999</v>
      </c>
      <c r="J43">
        <v>104130.43</v>
      </c>
      <c r="K43">
        <v>58529.835309988193</v>
      </c>
    </row>
    <row r="44" spans="1:11" x14ac:dyDescent="0.25">
      <c r="A44" t="s">
        <v>677</v>
      </c>
      <c r="B44" t="s">
        <v>678</v>
      </c>
      <c r="C44" s="1">
        <v>40911</v>
      </c>
      <c r="D44" s="1">
        <v>40913</v>
      </c>
      <c r="E44">
        <v>2629</v>
      </c>
      <c r="F44" t="s">
        <v>331</v>
      </c>
      <c r="G44" t="s">
        <v>16</v>
      </c>
      <c r="H44" t="s">
        <v>694</v>
      </c>
      <c r="I44">
        <v>1.8683000000000001</v>
      </c>
      <c r="J44">
        <v>75245.14</v>
      </c>
      <c r="K44">
        <v>40274.656104480011</v>
      </c>
    </row>
    <row r="45" spans="1:11" x14ac:dyDescent="0.25">
      <c r="A45" t="s">
        <v>4507</v>
      </c>
      <c r="C45" s="1">
        <v>40905</v>
      </c>
      <c r="D45" s="1">
        <v>40907</v>
      </c>
      <c r="E45">
        <v>3141</v>
      </c>
      <c r="F45" t="s">
        <v>313</v>
      </c>
      <c r="G45" t="s">
        <v>16</v>
      </c>
      <c r="H45" t="s">
        <v>4508</v>
      </c>
      <c r="I45">
        <v>1.8585</v>
      </c>
      <c r="J45">
        <v>28.5</v>
      </c>
      <c r="K45">
        <v>15.334947538337369</v>
      </c>
    </row>
    <row r="46" spans="1:11" x14ac:dyDescent="0.25">
      <c r="A46" t="s">
        <v>677</v>
      </c>
      <c r="B46" t="s">
        <v>678</v>
      </c>
      <c r="C46" s="1">
        <v>40906</v>
      </c>
      <c r="D46" s="1">
        <v>40910</v>
      </c>
      <c r="E46">
        <v>2629</v>
      </c>
      <c r="F46" t="s">
        <v>331</v>
      </c>
      <c r="G46" t="s">
        <v>16</v>
      </c>
      <c r="H46" t="s">
        <v>695</v>
      </c>
      <c r="I46">
        <v>1.8633999999999999</v>
      </c>
      <c r="J46">
        <v>59181.57</v>
      </c>
      <c r="K46">
        <v>31759.992486851992</v>
      </c>
    </row>
    <row r="47" spans="1:11" x14ac:dyDescent="0.25">
      <c r="A47" t="s">
        <v>654</v>
      </c>
      <c r="B47" t="s">
        <v>655</v>
      </c>
      <c r="C47" s="1">
        <v>40897</v>
      </c>
      <c r="D47" s="1">
        <v>40899</v>
      </c>
      <c r="E47">
        <v>116</v>
      </c>
      <c r="F47" t="s">
        <v>675</v>
      </c>
      <c r="G47" t="s">
        <v>16</v>
      </c>
      <c r="H47" t="s">
        <v>4509</v>
      </c>
      <c r="I47">
        <v>1.8615999999999999</v>
      </c>
      <c r="J47">
        <v>175083</v>
      </c>
      <c r="K47">
        <v>94049.742157284054</v>
      </c>
    </row>
    <row r="48" spans="1:11" x14ac:dyDescent="0.25">
      <c r="A48" t="s">
        <v>1828</v>
      </c>
      <c r="B48" t="s">
        <v>549</v>
      </c>
      <c r="C48" s="1">
        <v>40892</v>
      </c>
      <c r="D48" s="1">
        <v>40898</v>
      </c>
      <c r="E48">
        <v>1685</v>
      </c>
      <c r="F48" t="s">
        <v>311</v>
      </c>
      <c r="G48" t="s">
        <v>16</v>
      </c>
      <c r="H48" t="s">
        <v>4510</v>
      </c>
      <c r="I48">
        <v>1.8728</v>
      </c>
      <c r="J48">
        <v>363037.63</v>
      </c>
      <c r="K48">
        <v>193847.51708671509</v>
      </c>
    </row>
    <row r="49" spans="1:11" x14ac:dyDescent="0.25">
      <c r="A49" t="s">
        <v>696</v>
      </c>
      <c r="B49" t="s">
        <v>697</v>
      </c>
      <c r="C49" s="1">
        <v>40926</v>
      </c>
      <c r="D49" s="1">
        <v>40930</v>
      </c>
      <c r="E49">
        <v>3635</v>
      </c>
      <c r="F49" t="s">
        <v>309</v>
      </c>
      <c r="G49" t="s">
        <v>16</v>
      </c>
      <c r="H49" t="s">
        <v>698</v>
      </c>
      <c r="I49">
        <v>1.776</v>
      </c>
      <c r="J49">
        <v>18556.3</v>
      </c>
      <c r="K49">
        <v>10448.367117117117</v>
      </c>
    </row>
    <row r="50" spans="1:11" x14ac:dyDescent="0.25">
      <c r="A50" t="s">
        <v>696</v>
      </c>
      <c r="B50" t="s">
        <v>697</v>
      </c>
      <c r="C50" s="1">
        <v>40925</v>
      </c>
      <c r="D50" s="1">
        <v>40931</v>
      </c>
      <c r="E50">
        <v>3635</v>
      </c>
      <c r="F50" t="s">
        <v>309</v>
      </c>
      <c r="G50" t="s">
        <v>16</v>
      </c>
      <c r="H50" t="s">
        <v>699</v>
      </c>
      <c r="I50">
        <v>1.7836000000000001</v>
      </c>
      <c r="J50">
        <v>23902.240000000002</v>
      </c>
      <c r="K50">
        <v>13401.121327651939</v>
      </c>
    </row>
    <row r="51" spans="1:11" x14ac:dyDescent="0.25">
      <c r="A51" t="s">
        <v>700</v>
      </c>
      <c r="B51" t="s">
        <v>701</v>
      </c>
      <c r="C51" s="1">
        <v>40928</v>
      </c>
      <c r="D51" s="1">
        <v>40932</v>
      </c>
      <c r="E51">
        <v>113</v>
      </c>
      <c r="F51" t="s">
        <v>642</v>
      </c>
      <c r="G51" t="s">
        <v>16</v>
      </c>
      <c r="H51" t="s">
        <v>702</v>
      </c>
      <c r="I51">
        <v>1.7647999999999999</v>
      </c>
      <c r="J51">
        <v>157757.28</v>
      </c>
      <c r="K51">
        <v>89391.024478694468</v>
      </c>
    </row>
    <row r="52" spans="1:11" x14ac:dyDescent="0.25">
      <c r="A52" t="s">
        <v>684</v>
      </c>
      <c r="B52" t="s">
        <v>685</v>
      </c>
      <c r="C52" s="1">
        <v>40925</v>
      </c>
      <c r="D52" s="1">
        <v>40931</v>
      </c>
      <c r="E52">
        <v>3636</v>
      </c>
      <c r="F52" t="s">
        <v>309</v>
      </c>
      <c r="G52" t="s">
        <v>16</v>
      </c>
      <c r="H52" t="s">
        <v>4511</v>
      </c>
      <c r="I52">
        <v>1.7836000000000001</v>
      </c>
      <c r="J52">
        <v>28010.65</v>
      </c>
      <c r="K52">
        <v>15704.558196905136</v>
      </c>
    </row>
    <row r="53" spans="1:11" x14ac:dyDescent="0.25">
      <c r="A53" t="s">
        <v>677</v>
      </c>
      <c r="B53" t="s">
        <v>678</v>
      </c>
      <c r="C53" s="1">
        <v>40914</v>
      </c>
      <c r="D53" s="1">
        <v>40915</v>
      </c>
      <c r="E53">
        <v>2629</v>
      </c>
      <c r="F53" t="s">
        <v>331</v>
      </c>
      <c r="G53" t="s">
        <v>16</v>
      </c>
      <c r="H53" t="s">
        <v>703</v>
      </c>
      <c r="I53">
        <v>1.8371</v>
      </c>
      <c r="J53">
        <v>55142.19</v>
      </c>
      <c r="K53">
        <v>30015.88917315334</v>
      </c>
    </row>
    <row r="54" spans="1:11" x14ac:dyDescent="0.25">
      <c r="A54" t="s">
        <v>1841</v>
      </c>
      <c r="B54" t="s">
        <v>286</v>
      </c>
      <c r="C54" s="1">
        <v>40928</v>
      </c>
      <c r="D54" s="1">
        <v>40929</v>
      </c>
      <c r="E54">
        <v>1686</v>
      </c>
      <c r="F54" t="s">
        <v>311</v>
      </c>
      <c r="G54" t="s">
        <v>16</v>
      </c>
      <c r="H54" t="s">
        <v>4512</v>
      </c>
      <c r="I54">
        <v>1.7647999999999999</v>
      </c>
      <c r="J54">
        <v>97524.98</v>
      </c>
      <c r="K54">
        <v>55261.20806890299</v>
      </c>
    </row>
    <row r="55" spans="1:11" x14ac:dyDescent="0.25">
      <c r="A55" t="s">
        <v>704</v>
      </c>
      <c r="B55" t="s">
        <v>705</v>
      </c>
      <c r="C55" s="1">
        <v>40931</v>
      </c>
      <c r="D55" s="1">
        <v>40933</v>
      </c>
      <c r="E55">
        <v>3416</v>
      </c>
      <c r="F55" t="s">
        <v>689</v>
      </c>
      <c r="G55" t="s">
        <v>16</v>
      </c>
      <c r="H55" t="s">
        <v>706</v>
      </c>
      <c r="I55">
        <v>1.7669999999999999</v>
      </c>
      <c r="J55">
        <v>40258.589999999997</v>
      </c>
      <c r="K55">
        <v>22783.58234295416</v>
      </c>
    </row>
    <row r="56" spans="1:11" x14ac:dyDescent="0.25">
      <c r="A56" t="s">
        <v>704</v>
      </c>
      <c r="B56" t="s">
        <v>705</v>
      </c>
      <c r="C56" s="1">
        <v>40931</v>
      </c>
      <c r="D56" s="1">
        <v>40933</v>
      </c>
      <c r="E56">
        <v>3416</v>
      </c>
      <c r="F56" t="s">
        <v>689</v>
      </c>
      <c r="G56" t="s">
        <v>16</v>
      </c>
      <c r="H56" t="s">
        <v>4513</v>
      </c>
      <c r="I56">
        <v>1.7669999999999999</v>
      </c>
      <c r="J56">
        <v>40258.589999999997</v>
      </c>
      <c r="K56">
        <v>22783.58234295416</v>
      </c>
    </row>
    <row r="57" spans="1:11" x14ac:dyDescent="0.25">
      <c r="A57" t="s">
        <v>684</v>
      </c>
      <c r="B57" t="s">
        <v>685</v>
      </c>
      <c r="C57" s="1">
        <v>40926</v>
      </c>
      <c r="D57" s="1">
        <v>40931</v>
      </c>
      <c r="E57">
        <v>3636</v>
      </c>
      <c r="F57" t="s">
        <v>309</v>
      </c>
      <c r="G57" t="s">
        <v>16</v>
      </c>
      <c r="H57" t="s">
        <v>707</v>
      </c>
      <c r="I57">
        <v>1.776</v>
      </c>
      <c r="J57">
        <v>26753.71</v>
      </c>
      <c r="K57">
        <v>15064.025900900901</v>
      </c>
    </row>
    <row r="58" spans="1:11" x14ac:dyDescent="0.25">
      <c r="A58" t="s">
        <v>677</v>
      </c>
      <c r="B58" t="s">
        <v>678</v>
      </c>
      <c r="C58" s="1">
        <v>40907</v>
      </c>
      <c r="D58" s="1">
        <v>40913</v>
      </c>
      <c r="E58">
        <v>2629</v>
      </c>
      <c r="F58" t="s">
        <v>331</v>
      </c>
      <c r="G58" t="s">
        <v>16</v>
      </c>
      <c r="H58" t="s">
        <v>708</v>
      </c>
      <c r="I58">
        <v>1.8757999999999999</v>
      </c>
      <c r="J58">
        <v>57866.42</v>
      </c>
      <c r="K58">
        <v>30848.9284571916</v>
      </c>
    </row>
    <row r="59" spans="1:11" x14ac:dyDescent="0.25">
      <c r="A59" t="s">
        <v>709</v>
      </c>
      <c r="B59" t="s">
        <v>710</v>
      </c>
      <c r="C59" s="1">
        <v>40907</v>
      </c>
      <c r="D59" s="1">
        <v>40913</v>
      </c>
      <c r="E59">
        <v>4</v>
      </c>
      <c r="F59" t="s">
        <v>278</v>
      </c>
      <c r="G59" t="s">
        <v>16</v>
      </c>
      <c r="H59" t="s">
        <v>711</v>
      </c>
      <c r="I59">
        <v>1.8757999999999999</v>
      </c>
      <c r="J59">
        <v>130803.54</v>
      </c>
      <c r="K59">
        <v>69732.135622134563</v>
      </c>
    </row>
    <row r="60" spans="1:11" x14ac:dyDescent="0.25">
      <c r="A60" t="s">
        <v>704</v>
      </c>
      <c r="B60" t="s">
        <v>705</v>
      </c>
      <c r="C60" s="1">
        <v>40931</v>
      </c>
      <c r="D60" s="1">
        <v>40933</v>
      </c>
      <c r="E60">
        <v>3416</v>
      </c>
      <c r="F60" t="s">
        <v>689</v>
      </c>
      <c r="G60" t="s">
        <v>16</v>
      </c>
      <c r="H60" t="s">
        <v>4514</v>
      </c>
      <c r="I60">
        <v>1.7669999999999999</v>
      </c>
      <c r="J60">
        <v>40258.589999999997</v>
      </c>
      <c r="K60">
        <v>22783.58234295416</v>
      </c>
    </row>
    <row r="61" spans="1:11" x14ac:dyDescent="0.25">
      <c r="A61" t="s">
        <v>684</v>
      </c>
      <c r="B61" t="s">
        <v>685</v>
      </c>
      <c r="C61" s="1">
        <v>40926</v>
      </c>
      <c r="D61" s="1">
        <v>40933</v>
      </c>
      <c r="E61">
        <v>3636</v>
      </c>
      <c r="F61" t="s">
        <v>309</v>
      </c>
      <c r="G61" t="s">
        <v>16</v>
      </c>
      <c r="H61" t="s">
        <v>712</v>
      </c>
      <c r="I61">
        <v>1.776</v>
      </c>
      <c r="J61">
        <v>27919.24</v>
      </c>
      <c r="K61">
        <v>15720.292792792792</v>
      </c>
    </row>
    <row r="62" spans="1:11" x14ac:dyDescent="0.25">
      <c r="A62" t="s">
        <v>700</v>
      </c>
      <c r="B62" t="s">
        <v>701</v>
      </c>
      <c r="C62" s="1">
        <v>40932</v>
      </c>
      <c r="D62" s="1">
        <v>40935</v>
      </c>
      <c r="E62">
        <v>113</v>
      </c>
      <c r="F62" t="s">
        <v>642</v>
      </c>
      <c r="G62" t="s">
        <v>16</v>
      </c>
      <c r="H62" t="s">
        <v>4515</v>
      </c>
      <c r="I62">
        <v>1.7527999999999999</v>
      </c>
      <c r="J62">
        <v>51750</v>
      </c>
      <c r="K62">
        <v>29524.189867640347</v>
      </c>
    </row>
    <row r="63" spans="1:11" x14ac:dyDescent="0.25">
      <c r="A63" t="s">
        <v>4516</v>
      </c>
      <c r="B63" t="s">
        <v>4517</v>
      </c>
      <c r="C63" s="1">
        <v>40927</v>
      </c>
      <c r="D63" s="1">
        <v>40934</v>
      </c>
      <c r="E63">
        <v>3654</v>
      </c>
      <c r="F63" t="s">
        <v>642</v>
      </c>
      <c r="G63" t="s">
        <v>16</v>
      </c>
      <c r="H63" t="s">
        <v>4518</v>
      </c>
      <c r="I63">
        <v>1.7790999999999999</v>
      </c>
      <c r="J63">
        <v>286937.28000000003</v>
      </c>
      <c r="K63">
        <v>161282.26631442865</v>
      </c>
    </row>
    <row r="64" spans="1:11" x14ac:dyDescent="0.25">
      <c r="A64" t="s">
        <v>713</v>
      </c>
      <c r="B64" t="s">
        <v>714</v>
      </c>
      <c r="C64" s="1">
        <v>40942</v>
      </c>
      <c r="D64" s="1">
        <v>40944</v>
      </c>
      <c r="E64">
        <v>3412</v>
      </c>
      <c r="F64" t="s">
        <v>689</v>
      </c>
      <c r="G64" t="s">
        <v>16</v>
      </c>
      <c r="H64" t="s">
        <v>715</v>
      </c>
      <c r="I64">
        <v>1.7325999999999999</v>
      </c>
      <c r="J64">
        <v>27029.41</v>
      </c>
      <c r="K64">
        <v>15600.490592173612</v>
      </c>
    </row>
    <row r="65" spans="1:11" x14ac:dyDescent="0.25">
      <c r="A65" t="s">
        <v>654</v>
      </c>
      <c r="B65" t="s">
        <v>655</v>
      </c>
      <c r="C65" s="1">
        <v>40939</v>
      </c>
      <c r="D65" s="1">
        <v>40942</v>
      </c>
      <c r="E65">
        <v>116</v>
      </c>
      <c r="F65" t="s">
        <v>675</v>
      </c>
      <c r="G65" t="s">
        <v>16</v>
      </c>
      <c r="H65" t="s">
        <v>4519</v>
      </c>
      <c r="I65">
        <v>1.7508999999999999</v>
      </c>
      <c r="J65">
        <v>75504</v>
      </c>
      <c r="K65">
        <v>43122.965332114909</v>
      </c>
    </row>
    <row r="66" spans="1:11" x14ac:dyDescent="0.25">
      <c r="A66" t="s">
        <v>713</v>
      </c>
      <c r="B66" t="s">
        <v>714</v>
      </c>
      <c r="C66" s="1">
        <v>40942</v>
      </c>
      <c r="D66" s="1">
        <v>40943</v>
      </c>
      <c r="E66">
        <v>3412</v>
      </c>
      <c r="F66" t="s">
        <v>689</v>
      </c>
      <c r="G66" t="s">
        <v>16</v>
      </c>
      <c r="H66" t="s">
        <v>4520</v>
      </c>
      <c r="I66">
        <v>1.7325999999999999</v>
      </c>
      <c r="J66">
        <v>27014.81</v>
      </c>
      <c r="K66">
        <v>15592.063950132748</v>
      </c>
    </row>
    <row r="67" spans="1:11" x14ac:dyDescent="0.25">
      <c r="A67" t="s">
        <v>1851</v>
      </c>
      <c r="B67" t="s">
        <v>144</v>
      </c>
      <c r="C67" s="1">
        <v>41004</v>
      </c>
      <c r="D67" s="1">
        <v>41006</v>
      </c>
      <c r="E67">
        <v>3513</v>
      </c>
      <c r="F67" t="s">
        <v>689</v>
      </c>
      <c r="G67" t="s">
        <v>16</v>
      </c>
      <c r="H67" t="s">
        <v>4521</v>
      </c>
      <c r="I67">
        <v>1.8315999999999999</v>
      </c>
      <c r="J67">
        <v>22710</v>
      </c>
      <c r="K67">
        <v>12398.995413845818</v>
      </c>
    </row>
    <row r="68" spans="1:11" x14ac:dyDescent="0.25">
      <c r="A68" t="s">
        <v>1851</v>
      </c>
      <c r="B68" t="s">
        <v>144</v>
      </c>
      <c r="C68" s="1">
        <v>41003</v>
      </c>
      <c r="D68" s="1">
        <v>41006</v>
      </c>
      <c r="E68">
        <v>3513</v>
      </c>
      <c r="F68" t="s">
        <v>689</v>
      </c>
      <c r="G68" t="s">
        <v>16</v>
      </c>
      <c r="H68" t="s">
        <v>4522</v>
      </c>
      <c r="I68">
        <v>1.8255999999999999</v>
      </c>
      <c r="J68">
        <v>22218</v>
      </c>
      <c r="K68">
        <v>12170.245398773006</v>
      </c>
    </row>
    <row r="69" spans="1:11" x14ac:dyDescent="0.25">
      <c r="A69" t="s">
        <v>704</v>
      </c>
      <c r="B69" t="s">
        <v>705</v>
      </c>
      <c r="C69" s="1">
        <v>40982</v>
      </c>
      <c r="D69" s="1">
        <v>40985</v>
      </c>
      <c r="E69">
        <v>3416</v>
      </c>
      <c r="F69" t="s">
        <v>689</v>
      </c>
      <c r="G69" t="s">
        <v>16</v>
      </c>
      <c r="H69" t="s">
        <v>716</v>
      </c>
      <c r="I69">
        <v>1.8102</v>
      </c>
      <c r="J69">
        <v>40258.589999999997</v>
      </c>
      <c r="K69">
        <v>22239.85747431223</v>
      </c>
    </row>
    <row r="70" spans="1:11" x14ac:dyDescent="0.25">
      <c r="A70" t="s">
        <v>717</v>
      </c>
      <c r="B70" t="s">
        <v>718</v>
      </c>
      <c r="C70" s="1">
        <v>40994</v>
      </c>
      <c r="D70" s="1">
        <v>41001</v>
      </c>
      <c r="E70">
        <v>3</v>
      </c>
      <c r="F70" t="s">
        <v>309</v>
      </c>
      <c r="G70" t="s">
        <v>16</v>
      </c>
      <c r="H70" t="s">
        <v>719</v>
      </c>
      <c r="I70">
        <v>1.8193999999999999</v>
      </c>
      <c r="J70">
        <v>41486.28</v>
      </c>
      <c r="K70">
        <v>22802.17654171705</v>
      </c>
    </row>
    <row r="71" spans="1:11" x14ac:dyDescent="0.25">
      <c r="A71" t="s">
        <v>736</v>
      </c>
      <c r="B71" t="s">
        <v>737</v>
      </c>
      <c r="C71" s="1">
        <v>40969</v>
      </c>
      <c r="D71" s="1">
        <v>40970</v>
      </c>
      <c r="E71">
        <v>3415</v>
      </c>
      <c r="F71" t="s">
        <v>689</v>
      </c>
      <c r="G71" t="s">
        <v>16</v>
      </c>
      <c r="H71" t="s">
        <v>4523</v>
      </c>
      <c r="I71">
        <v>1.7092000000000001</v>
      </c>
      <c r="J71">
        <v>48533.56</v>
      </c>
      <c r="K71">
        <v>28395.483267025509</v>
      </c>
    </row>
    <row r="72" spans="1:11" x14ac:dyDescent="0.25">
      <c r="A72" t="s">
        <v>720</v>
      </c>
      <c r="B72" t="s">
        <v>721</v>
      </c>
      <c r="C72" s="1">
        <v>41079</v>
      </c>
      <c r="D72" s="1">
        <v>41080</v>
      </c>
      <c r="E72">
        <v>4819</v>
      </c>
      <c r="F72" t="s">
        <v>689</v>
      </c>
      <c r="G72" t="s">
        <v>16</v>
      </c>
      <c r="H72" t="s">
        <v>419</v>
      </c>
      <c r="I72">
        <v>2.0634000000000001</v>
      </c>
      <c r="J72">
        <v>42123.63</v>
      </c>
      <c r="K72">
        <v>20414.669962198313</v>
      </c>
    </row>
    <row r="73" spans="1:11" x14ac:dyDescent="0.25">
      <c r="A73" t="s">
        <v>687</v>
      </c>
      <c r="B73" t="s">
        <v>688</v>
      </c>
      <c r="C73" s="1">
        <v>40963</v>
      </c>
      <c r="D73" s="1">
        <v>40964</v>
      </c>
      <c r="E73">
        <v>3414</v>
      </c>
      <c r="F73" t="s">
        <v>689</v>
      </c>
      <c r="G73" t="s">
        <v>16</v>
      </c>
      <c r="H73" t="s">
        <v>722</v>
      </c>
      <c r="I73">
        <v>1.704</v>
      </c>
      <c r="J73">
        <v>40833.06</v>
      </c>
      <c r="K73">
        <v>23963.063380281692</v>
      </c>
    </row>
    <row r="74" spans="1:11" x14ac:dyDescent="0.25">
      <c r="A74" t="s">
        <v>704</v>
      </c>
      <c r="B74" t="s">
        <v>705</v>
      </c>
      <c r="C74" s="1">
        <v>40964</v>
      </c>
      <c r="D74" s="1">
        <v>40966</v>
      </c>
      <c r="E74">
        <v>3416</v>
      </c>
      <c r="F74" t="s">
        <v>689</v>
      </c>
      <c r="G74" t="s">
        <v>16</v>
      </c>
      <c r="H74" t="s">
        <v>3071</v>
      </c>
      <c r="I74">
        <v>1.7098</v>
      </c>
      <c r="J74">
        <v>40258.589999999997</v>
      </c>
      <c r="K74">
        <v>23545.788981167389</v>
      </c>
    </row>
    <row r="75" spans="1:11" x14ac:dyDescent="0.25">
      <c r="A75" t="s">
        <v>704</v>
      </c>
      <c r="B75" t="s">
        <v>705</v>
      </c>
      <c r="C75" s="1">
        <v>40978</v>
      </c>
      <c r="D75" s="1">
        <v>40981</v>
      </c>
      <c r="E75">
        <v>3416</v>
      </c>
      <c r="F75" t="s">
        <v>689</v>
      </c>
      <c r="G75" t="s">
        <v>16</v>
      </c>
      <c r="H75" t="s">
        <v>723</v>
      </c>
      <c r="I75">
        <v>1.7766999999999999</v>
      </c>
      <c r="J75">
        <v>34818.239999999998</v>
      </c>
      <c r="K75">
        <v>19597.140766589746</v>
      </c>
    </row>
    <row r="76" spans="1:11" x14ac:dyDescent="0.25">
      <c r="A76" t="s">
        <v>724</v>
      </c>
      <c r="B76" t="s">
        <v>725</v>
      </c>
      <c r="C76" s="1">
        <v>40976</v>
      </c>
      <c r="D76" s="1">
        <v>40981</v>
      </c>
      <c r="E76">
        <v>4019</v>
      </c>
      <c r="F76" t="s">
        <v>338</v>
      </c>
      <c r="G76" t="s">
        <v>16</v>
      </c>
      <c r="H76" t="s">
        <v>726</v>
      </c>
      <c r="I76">
        <v>1.7692000000000001</v>
      </c>
      <c r="J76">
        <v>10361.290000000001</v>
      </c>
      <c r="K76">
        <v>5856.4831562288036</v>
      </c>
    </row>
    <row r="77" spans="1:11" x14ac:dyDescent="0.25">
      <c r="A77" t="s">
        <v>727</v>
      </c>
      <c r="B77" t="s">
        <v>728</v>
      </c>
      <c r="C77" s="1">
        <v>40967</v>
      </c>
      <c r="D77" s="1">
        <v>40976</v>
      </c>
      <c r="E77">
        <v>1715</v>
      </c>
      <c r="F77" t="s">
        <v>689</v>
      </c>
      <c r="G77" t="s">
        <v>16</v>
      </c>
      <c r="H77" t="s">
        <v>729</v>
      </c>
      <c r="I77">
        <v>1.7088000000000001</v>
      </c>
      <c r="J77">
        <v>39170.519999999997</v>
      </c>
      <c r="K77">
        <v>22922.823033707864</v>
      </c>
    </row>
    <row r="78" spans="1:11" x14ac:dyDescent="0.25">
      <c r="A78" t="s">
        <v>727</v>
      </c>
      <c r="B78" t="s">
        <v>728</v>
      </c>
      <c r="C78" s="1">
        <v>40964</v>
      </c>
      <c r="D78" s="1">
        <v>40976</v>
      </c>
      <c r="E78">
        <v>1715</v>
      </c>
      <c r="F78" t="s">
        <v>689</v>
      </c>
      <c r="G78" t="s">
        <v>16</v>
      </c>
      <c r="H78" t="s">
        <v>730</v>
      </c>
      <c r="I78">
        <v>1.7098</v>
      </c>
      <c r="J78">
        <v>39170.519999999997</v>
      </c>
      <c r="K78">
        <v>22909.416306000701</v>
      </c>
    </row>
    <row r="79" spans="1:11" x14ac:dyDescent="0.25">
      <c r="A79" t="s">
        <v>727</v>
      </c>
      <c r="B79" t="s">
        <v>728</v>
      </c>
      <c r="C79" s="1">
        <v>40969</v>
      </c>
      <c r="D79" s="1">
        <v>40976</v>
      </c>
      <c r="E79">
        <v>1715</v>
      </c>
      <c r="F79" t="s">
        <v>689</v>
      </c>
      <c r="G79" t="s">
        <v>16</v>
      </c>
      <c r="H79" t="s">
        <v>3521</v>
      </c>
      <c r="I79">
        <v>1.7092000000000001</v>
      </c>
      <c r="J79">
        <v>39170.519999999997</v>
      </c>
      <c r="K79">
        <v>22917.458460098293</v>
      </c>
    </row>
    <row r="80" spans="1:11" x14ac:dyDescent="0.25">
      <c r="A80" t="s">
        <v>731</v>
      </c>
      <c r="B80" t="s">
        <v>732</v>
      </c>
      <c r="C80" s="1">
        <v>40974</v>
      </c>
      <c r="D80" s="1">
        <v>40976</v>
      </c>
      <c r="E80">
        <v>1716</v>
      </c>
      <c r="F80" t="s">
        <v>689</v>
      </c>
      <c r="G80" t="s">
        <v>16</v>
      </c>
      <c r="H80" t="s">
        <v>733</v>
      </c>
      <c r="I80">
        <v>1.7314000000000001</v>
      </c>
      <c r="J80">
        <v>49851.09</v>
      </c>
      <c r="K80">
        <v>28792.358784798427</v>
      </c>
    </row>
    <row r="81" spans="1:11" x14ac:dyDescent="0.25">
      <c r="A81" t="s">
        <v>731</v>
      </c>
      <c r="B81" t="s">
        <v>732</v>
      </c>
      <c r="C81" s="1">
        <v>40970</v>
      </c>
      <c r="D81" s="1">
        <v>40976</v>
      </c>
      <c r="E81">
        <v>1716</v>
      </c>
      <c r="F81" t="s">
        <v>689</v>
      </c>
      <c r="G81" t="s">
        <v>16</v>
      </c>
      <c r="H81" t="s">
        <v>734</v>
      </c>
      <c r="I81">
        <v>1.7152000000000001</v>
      </c>
      <c r="J81">
        <v>49716.65</v>
      </c>
      <c r="K81">
        <v>28985.920009328358</v>
      </c>
    </row>
    <row r="82" spans="1:11" x14ac:dyDescent="0.25">
      <c r="A82" t="s">
        <v>1372</v>
      </c>
      <c r="B82" t="s">
        <v>1373</v>
      </c>
      <c r="C82" s="1">
        <v>40966</v>
      </c>
      <c r="D82" s="1">
        <v>40969</v>
      </c>
      <c r="E82">
        <v>4280</v>
      </c>
      <c r="F82" t="s">
        <v>301</v>
      </c>
      <c r="G82" t="s">
        <v>16</v>
      </c>
      <c r="H82" t="s">
        <v>4524</v>
      </c>
      <c r="I82">
        <v>1.7098</v>
      </c>
      <c r="J82">
        <v>75793.05</v>
      </c>
      <c r="K82">
        <v>44328.605684875423</v>
      </c>
    </row>
    <row r="83" spans="1:11" x14ac:dyDescent="0.25">
      <c r="A83" t="s">
        <v>704</v>
      </c>
      <c r="B83" t="s">
        <v>705</v>
      </c>
      <c r="C83" s="1">
        <v>40971</v>
      </c>
      <c r="D83" s="1">
        <v>40974</v>
      </c>
      <c r="E83">
        <v>3416</v>
      </c>
      <c r="F83" t="s">
        <v>689</v>
      </c>
      <c r="G83" t="s">
        <v>16</v>
      </c>
      <c r="H83" t="s">
        <v>4525</v>
      </c>
      <c r="I83">
        <v>1.7244999999999999</v>
      </c>
      <c r="J83">
        <v>40258.589999999997</v>
      </c>
      <c r="K83">
        <v>23345.079733256018</v>
      </c>
    </row>
    <row r="84" spans="1:11" x14ac:dyDescent="0.25">
      <c r="A84" t="s">
        <v>704</v>
      </c>
      <c r="B84" t="s">
        <v>705</v>
      </c>
      <c r="C84" s="1">
        <v>40971</v>
      </c>
      <c r="D84" s="1">
        <v>40973</v>
      </c>
      <c r="E84">
        <v>3416</v>
      </c>
      <c r="F84" t="s">
        <v>689</v>
      </c>
      <c r="G84" t="s">
        <v>16</v>
      </c>
      <c r="H84" t="s">
        <v>4526</v>
      </c>
      <c r="I84">
        <v>1.7244999999999999</v>
      </c>
      <c r="J84">
        <v>40258.589999999997</v>
      </c>
      <c r="K84">
        <v>23345.079733256018</v>
      </c>
    </row>
    <row r="85" spans="1:11" x14ac:dyDescent="0.25">
      <c r="A85" t="s">
        <v>731</v>
      </c>
      <c r="B85" t="s">
        <v>732</v>
      </c>
      <c r="C85" s="1">
        <v>40934</v>
      </c>
      <c r="D85" s="1">
        <v>40951</v>
      </c>
      <c r="E85">
        <v>1716</v>
      </c>
      <c r="F85" t="s">
        <v>689</v>
      </c>
      <c r="G85" t="s">
        <v>16</v>
      </c>
      <c r="H85" t="s">
        <v>4527</v>
      </c>
      <c r="I85">
        <v>1.7632000000000001</v>
      </c>
      <c r="J85">
        <v>49582.21</v>
      </c>
      <c r="K85">
        <v>28120.581896551725</v>
      </c>
    </row>
    <row r="86" spans="1:11" x14ac:dyDescent="0.25">
      <c r="A86" t="s">
        <v>704</v>
      </c>
      <c r="B86" t="s">
        <v>705</v>
      </c>
      <c r="C86" s="1">
        <v>40976</v>
      </c>
      <c r="D86" s="1">
        <v>40979</v>
      </c>
      <c r="E86">
        <v>3416</v>
      </c>
      <c r="F86" t="s">
        <v>689</v>
      </c>
      <c r="G86" t="s">
        <v>16</v>
      </c>
      <c r="H86" t="s">
        <v>735</v>
      </c>
      <c r="I86">
        <v>1.7692000000000001</v>
      </c>
      <c r="J86">
        <v>39170.519999999997</v>
      </c>
      <c r="K86">
        <v>22140.244178159621</v>
      </c>
    </row>
    <row r="87" spans="1:11" x14ac:dyDescent="0.25">
      <c r="A87" t="s">
        <v>704</v>
      </c>
      <c r="B87" t="s">
        <v>705</v>
      </c>
      <c r="C87" s="1">
        <v>40976</v>
      </c>
      <c r="D87" s="1">
        <v>40978</v>
      </c>
      <c r="E87">
        <v>3416</v>
      </c>
      <c r="F87" t="s">
        <v>689</v>
      </c>
      <c r="G87" t="s">
        <v>16</v>
      </c>
      <c r="H87" t="s">
        <v>4528</v>
      </c>
      <c r="I87">
        <v>1.7692000000000001</v>
      </c>
      <c r="J87">
        <v>40258.589999999997</v>
      </c>
      <c r="K87">
        <v>22755.250960886275</v>
      </c>
    </row>
    <row r="88" spans="1:11" x14ac:dyDescent="0.25">
      <c r="A88" t="s">
        <v>736</v>
      </c>
      <c r="B88" t="s">
        <v>737</v>
      </c>
      <c r="C88" s="1">
        <v>40968</v>
      </c>
      <c r="D88" s="1">
        <v>40970</v>
      </c>
      <c r="E88">
        <v>3415</v>
      </c>
      <c r="F88" t="s">
        <v>689</v>
      </c>
      <c r="G88" t="s">
        <v>16</v>
      </c>
      <c r="H88" t="s">
        <v>4529</v>
      </c>
      <c r="I88">
        <v>1.7023999999999999</v>
      </c>
      <c r="J88">
        <v>67046.23</v>
      </c>
      <c r="K88">
        <v>39383.358787593985</v>
      </c>
    </row>
    <row r="89" spans="1:11" x14ac:dyDescent="0.25">
      <c r="A89" t="s">
        <v>736</v>
      </c>
      <c r="B89" t="s">
        <v>737</v>
      </c>
      <c r="C89" s="1">
        <v>40968</v>
      </c>
      <c r="D89" s="1">
        <v>40970</v>
      </c>
      <c r="E89">
        <v>3415</v>
      </c>
      <c r="F89" t="s">
        <v>689</v>
      </c>
      <c r="G89" t="s">
        <v>16</v>
      </c>
      <c r="H89" t="s">
        <v>4530</v>
      </c>
      <c r="I89">
        <v>1.7023999999999999</v>
      </c>
      <c r="J89">
        <v>49595.65</v>
      </c>
      <c r="K89">
        <v>29132.783129699248</v>
      </c>
    </row>
    <row r="90" spans="1:11" x14ac:dyDescent="0.25">
      <c r="A90" t="s">
        <v>736</v>
      </c>
      <c r="B90" t="s">
        <v>737</v>
      </c>
      <c r="C90" s="1">
        <v>40967</v>
      </c>
      <c r="D90" s="1">
        <v>40970</v>
      </c>
      <c r="E90">
        <v>3415</v>
      </c>
      <c r="F90" t="s">
        <v>689</v>
      </c>
      <c r="G90" t="s">
        <v>16</v>
      </c>
      <c r="H90" t="s">
        <v>738</v>
      </c>
      <c r="I90">
        <v>1.7088000000000001</v>
      </c>
      <c r="J90">
        <v>49676.32</v>
      </c>
      <c r="K90">
        <v>29070.880149812732</v>
      </c>
    </row>
    <row r="91" spans="1:11" x14ac:dyDescent="0.25">
      <c r="A91" t="s">
        <v>704</v>
      </c>
      <c r="B91" t="s">
        <v>705</v>
      </c>
      <c r="C91" s="1">
        <v>40973</v>
      </c>
      <c r="D91" s="1">
        <v>40976</v>
      </c>
      <c r="E91">
        <v>3416</v>
      </c>
      <c r="F91" t="s">
        <v>689</v>
      </c>
      <c r="G91" t="s">
        <v>16</v>
      </c>
      <c r="H91" t="s">
        <v>739</v>
      </c>
      <c r="I91">
        <v>1.7244999999999999</v>
      </c>
      <c r="J91">
        <v>40258.589999999997</v>
      </c>
      <c r="K91">
        <v>23345.079733256018</v>
      </c>
    </row>
    <row r="92" spans="1:11" x14ac:dyDescent="0.25">
      <c r="A92" t="s">
        <v>1851</v>
      </c>
      <c r="B92" t="s">
        <v>144</v>
      </c>
      <c r="C92" s="1">
        <v>41004</v>
      </c>
      <c r="D92" s="1">
        <v>41009</v>
      </c>
      <c r="E92">
        <v>3513</v>
      </c>
      <c r="F92" t="s">
        <v>689</v>
      </c>
      <c r="G92" t="s">
        <v>16</v>
      </c>
      <c r="H92" t="s">
        <v>4531</v>
      </c>
      <c r="I92">
        <v>1.8315999999999999</v>
      </c>
      <c r="J92">
        <v>22242</v>
      </c>
      <c r="K92">
        <v>12143.481109412536</v>
      </c>
    </row>
    <row r="93" spans="1:11" x14ac:dyDescent="0.25">
      <c r="A93" t="s">
        <v>720</v>
      </c>
      <c r="B93" t="s">
        <v>721</v>
      </c>
      <c r="C93" s="1">
        <v>41081</v>
      </c>
      <c r="D93" s="1">
        <v>41083</v>
      </c>
      <c r="E93">
        <v>4819</v>
      </c>
      <c r="F93" t="s">
        <v>689</v>
      </c>
      <c r="G93" t="s">
        <v>16</v>
      </c>
      <c r="H93" t="s">
        <v>4532</v>
      </c>
      <c r="I93">
        <v>2.0293000000000001</v>
      </c>
      <c r="J93">
        <v>43392.41</v>
      </c>
      <c r="K93">
        <v>21382.94485783275</v>
      </c>
    </row>
    <row r="94" spans="1:11" x14ac:dyDescent="0.25">
      <c r="A94" t="s">
        <v>720</v>
      </c>
      <c r="B94" t="s">
        <v>721</v>
      </c>
      <c r="C94" s="1">
        <v>41081</v>
      </c>
      <c r="D94" s="1">
        <v>41083</v>
      </c>
      <c r="E94">
        <v>4819</v>
      </c>
      <c r="F94" t="s">
        <v>689</v>
      </c>
      <c r="G94" t="s">
        <v>16</v>
      </c>
      <c r="H94" t="s">
        <v>740</v>
      </c>
      <c r="I94">
        <v>2.0293000000000001</v>
      </c>
      <c r="J94">
        <v>43000.24</v>
      </c>
      <c r="K94">
        <v>21189.691026462326</v>
      </c>
    </row>
    <row r="95" spans="1:11" x14ac:dyDescent="0.25">
      <c r="A95" t="s">
        <v>720</v>
      </c>
      <c r="B95" t="s">
        <v>721</v>
      </c>
      <c r="C95" s="1">
        <v>41079</v>
      </c>
      <c r="D95" s="1">
        <v>41081</v>
      </c>
      <c r="E95">
        <v>4819</v>
      </c>
      <c r="F95" t="s">
        <v>689</v>
      </c>
      <c r="G95" t="s">
        <v>16</v>
      </c>
      <c r="H95" t="s">
        <v>741</v>
      </c>
      <c r="I95">
        <v>2.0634000000000001</v>
      </c>
      <c r="J95">
        <v>42308.18</v>
      </c>
      <c r="K95">
        <v>20504.109721818357</v>
      </c>
    </row>
    <row r="96" spans="1:11" x14ac:dyDescent="0.25">
      <c r="A96" t="s">
        <v>720</v>
      </c>
      <c r="B96" t="s">
        <v>721</v>
      </c>
      <c r="C96" s="1">
        <v>41082</v>
      </c>
      <c r="D96" s="1">
        <v>41086</v>
      </c>
      <c r="E96">
        <v>4819</v>
      </c>
      <c r="F96" t="s">
        <v>689</v>
      </c>
      <c r="G96" t="s">
        <v>16</v>
      </c>
      <c r="H96" t="s">
        <v>742</v>
      </c>
      <c r="I96">
        <v>2.0363000000000002</v>
      </c>
      <c r="J96">
        <v>42654.21</v>
      </c>
      <c r="K96">
        <v>20946.918430486669</v>
      </c>
    </row>
    <row r="97" spans="1:11" x14ac:dyDescent="0.25">
      <c r="A97" t="s">
        <v>720</v>
      </c>
      <c r="B97" t="s">
        <v>721</v>
      </c>
      <c r="C97" s="1">
        <v>41078</v>
      </c>
      <c r="D97" s="1">
        <v>41080</v>
      </c>
      <c r="E97">
        <v>4819</v>
      </c>
      <c r="F97" t="s">
        <v>689</v>
      </c>
      <c r="G97" t="s">
        <v>16</v>
      </c>
      <c r="H97" t="s">
        <v>743</v>
      </c>
      <c r="I97">
        <v>2.0442999999999998</v>
      </c>
      <c r="J97">
        <v>42515.8</v>
      </c>
      <c r="K97">
        <v>20797.24110942621</v>
      </c>
    </row>
    <row r="98" spans="1:11" x14ac:dyDescent="0.25">
      <c r="A98" t="s">
        <v>720</v>
      </c>
      <c r="B98" t="s">
        <v>721</v>
      </c>
      <c r="C98" s="1">
        <v>41083</v>
      </c>
      <c r="D98" s="1">
        <v>41086</v>
      </c>
      <c r="E98">
        <v>4819</v>
      </c>
      <c r="F98" t="s">
        <v>689</v>
      </c>
      <c r="G98" t="s">
        <v>16</v>
      </c>
      <c r="H98" t="s">
        <v>744</v>
      </c>
      <c r="I98">
        <v>2.0554999999999999</v>
      </c>
      <c r="J98">
        <v>43553.89</v>
      </c>
      <c r="K98">
        <v>21188.951593286303</v>
      </c>
    </row>
    <row r="99" spans="1:11" x14ac:dyDescent="0.25">
      <c r="A99" t="s">
        <v>720</v>
      </c>
      <c r="B99" t="s">
        <v>721</v>
      </c>
      <c r="C99" s="1">
        <v>41082</v>
      </c>
      <c r="D99" s="1">
        <v>41084</v>
      </c>
      <c r="E99">
        <v>4819</v>
      </c>
      <c r="F99" t="s">
        <v>689</v>
      </c>
      <c r="G99" t="s">
        <v>16</v>
      </c>
      <c r="H99" t="s">
        <v>745</v>
      </c>
      <c r="I99">
        <v>2.0363000000000002</v>
      </c>
      <c r="J99">
        <v>43254</v>
      </c>
      <c r="K99">
        <v>21241.4673672838</v>
      </c>
    </row>
    <row r="100" spans="1:11" x14ac:dyDescent="0.25">
      <c r="A100" t="s">
        <v>720</v>
      </c>
      <c r="B100" t="s">
        <v>721</v>
      </c>
      <c r="C100" s="1">
        <v>41041</v>
      </c>
      <c r="D100" s="1">
        <v>41045</v>
      </c>
      <c r="E100">
        <v>4819</v>
      </c>
      <c r="F100" t="s">
        <v>689</v>
      </c>
      <c r="G100" t="s">
        <v>16</v>
      </c>
      <c r="H100" t="s">
        <v>746</v>
      </c>
      <c r="I100">
        <v>1.9513</v>
      </c>
      <c r="J100">
        <v>44025.43</v>
      </c>
      <c r="K100">
        <v>22562.102188284734</v>
      </c>
    </row>
    <row r="101" spans="1:11" x14ac:dyDescent="0.25">
      <c r="A101" t="s">
        <v>720</v>
      </c>
      <c r="B101" t="s">
        <v>721</v>
      </c>
      <c r="C101" s="1">
        <v>41069</v>
      </c>
      <c r="D101" s="1">
        <v>41073</v>
      </c>
      <c r="E101">
        <v>4819</v>
      </c>
      <c r="F101" t="s">
        <v>689</v>
      </c>
      <c r="G101" t="s">
        <v>16</v>
      </c>
      <c r="H101" t="s">
        <v>747</v>
      </c>
      <c r="I101">
        <v>2.0352999999999999</v>
      </c>
      <c r="J101">
        <v>44096.6</v>
      </c>
      <c r="K101">
        <v>21665.896919373066</v>
      </c>
    </row>
    <row r="102" spans="1:11" x14ac:dyDescent="0.25">
      <c r="A102" t="s">
        <v>748</v>
      </c>
      <c r="B102" t="s">
        <v>749</v>
      </c>
      <c r="C102" s="1">
        <v>41153</v>
      </c>
      <c r="D102" s="1">
        <v>41157</v>
      </c>
      <c r="E102">
        <v>4855</v>
      </c>
      <c r="F102" t="s">
        <v>309</v>
      </c>
      <c r="G102" t="s">
        <v>16</v>
      </c>
      <c r="H102" t="s">
        <v>750</v>
      </c>
      <c r="I102">
        <v>2.0371999999999999</v>
      </c>
      <c r="J102">
        <v>46539.34</v>
      </c>
      <c r="K102">
        <v>22844.757510308267</v>
      </c>
    </row>
    <row r="103" spans="1:11" x14ac:dyDescent="0.25">
      <c r="A103" t="s">
        <v>720</v>
      </c>
      <c r="B103" t="s">
        <v>721</v>
      </c>
      <c r="C103" s="1">
        <v>41116</v>
      </c>
      <c r="D103" s="1">
        <v>41121</v>
      </c>
      <c r="E103">
        <v>4819</v>
      </c>
      <c r="F103" t="s">
        <v>689</v>
      </c>
      <c r="G103" t="s">
        <v>16</v>
      </c>
      <c r="H103" t="s">
        <v>4533</v>
      </c>
      <c r="I103">
        <v>1</v>
      </c>
      <c r="J103">
        <v>42792.62</v>
      </c>
      <c r="K103">
        <v>42792.62</v>
      </c>
    </row>
    <row r="104" spans="1:11" x14ac:dyDescent="0.25">
      <c r="A104" t="s">
        <v>751</v>
      </c>
      <c r="B104" t="s">
        <v>752</v>
      </c>
      <c r="C104" s="1">
        <v>41103</v>
      </c>
      <c r="D104" s="1">
        <v>41106</v>
      </c>
      <c r="E104">
        <v>4250</v>
      </c>
      <c r="F104" t="s">
        <v>689</v>
      </c>
      <c r="G104" t="s">
        <v>16</v>
      </c>
      <c r="H104" t="s">
        <v>4534</v>
      </c>
      <c r="I104">
        <v>2.0470999999999999</v>
      </c>
      <c r="J104">
        <v>24301.79</v>
      </c>
      <c r="K104">
        <v>11871.325289433833</v>
      </c>
    </row>
    <row r="105" spans="1:11" x14ac:dyDescent="0.25">
      <c r="A105" t="s">
        <v>4535</v>
      </c>
      <c r="C105" s="1">
        <v>41087</v>
      </c>
      <c r="D105" s="1">
        <v>41108</v>
      </c>
      <c r="E105">
        <v>5139</v>
      </c>
      <c r="F105" t="s">
        <v>450</v>
      </c>
      <c r="G105" t="s">
        <v>16</v>
      </c>
      <c r="H105" t="s">
        <v>4097</v>
      </c>
      <c r="I105">
        <v>2.0743</v>
      </c>
      <c r="J105">
        <v>784</v>
      </c>
      <c r="K105">
        <v>377.95882948464543</v>
      </c>
    </row>
    <row r="106" spans="1:11" x14ac:dyDescent="0.25">
      <c r="A106" t="s">
        <v>751</v>
      </c>
      <c r="B106" t="s">
        <v>752</v>
      </c>
      <c r="C106" s="1">
        <v>41105</v>
      </c>
      <c r="D106" s="1">
        <v>41106</v>
      </c>
      <c r="E106">
        <v>4250</v>
      </c>
      <c r="F106" t="s">
        <v>689</v>
      </c>
      <c r="G106" t="s">
        <v>16</v>
      </c>
      <c r="H106" t="s">
        <v>753</v>
      </c>
      <c r="I106">
        <v>2.0337999999999998</v>
      </c>
      <c r="J106">
        <v>24558.43</v>
      </c>
      <c r="K106">
        <v>12075.145048677352</v>
      </c>
    </row>
    <row r="107" spans="1:11" x14ac:dyDescent="0.25">
      <c r="A107" t="s">
        <v>751</v>
      </c>
      <c r="B107" t="s">
        <v>752</v>
      </c>
      <c r="C107" s="1">
        <v>41110</v>
      </c>
      <c r="D107" s="1">
        <v>41113</v>
      </c>
      <c r="E107">
        <v>4250</v>
      </c>
      <c r="F107" t="s">
        <v>689</v>
      </c>
      <c r="G107" t="s">
        <v>16</v>
      </c>
      <c r="H107" t="s">
        <v>754</v>
      </c>
      <c r="I107">
        <v>2.0238999999999998</v>
      </c>
      <c r="J107">
        <v>24525.52</v>
      </c>
      <c r="K107">
        <v>12117.950491625081</v>
      </c>
    </row>
    <row r="108" spans="1:11" x14ac:dyDescent="0.25">
      <c r="A108" t="s">
        <v>751</v>
      </c>
      <c r="B108" t="s">
        <v>752</v>
      </c>
      <c r="C108" s="1">
        <v>41110</v>
      </c>
      <c r="D108" s="1">
        <v>41113</v>
      </c>
      <c r="E108">
        <v>4250</v>
      </c>
      <c r="F108" t="s">
        <v>689</v>
      </c>
      <c r="G108" t="s">
        <v>16</v>
      </c>
      <c r="H108" t="s">
        <v>4536</v>
      </c>
      <c r="I108">
        <v>2.0238999999999998</v>
      </c>
      <c r="J108">
        <v>24861.13</v>
      </c>
      <c r="K108">
        <v>12283.773901872622</v>
      </c>
    </row>
    <row r="109" spans="1:11" x14ac:dyDescent="0.25">
      <c r="A109" t="s">
        <v>751</v>
      </c>
      <c r="B109" t="s">
        <v>752</v>
      </c>
      <c r="C109" s="1">
        <v>41110</v>
      </c>
      <c r="D109" s="1">
        <v>41113</v>
      </c>
      <c r="E109">
        <v>4250</v>
      </c>
      <c r="F109" t="s">
        <v>689</v>
      </c>
      <c r="G109" t="s">
        <v>16</v>
      </c>
      <c r="H109" t="s">
        <v>755</v>
      </c>
      <c r="I109">
        <v>2.0238999999999998</v>
      </c>
      <c r="J109">
        <v>24018.83</v>
      </c>
      <c r="K109">
        <v>11867.597213301053</v>
      </c>
    </row>
    <row r="110" spans="1:11" x14ac:dyDescent="0.25">
      <c r="A110" t="s">
        <v>751</v>
      </c>
      <c r="B110" t="s">
        <v>752</v>
      </c>
      <c r="C110" s="1">
        <v>41110</v>
      </c>
      <c r="D110" s="1">
        <v>41113</v>
      </c>
      <c r="E110">
        <v>4250</v>
      </c>
      <c r="F110" t="s">
        <v>689</v>
      </c>
      <c r="G110" t="s">
        <v>16</v>
      </c>
      <c r="H110" t="s">
        <v>4537</v>
      </c>
      <c r="I110">
        <v>2.0238999999999998</v>
      </c>
      <c r="J110">
        <v>24393.91</v>
      </c>
      <c r="K110">
        <v>12052.922575226048</v>
      </c>
    </row>
    <row r="111" spans="1:11" x14ac:dyDescent="0.25">
      <c r="A111" t="s">
        <v>751</v>
      </c>
      <c r="B111" t="s">
        <v>752</v>
      </c>
      <c r="C111" s="1">
        <v>41111</v>
      </c>
      <c r="D111" s="1">
        <v>41113</v>
      </c>
      <c r="E111">
        <v>4250</v>
      </c>
      <c r="F111" t="s">
        <v>689</v>
      </c>
      <c r="G111" t="s">
        <v>16</v>
      </c>
      <c r="H111" t="s">
        <v>756</v>
      </c>
      <c r="I111">
        <v>2.0226999999999999</v>
      </c>
      <c r="J111">
        <v>24670.29</v>
      </c>
      <c r="K111">
        <v>12196.712315222228</v>
      </c>
    </row>
    <row r="112" spans="1:11" x14ac:dyDescent="0.25">
      <c r="A112" t="s">
        <v>4538</v>
      </c>
      <c r="C112" s="1">
        <v>41114</v>
      </c>
      <c r="D112" s="1">
        <v>41123</v>
      </c>
      <c r="E112">
        <v>5319</v>
      </c>
      <c r="F112" t="s">
        <v>478</v>
      </c>
      <c r="G112" t="s">
        <v>16</v>
      </c>
      <c r="H112" t="s">
        <v>4539</v>
      </c>
      <c r="I112">
        <v>2.0411999999999999</v>
      </c>
      <c r="J112">
        <v>15.19</v>
      </c>
      <c r="K112">
        <v>7.441700960219479</v>
      </c>
    </row>
    <row r="113" spans="1:11" x14ac:dyDescent="0.25">
      <c r="A113" t="s">
        <v>751</v>
      </c>
      <c r="B113" t="s">
        <v>752</v>
      </c>
      <c r="C113" s="1">
        <v>41113</v>
      </c>
      <c r="D113" s="1">
        <v>41114</v>
      </c>
      <c r="E113">
        <v>4250</v>
      </c>
      <c r="F113" t="s">
        <v>689</v>
      </c>
      <c r="G113" t="s">
        <v>16</v>
      </c>
      <c r="H113" t="s">
        <v>757</v>
      </c>
      <c r="I113">
        <v>2.0226999999999999</v>
      </c>
      <c r="J113">
        <v>33349.97</v>
      </c>
      <c r="K113">
        <v>16487.847926039452</v>
      </c>
    </row>
    <row r="114" spans="1:11" x14ac:dyDescent="0.25">
      <c r="A114" t="s">
        <v>751</v>
      </c>
      <c r="B114" t="s">
        <v>752</v>
      </c>
      <c r="C114" s="1">
        <v>41118</v>
      </c>
      <c r="D114" s="1">
        <v>41120</v>
      </c>
      <c r="E114">
        <v>4250</v>
      </c>
      <c r="F114" t="s">
        <v>689</v>
      </c>
      <c r="G114" t="s">
        <v>16</v>
      </c>
      <c r="H114" t="s">
        <v>758</v>
      </c>
      <c r="I114">
        <v>2.0173000000000001</v>
      </c>
      <c r="J114">
        <v>33705.32</v>
      </c>
      <c r="K114">
        <v>16708.134635403756</v>
      </c>
    </row>
    <row r="115" spans="1:11" x14ac:dyDescent="0.25">
      <c r="A115" t="s">
        <v>759</v>
      </c>
      <c r="B115" t="s">
        <v>760</v>
      </c>
      <c r="C115" s="1">
        <v>41087</v>
      </c>
      <c r="D115" s="1">
        <v>41100</v>
      </c>
      <c r="E115">
        <v>8</v>
      </c>
      <c r="F115" t="s">
        <v>689</v>
      </c>
      <c r="G115" t="s">
        <v>16</v>
      </c>
      <c r="H115" t="s">
        <v>761</v>
      </c>
      <c r="I115">
        <v>2.0743</v>
      </c>
      <c r="J115">
        <v>40814.050000000003</v>
      </c>
      <c r="K115">
        <v>19676.059393530348</v>
      </c>
    </row>
    <row r="116" spans="1:11" x14ac:dyDescent="0.25">
      <c r="A116" t="s">
        <v>759</v>
      </c>
      <c r="B116" t="s">
        <v>760</v>
      </c>
      <c r="C116" s="1">
        <v>41093</v>
      </c>
      <c r="D116" s="1">
        <v>41100</v>
      </c>
      <c r="E116">
        <v>8</v>
      </c>
      <c r="F116" t="s">
        <v>689</v>
      </c>
      <c r="G116" t="s">
        <v>16</v>
      </c>
      <c r="H116" t="s">
        <v>762</v>
      </c>
      <c r="I116">
        <v>1.9893000000000001</v>
      </c>
      <c r="J116">
        <v>41978.17</v>
      </c>
      <c r="K116">
        <v>21101.980596189613</v>
      </c>
    </row>
    <row r="117" spans="1:11" x14ac:dyDescent="0.25">
      <c r="A117" t="s">
        <v>759</v>
      </c>
      <c r="B117" t="s">
        <v>760</v>
      </c>
      <c r="C117" s="1">
        <v>41093</v>
      </c>
      <c r="D117" s="1">
        <v>41100</v>
      </c>
      <c r="E117">
        <v>8</v>
      </c>
      <c r="F117" t="s">
        <v>689</v>
      </c>
      <c r="G117" t="s">
        <v>16</v>
      </c>
      <c r="H117" t="s">
        <v>763</v>
      </c>
      <c r="I117">
        <v>1.9893000000000001</v>
      </c>
      <c r="J117">
        <v>41512.519999999997</v>
      </c>
      <c r="K117">
        <v>20867.903282561707</v>
      </c>
    </row>
    <row r="118" spans="1:11" x14ac:dyDescent="0.25">
      <c r="A118" t="s">
        <v>751</v>
      </c>
      <c r="B118" t="s">
        <v>752</v>
      </c>
      <c r="C118" s="1">
        <v>41107</v>
      </c>
      <c r="D118" s="1">
        <v>41108</v>
      </c>
      <c r="E118">
        <v>4250</v>
      </c>
      <c r="F118" t="s">
        <v>689</v>
      </c>
      <c r="G118" t="s">
        <v>16</v>
      </c>
      <c r="H118" t="s">
        <v>764</v>
      </c>
      <c r="I118">
        <v>2.0379999999999998</v>
      </c>
      <c r="J118">
        <v>24578.17</v>
      </c>
      <c r="K118">
        <v>12059.946025515212</v>
      </c>
    </row>
    <row r="119" spans="1:11" x14ac:dyDescent="0.25">
      <c r="A119" t="s">
        <v>751</v>
      </c>
      <c r="B119" t="s">
        <v>752</v>
      </c>
      <c r="C119" s="1">
        <v>41106</v>
      </c>
      <c r="D119" s="1">
        <v>41108</v>
      </c>
      <c r="E119">
        <v>4250</v>
      </c>
      <c r="F119" t="s">
        <v>689</v>
      </c>
      <c r="G119" t="s">
        <v>16</v>
      </c>
      <c r="H119" t="s">
        <v>765</v>
      </c>
      <c r="I119">
        <v>2.0337999999999998</v>
      </c>
      <c r="J119">
        <v>32784.050000000003</v>
      </c>
      <c r="K119">
        <v>16119.603697512046</v>
      </c>
    </row>
    <row r="120" spans="1:11" x14ac:dyDescent="0.25">
      <c r="A120" t="s">
        <v>751</v>
      </c>
      <c r="B120" t="s">
        <v>752</v>
      </c>
      <c r="C120" s="1">
        <v>41120</v>
      </c>
      <c r="D120" s="1">
        <v>41121</v>
      </c>
      <c r="E120">
        <v>4250</v>
      </c>
      <c r="F120" t="s">
        <v>689</v>
      </c>
      <c r="G120" t="s">
        <v>16</v>
      </c>
      <c r="H120" t="s">
        <v>766</v>
      </c>
      <c r="I120">
        <v>2.0173000000000001</v>
      </c>
      <c r="J120">
        <v>24472.880000000001</v>
      </c>
      <c r="K120">
        <v>12131.502503346057</v>
      </c>
    </row>
    <row r="121" spans="1:11" x14ac:dyDescent="0.25">
      <c r="A121" t="s">
        <v>751</v>
      </c>
      <c r="B121" t="s">
        <v>752</v>
      </c>
      <c r="C121" s="1">
        <v>41120</v>
      </c>
      <c r="D121" s="1">
        <v>41121</v>
      </c>
      <c r="E121">
        <v>4250</v>
      </c>
      <c r="F121" t="s">
        <v>689</v>
      </c>
      <c r="G121" t="s">
        <v>16</v>
      </c>
      <c r="H121" t="s">
        <v>4540</v>
      </c>
      <c r="I121">
        <v>2.0173000000000001</v>
      </c>
      <c r="J121">
        <v>24308.37</v>
      </c>
      <c r="K121">
        <v>12049.95290735141</v>
      </c>
    </row>
    <row r="122" spans="1:11" x14ac:dyDescent="0.25">
      <c r="A122" t="s">
        <v>751</v>
      </c>
      <c r="B122" t="s">
        <v>752</v>
      </c>
      <c r="C122" s="1">
        <v>41120</v>
      </c>
      <c r="D122" s="1">
        <v>41122</v>
      </c>
      <c r="E122">
        <v>4250</v>
      </c>
      <c r="F122" t="s">
        <v>689</v>
      </c>
      <c r="G122" t="s">
        <v>16</v>
      </c>
      <c r="H122" t="s">
        <v>4541</v>
      </c>
      <c r="I122">
        <v>2.0173000000000001</v>
      </c>
      <c r="J122">
        <v>24413.66</v>
      </c>
      <c r="K122">
        <v>12102.146433351509</v>
      </c>
    </row>
    <row r="123" spans="1:11" x14ac:dyDescent="0.25">
      <c r="A123" t="s">
        <v>751</v>
      </c>
      <c r="B123" t="s">
        <v>752</v>
      </c>
      <c r="C123" s="1">
        <v>41105</v>
      </c>
      <c r="D123" s="1">
        <v>41107</v>
      </c>
      <c r="E123">
        <v>4250</v>
      </c>
      <c r="F123" t="s">
        <v>689</v>
      </c>
      <c r="G123" t="s">
        <v>16</v>
      </c>
      <c r="H123" t="s">
        <v>767</v>
      </c>
      <c r="I123">
        <v>2.0337999999999998</v>
      </c>
      <c r="J123">
        <v>33494.75</v>
      </c>
      <c r="K123">
        <v>16469.04808732422</v>
      </c>
    </row>
    <row r="124" spans="1:11" x14ac:dyDescent="0.25">
      <c r="A124" t="s">
        <v>751</v>
      </c>
      <c r="B124" t="s">
        <v>752</v>
      </c>
      <c r="C124" s="1">
        <v>41113</v>
      </c>
      <c r="D124" s="1">
        <v>41114</v>
      </c>
      <c r="E124">
        <v>4250</v>
      </c>
      <c r="F124" t="s">
        <v>689</v>
      </c>
      <c r="G124" t="s">
        <v>16</v>
      </c>
      <c r="H124" t="s">
        <v>4542</v>
      </c>
      <c r="I124">
        <v>2.0226999999999999</v>
      </c>
      <c r="J124">
        <v>24894.03</v>
      </c>
      <c r="K124">
        <v>12307.326840361893</v>
      </c>
    </row>
    <row r="125" spans="1:11" x14ac:dyDescent="0.25">
      <c r="A125" t="s">
        <v>1398</v>
      </c>
      <c r="B125" t="s">
        <v>1399</v>
      </c>
      <c r="C125" s="1">
        <v>41129</v>
      </c>
      <c r="D125" s="1">
        <v>41135</v>
      </c>
      <c r="E125">
        <v>1905</v>
      </c>
      <c r="F125" t="s">
        <v>689</v>
      </c>
      <c r="G125" t="s">
        <v>16</v>
      </c>
      <c r="H125" t="s">
        <v>4543</v>
      </c>
      <c r="I125">
        <v>2.0280999999999998</v>
      </c>
      <c r="J125">
        <v>24880.87</v>
      </c>
      <c r="K125">
        <v>12268.068635668853</v>
      </c>
    </row>
    <row r="126" spans="1:11" x14ac:dyDescent="0.25">
      <c r="A126" t="s">
        <v>751</v>
      </c>
      <c r="B126" t="s">
        <v>752</v>
      </c>
      <c r="C126" s="1">
        <v>41129</v>
      </c>
      <c r="D126" s="1">
        <v>41131</v>
      </c>
      <c r="E126">
        <v>4250</v>
      </c>
      <c r="F126" t="s">
        <v>689</v>
      </c>
      <c r="G126" t="s">
        <v>16</v>
      </c>
      <c r="H126" t="s">
        <v>4544</v>
      </c>
      <c r="I126">
        <v>2.0280999999999998</v>
      </c>
      <c r="J126">
        <v>24242.560000000001</v>
      </c>
      <c r="K126">
        <v>11953.335634337558</v>
      </c>
    </row>
    <row r="127" spans="1:11" x14ac:dyDescent="0.25">
      <c r="A127" t="s">
        <v>1398</v>
      </c>
      <c r="B127" t="s">
        <v>1399</v>
      </c>
      <c r="C127" s="1">
        <v>41141</v>
      </c>
      <c r="D127" s="1">
        <v>41143</v>
      </c>
      <c r="E127">
        <v>1905</v>
      </c>
      <c r="F127" t="s">
        <v>689</v>
      </c>
      <c r="G127" t="s">
        <v>16</v>
      </c>
      <c r="H127" t="s">
        <v>4545</v>
      </c>
      <c r="I127">
        <v>2.0182000000000002</v>
      </c>
      <c r="J127">
        <v>33185.46</v>
      </c>
      <c r="K127">
        <v>16443.097809929641</v>
      </c>
    </row>
    <row r="128" spans="1:11" x14ac:dyDescent="0.25">
      <c r="A128" t="s">
        <v>1398</v>
      </c>
      <c r="B128" t="s">
        <v>1399</v>
      </c>
      <c r="C128" s="1">
        <v>41141</v>
      </c>
      <c r="D128" s="1">
        <v>41143</v>
      </c>
      <c r="E128">
        <v>1905</v>
      </c>
      <c r="F128" t="s">
        <v>689</v>
      </c>
      <c r="G128" t="s">
        <v>16</v>
      </c>
      <c r="H128" t="s">
        <v>4546</v>
      </c>
      <c r="I128">
        <v>2.0182000000000002</v>
      </c>
      <c r="J128">
        <v>24456.43</v>
      </c>
      <c r="K128">
        <v>12117.941730254683</v>
      </c>
    </row>
    <row r="129" spans="1:11" x14ac:dyDescent="0.25">
      <c r="A129" t="s">
        <v>1398</v>
      </c>
      <c r="B129" t="s">
        <v>1399</v>
      </c>
      <c r="C129" s="1">
        <v>41141</v>
      </c>
      <c r="D129" s="1">
        <v>41143</v>
      </c>
      <c r="E129">
        <v>1905</v>
      </c>
      <c r="F129" t="s">
        <v>689</v>
      </c>
      <c r="G129" t="s">
        <v>16</v>
      </c>
      <c r="H129" t="s">
        <v>4547</v>
      </c>
      <c r="I129">
        <v>2.0182000000000002</v>
      </c>
      <c r="J129">
        <v>24821.65</v>
      </c>
      <c r="K129">
        <v>12298.904964820136</v>
      </c>
    </row>
    <row r="130" spans="1:11" x14ac:dyDescent="0.25">
      <c r="A130" t="s">
        <v>1398</v>
      </c>
      <c r="B130" t="s">
        <v>1399</v>
      </c>
      <c r="C130" s="1">
        <v>41139</v>
      </c>
      <c r="D130" s="1">
        <v>41143</v>
      </c>
      <c r="E130">
        <v>1905</v>
      </c>
      <c r="F130" t="s">
        <v>689</v>
      </c>
      <c r="G130" t="s">
        <v>16</v>
      </c>
      <c r="H130" t="s">
        <v>4548</v>
      </c>
      <c r="I130">
        <v>2.0182000000000002</v>
      </c>
      <c r="J130">
        <v>33600.03</v>
      </c>
      <c r="K130">
        <v>16648.513526905164</v>
      </c>
    </row>
    <row r="131" spans="1:11" x14ac:dyDescent="0.25">
      <c r="A131" t="s">
        <v>751</v>
      </c>
      <c r="B131" t="s">
        <v>752</v>
      </c>
      <c r="C131" s="1">
        <v>41130</v>
      </c>
      <c r="D131" s="1">
        <v>41135</v>
      </c>
      <c r="E131">
        <v>4250</v>
      </c>
      <c r="F131" t="s">
        <v>689</v>
      </c>
      <c r="G131" t="s">
        <v>16</v>
      </c>
      <c r="H131" t="s">
        <v>768</v>
      </c>
      <c r="I131">
        <v>2.0272999999999999</v>
      </c>
      <c r="J131">
        <v>33185.46</v>
      </c>
      <c r="K131">
        <v>16369.289202387412</v>
      </c>
    </row>
    <row r="132" spans="1:11" x14ac:dyDescent="0.25">
      <c r="A132" t="s">
        <v>4549</v>
      </c>
      <c r="B132" t="s">
        <v>4550</v>
      </c>
      <c r="C132" s="1">
        <v>41162</v>
      </c>
      <c r="D132" s="1">
        <v>41164</v>
      </c>
      <c r="E132">
        <v>4844</v>
      </c>
      <c r="F132" t="s">
        <v>280</v>
      </c>
      <c r="G132" t="s">
        <v>16</v>
      </c>
      <c r="H132" t="s">
        <v>4551</v>
      </c>
      <c r="I132">
        <v>2.0381</v>
      </c>
      <c r="J132">
        <v>80121.789999999994</v>
      </c>
      <c r="K132">
        <v>39312.001373828563</v>
      </c>
    </row>
    <row r="133" spans="1:11" x14ac:dyDescent="0.25">
      <c r="A133" t="s">
        <v>4552</v>
      </c>
      <c r="B133" t="s">
        <v>4553</v>
      </c>
      <c r="C133" s="1">
        <v>41156</v>
      </c>
      <c r="D133" s="1">
        <v>41158</v>
      </c>
      <c r="E133">
        <v>4870</v>
      </c>
      <c r="F133" t="s">
        <v>278</v>
      </c>
      <c r="G133" t="s">
        <v>16</v>
      </c>
      <c r="H133" t="s">
        <v>4554</v>
      </c>
      <c r="I133">
        <v>2.0335000000000001</v>
      </c>
      <c r="J133">
        <v>196950</v>
      </c>
      <c r="K133">
        <v>96852.716990410627</v>
      </c>
    </row>
    <row r="134" spans="1:11" x14ac:dyDescent="0.25">
      <c r="A134" t="s">
        <v>751</v>
      </c>
      <c r="B134" t="s">
        <v>752</v>
      </c>
      <c r="C134" s="1">
        <v>41130</v>
      </c>
      <c r="D134" s="1">
        <v>41132</v>
      </c>
      <c r="E134">
        <v>4250</v>
      </c>
      <c r="F134" t="s">
        <v>689</v>
      </c>
      <c r="G134" t="s">
        <v>16</v>
      </c>
      <c r="H134" t="s">
        <v>769</v>
      </c>
      <c r="I134">
        <v>2.0272999999999999</v>
      </c>
      <c r="J134">
        <v>33600.03</v>
      </c>
      <c r="K134">
        <v>16573.782863907662</v>
      </c>
    </row>
    <row r="135" spans="1:11" x14ac:dyDescent="0.25">
      <c r="A135" t="s">
        <v>751</v>
      </c>
      <c r="B135" t="s">
        <v>752</v>
      </c>
      <c r="C135" s="1">
        <v>41129</v>
      </c>
      <c r="D135" s="1">
        <v>41132</v>
      </c>
      <c r="E135">
        <v>4250</v>
      </c>
      <c r="F135" t="s">
        <v>689</v>
      </c>
      <c r="G135" t="s">
        <v>16</v>
      </c>
      <c r="H135" t="s">
        <v>4555</v>
      </c>
      <c r="I135">
        <v>2.0280999999999998</v>
      </c>
      <c r="J135">
        <v>24828.23</v>
      </c>
      <c r="K135">
        <v>12242.113308022286</v>
      </c>
    </row>
    <row r="136" spans="1:11" x14ac:dyDescent="0.25">
      <c r="A136" t="s">
        <v>770</v>
      </c>
      <c r="B136" t="s">
        <v>771</v>
      </c>
      <c r="C136" s="1">
        <v>41165</v>
      </c>
      <c r="D136" s="1">
        <v>41169</v>
      </c>
      <c r="E136">
        <v>4824</v>
      </c>
      <c r="F136" t="s">
        <v>331</v>
      </c>
      <c r="G136" t="s">
        <v>16</v>
      </c>
      <c r="H136" t="s">
        <v>772</v>
      </c>
      <c r="I136">
        <v>2.0204</v>
      </c>
      <c r="J136">
        <v>55943.55</v>
      </c>
      <c r="K136">
        <v>27689.343694317959</v>
      </c>
    </row>
    <row r="137" spans="1:11" x14ac:dyDescent="0.25">
      <c r="A137" t="s">
        <v>751</v>
      </c>
      <c r="B137" t="s">
        <v>752</v>
      </c>
      <c r="C137" s="1">
        <v>41129</v>
      </c>
      <c r="D137" s="1">
        <v>41131</v>
      </c>
      <c r="E137">
        <v>4250</v>
      </c>
      <c r="F137" t="s">
        <v>689</v>
      </c>
      <c r="G137" t="s">
        <v>16</v>
      </c>
      <c r="H137" t="s">
        <v>773</v>
      </c>
      <c r="I137">
        <v>2.0280999999999998</v>
      </c>
      <c r="J137">
        <v>24505.78</v>
      </c>
      <c r="K137">
        <v>12083.12213401706</v>
      </c>
    </row>
    <row r="138" spans="1:11" x14ac:dyDescent="0.25">
      <c r="A138" t="s">
        <v>774</v>
      </c>
      <c r="B138" t="s">
        <v>775</v>
      </c>
      <c r="C138" s="1">
        <v>41143</v>
      </c>
      <c r="D138" s="1">
        <v>41149</v>
      </c>
      <c r="E138">
        <v>4826</v>
      </c>
      <c r="F138" t="s">
        <v>311</v>
      </c>
      <c r="G138" t="s">
        <v>16</v>
      </c>
      <c r="H138" t="s">
        <v>776</v>
      </c>
      <c r="I138">
        <v>2.0173000000000001</v>
      </c>
      <c r="J138">
        <v>645344</v>
      </c>
      <c r="K138">
        <v>319904.82327863976</v>
      </c>
    </row>
    <row r="139" spans="1:11" x14ac:dyDescent="0.25">
      <c r="A139" t="s">
        <v>774</v>
      </c>
      <c r="B139" t="s">
        <v>775</v>
      </c>
      <c r="C139" s="1">
        <v>41143</v>
      </c>
      <c r="D139" s="1">
        <v>41149</v>
      </c>
      <c r="E139">
        <v>4826</v>
      </c>
      <c r="F139" t="s">
        <v>311</v>
      </c>
      <c r="G139" t="s">
        <v>16</v>
      </c>
      <c r="H139" t="s">
        <v>777</v>
      </c>
      <c r="I139">
        <v>2.0173000000000001</v>
      </c>
      <c r="J139">
        <v>185859.07</v>
      </c>
      <c r="K139">
        <v>92132.588112824073</v>
      </c>
    </row>
    <row r="140" spans="1:11" x14ac:dyDescent="0.25">
      <c r="A140" t="s">
        <v>748</v>
      </c>
      <c r="B140" t="s">
        <v>749</v>
      </c>
      <c r="C140" s="1">
        <v>41153</v>
      </c>
      <c r="D140" s="1">
        <v>41164</v>
      </c>
      <c r="E140">
        <v>4855</v>
      </c>
      <c r="F140" t="s">
        <v>309</v>
      </c>
      <c r="G140" t="s">
        <v>16</v>
      </c>
      <c r="H140" t="s">
        <v>778</v>
      </c>
      <c r="I140">
        <v>2.0371999999999999</v>
      </c>
      <c r="J140">
        <v>38992.42</v>
      </c>
      <c r="K140">
        <v>19140.202238366386</v>
      </c>
    </row>
    <row r="141" spans="1:11" x14ac:dyDescent="0.25">
      <c r="A141" t="s">
        <v>786</v>
      </c>
      <c r="B141" t="s">
        <v>771</v>
      </c>
      <c r="C141" s="1">
        <v>41164</v>
      </c>
      <c r="D141" s="1">
        <v>41167</v>
      </c>
      <c r="E141">
        <v>4823</v>
      </c>
      <c r="F141" t="s">
        <v>331</v>
      </c>
      <c r="G141" t="s">
        <v>16</v>
      </c>
      <c r="H141" t="s">
        <v>2378</v>
      </c>
      <c r="I141">
        <v>2.0196999999999998</v>
      </c>
      <c r="J141">
        <v>35840.31</v>
      </c>
      <c r="K141">
        <v>17745.363172748428</v>
      </c>
    </row>
    <row r="142" spans="1:11" x14ac:dyDescent="0.25">
      <c r="A142" t="s">
        <v>1904</v>
      </c>
      <c r="B142" t="s">
        <v>144</v>
      </c>
      <c r="C142" s="1">
        <v>41163</v>
      </c>
      <c r="D142" s="1">
        <v>41167</v>
      </c>
      <c r="E142">
        <v>4818</v>
      </c>
      <c r="F142" t="s">
        <v>642</v>
      </c>
      <c r="G142" t="s">
        <v>16</v>
      </c>
      <c r="H142" t="s">
        <v>4556</v>
      </c>
      <c r="I142">
        <v>2.0240999999999998</v>
      </c>
      <c r="J142">
        <v>94921.83</v>
      </c>
      <c r="K142">
        <v>46895.820364606494</v>
      </c>
    </row>
    <row r="143" spans="1:11" x14ac:dyDescent="0.25">
      <c r="A143" t="s">
        <v>779</v>
      </c>
      <c r="B143" t="s">
        <v>771</v>
      </c>
      <c r="C143" s="1">
        <v>41157</v>
      </c>
      <c r="D143" s="1">
        <v>41158</v>
      </c>
      <c r="E143">
        <v>4822</v>
      </c>
      <c r="F143" t="s">
        <v>331</v>
      </c>
      <c r="G143" t="s">
        <v>16</v>
      </c>
      <c r="H143" t="s">
        <v>780</v>
      </c>
      <c r="I143">
        <v>2.0392000000000001</v>
      </c>
      <c r="J143">
        <v>55966.33</v>
      </c>
      <c r="K143">
        <v>27445.238328756375</v>
      </c>
    </row>
    <row r="144" spans="1:11" x14ac:dyDescent="0.25">
      <c r="A144" t="s">
        <v>751</v>
      </c>
      <c r="B144" t="s">
        <v>752</v>
      </c>
      <c r="C144" s="1">
        <v>41123</v>
      </c>
      <c r="D144" s="1">
        <v>41124</v>
      </c>
      <c r="E144">
        <v>4250</v>
      </c>
      <c r="F144" t="s">
        <v>689</v>
      </c>
      <c r="G144" t="s">
        <v>16</v>
      </c>
      <c r="H144" t="s">
        <v>4557</v>
      </c>
      <c r="I144">
        <v>2.0432000000000001</v>
      </c>
      <c r="J144">
        <v>32468.19</v>
      </c>
      <c r="K144">
        <v>15890.852584181675</v>
      </c>
    </row>
    <row r="145" spans="1:11" x14ac:dyDescent="0.25">
      <c r="A145" t="s">
        <v>793</v>
      </c>
      <c r="B145" t="s">
        <v>794</v>
      </c>
      <c r="C145" s="1">
        <v>41145</v>
      </c>
      <c r="D145" s="1">
        <v>41163</v>
      </c>
      <c r="E145">
        <v>3</v>
      </c>
      <c r="F145" t="s">
        <v>309</v>
      </c>
      <c r="G145" t="s">
        <v>16</v>
      </c>
      <c r="H145" t="s">
        <v>4558</v>
      </c>
      <c r="I145">
        <v>2.0240999999999998</v>
      </c>
      <c r="J145">
        <v>48351.97</v>
      </c>
      <c r="K145">
        <v>23888.132997381552</v>
      </c>
    </row>
    <row r="146" spans="1:11" x14ac:dyDescent="0.25">
      <c r="A146" t="s">
        <v>811</v>
      </c>
      <c r="B146" t="s">
        <v>812</v>
      </c>
      <c r="C146" s="1">
        <v>41134</v>
      </c>
      <c r="D146" s="1">
        <v>41141</v>
      </c>
      <c r="E146">
        <v>5271</v>
      </c>
      <c r="F146" t="s">
        <v>331</v>
      </c>
      <c r="G146" t="s">
        <v>16</v>
      </c>
      <c r="H146" t="s">
        <v>4559</v>
      </c>
      <c r="I146">
        <v>2.0175000000000001</v>
      </c>
      <c r="J146">
        <v>87177.07</v>
      </c>
      <c r="K146">
        <v>43210.44361833953</v>
      </c>
    </row>
    <row r="147" spans="1:11" x14ac:dyDescent="0.25">
      <c r="A147" t="s">
        <v>774</v>
      </c>
      <c r="B147" t="s">
        <v>775</v>
      </c>
      <c r="C147" s="1">
        <v>41143</v>
      </c>
      <c r="D147" s="1">
        <v>41149</v>
      </c>
      <c r="E147">
        <v>4826</v>
      </c>
      <c r="F147" t="s">
        <v>311</v>
      </c>
      <c r="G147" t="s">
        <v>16</v>
      </c>
      <c r="H147" t="s">
        <v>781</v>
      </c>
      <c r="I147">
        <v>2.0173000000000001</v>
      </c>
      <c r="J147">
        <v>511962.53</v>
      </c>
      <c r="K147">
        <v>253786.01596192931</v>
      </c>
    </row>
    <row r="148" spans="1:11" x14ac:dyDescent="0.25">
      <c r="A148" t="s">
        <v>774</v>
      </c>
      <c r="B148" t="s">
        <v>775</v>
      </c>
      <c r="C148" s="1">
        <v>41144</v>
      </c>
      <c r="D148" s="1">
        <v>41149</v>
      </c>
      <c r="E148">
        <v>4826</v>
      </c>
      <c r="F148" t="s">
        <v>311</v>
      </c>
      <c r="G148" t="s">
        <v>16</v>
      </c>
      <c r="H148" t="s">
        <v>782</v>
      </c>
      <c r="I148">
        <v>2.0209999999999999</v>
      </c>
      <c r="J148">
        <v>1939.58</v>
      </c>
      <c r="K148">
        <v>959.71301335972294</v>
      </c>
    </row>
    <row r="149" spans="1:11" x14ac:dyDescent="0.25">
      <c r="A149" t="s">
        <v>1416</v>
      </c>
      <c r="B149" t="s">
        <v>771</v>
      </c>
      <c r="C149" s="1">
        <v>41163</v>
      </c>
      <c r="D149" s="1">
        <v>41166</v>
      </c>
      <c r="E149">
        <v>4821</v>
      </c>
      <c r="F149" t="s">
        <v>331</v>
      </c>
      <c r="G149" t="s">
        <v>16</v>
      </c>
      <c r="H149" t="s">
        <v>4560</v>
      </c>
      <c r="I149">
        <v>2.0240999999999998</v>
      </c>
      <c r="J149">
        <v>58036.66</v>
      </c>
      <c r="K149">
        <v>28672.82248900746</v>
      </c>
    </row>
    <row r="150" spans="1:11" x14ac:dyDescent="0.25">
      <c r="A150" t="s">
        <v>751</v>
      </c>
      <c r="B150" t="s">
        <v>752</v>
      </c>
      <c r="C150" s="1">
        <v>41122</v>
      </c>
      <c r="D150" s="1">
        <v>41127</v>
      </c>
      <c r="E150">
        <v>4250</v>
      </c>
      <c r="F150" t="s">
        <v>689</v>
      </c>
      <c r="G150" t="s">
        <v>16</v>
      </c>
      <c r="H150" t="s">
        <v>4561</v>
      </c>
      <c r="I150">
        <v>2.0499000000000001</v>
      </c>
      <c r="J150">
        <v>33488.160000000003</v>
      </c>
      <c r="K150">
        <v>16336.484706571053</v>
      </c>
    </row>
    <row r="151" spans="1:11" x14ac:dyDescent="0.25">
      <c r="A151" t="s">
        <v>793</v>
      </c>
      <c r="B151" t="s">
        <v>794</v>
      </c>
      <c r="C151" s="1">
        <v>41149</v>
      </c>
      <c r="D151" s="1">
        <v>41163</v>
      </c>
      <c r="E151">
        <v>3</v>
      </c>
      <c r="F151" t="s">
        <v>309</v>
      </c>
      <c r="G151" t="s">
        <v>16</v>
      </c>
      <c r="H151" t="s">
        <v>4562</v>
      </c>
      <c r="I151">
        <v>2.0293000000000001</v>
      </c>
      <c r="J151">
        <v>48351.97</v>
      </c>
      <c r="K151">
        <v>23826.920613019269</v>
      </c>
    </row>
    <row r="152" spans="1:11" x14ac:dyDescent="0.25">
      <c r="A152" t="s">
        <v>793</v>
      </c>
      <c r="B152" t="s">
        <v>794</v>
      </c>
      <c r="C152" s="1">
        <v>41149</v>
      </c>
      <c r="D152" s="1">
        <v>41163</v>
      </c>
      <c r="E152">
        <v>3</v>
      </c>
      <c r="F152" t="s">
        <v>309</v>
      </c>
      <c r="G152" t="s">
        <v>16</v>
      </c>
      <c r="H152" t="s">
        <v>4563</v>
      </c>
      <c r="I152">
        <v>2.0293000000000001</v>
      </c>
      <c r="J152">
        <v>48351.97</v>
      </c>
      <c r="K152">
        <v>23826.920613019269</v>
      </c>
    </row>
    <row r="153" spans="1:11" x14ac:dyDescent="0.25">
      <c r="A153" t="s">
        <v>783</v>
      </c>
      <c r="B153" t="s">
        <v>784</v>
      </c>
      <c r="C153" s="1">
        <v>41158</v>
      </c>
      <c r="D153" s="1">
        <v>41164</v>
      </c>
      <c r="E153">
        <v>4869</v>
      </c>
      <c r="F153" t="s">
        <v>278</v>
      </c>
      <c r="G153" t="s">
        <v>16</v>
      </c>
      <c r="H153" t="s">
        <v>785</v>
      </c>
      <c r="I153">
        <v>2.0385</v>
      </c>
      <c r="J153">
        <v>53038</v>
      </c>
      <c r="K153">
        <v>26018.150600932058</v>
      </c>
    </row>
    <row r="154" spans="1:11" x14ac:dyDescent="0.25">
      <c r="A154" t="s">
        <v>786</v>
      </c>
      <c r="B154" t="s">
        <v>771</v>
      </c>
      <c r="C154" s="1">
        <v>41165</v>
      </c>
      <c r="D154" s="1">
        <v>41167</v>
      </c>
      <c r="E154">
        <v>4823</v>
      </c>
      <c r="F154" t="s">
        <v>331</v>
      </c>
      <c r="G154" t="s">
        <v>16</v>
      </c>
      <c r="H154" t="s">
        <v>376</v>
      </c>
      <c r="I154">
        <v>2.0204</v>
      </c>
      <c r="J154">
        <v>57581.14</v>
      </c>
      <c r="K154">
        <v>28499.871312611365</v>
      </c>
    </row>
    <row r="155" spans="1:11" x14ac:dyDescent="0.25">
      <c r="A155" t="s">
        <v>2869</v>
      </c>
      <c r="B155" t="s">
        <v>144</v>
      </c>
      <c r="C155" s="1">
        <v>41192</v>
      </c>
      <c r="D155" s="1">
        <v>41202</v>
      </c>
      <c r="E155">
        <v>9265</v>
      </c>
      <c r="F155" t="s">
        <v>2481</v>
      </c>
      <c r="G155" t="s">
        <v>16</v>
      </c>
      <c r="H155" t="s">
        <v>4564</v>
      </c>
      <c r="I155">
        <v>2.0337000000000001</v>
      </c>
      <c r="J155">
        <v>515247</v>
      </c>
      <c r="K155">
        <v>253354.47706151349</v>
      </c>
    </row>
    <row r="156" spans="1:11" x14ac:dyDescent="0.25">
      <c r="A156" t="s">
        <v>787</v>
      </c>
      <c r="B156" t="s">
        <v>788</v>
      </c>
      <c r="C156" s="1">
        <v>41207</v>
      </c>
      <c r="D156" s="1">
        <v>41209</v>
      </c>
      <c r="E156">
        <v>5709</v>
      </c>
      <c r="F156" t="s">
        <v>309</v>
      </c>
      <c r="G156" t="s">
        <v>16</v>
      </c>
      <c r="H156" t="s">
        <v>789</v>
      </c>
      <c r="I156">
        <v>2.0263</v>
      </c>
      <c r="J156">
        <v>58083.38</v>
      </c>
      <c r="K156">
        <v>28664.74855648226</v>
      </c>
    </row>
    <row r="157" spans="1:11" x14ac:dyDescent="0.25">
      <c r="A157" t="s">
        <v>804</v>
      </c>
      <c r="B157" t="s">
        <v>805</v>
      </c>
      <c r="C157" s="1">
        <v>41169</v>
      </c>
      <c r="D157" s="1">
        <v>41185</v>
      </c>
      <c r="E157">
        <v>34</v>
      </c>
      <c r="F157" t="s">
        <v>331</v>
      </c>
      <c r="G157" t="s">
        <v>16</v>
      </c>
      <c r="H157" t="s">
        <v>4565</v>
      </c>
      <c r="I157">
        <v>2.0135999999999998</v>
      </c>
      <c r="J157">
        <v>51114.14</v>
      </c>
      <c r="K157">
        <v>25384.455701231625</v>
      </c>
    </row>
    <row r="158" spans="1:11" x14ac:dyDescent="0.25">
      <c r="A158" t="s">
        <v>1425</v>
      </c>
      <c r="B158" t="s">
        <v>1426</v>
      </c>
      <c r="C158" s="1">
        <v>41172</v>
      </c>
      <c r="D158" s="1">
        <v>41180</v>
      </c>
      <c r="E158">
        <v>35</v>
      </c>
      <c r="F158" t="s">
        <v>331</v>
      </c>
      <c r="G158" t="s">
        <v>16</v>
      </c>
      <c r="H158" t="s">
        <v>4566</v>
      </c>
      <c r="I158">
        <v>2.0236000000000001</v>
      </c>
      <c r="J158">
        <v>46955.33</v>
      </c>
      <c r="K158">
        <v>23203.859458390987</v>
      </c>
    </row>
    <row r="159" spans="1:11" x14ac:dyDescent="0.25">
      <c r="A159" t="s">
        <v>790</v>
      </c>
      <c r="B159" t="s">
        <v>791</v>
      </c>
      <c r="C159" s="1">
        <v>41142</v>
      </c>
      <c r="D159" s="1">
        <v>41172</v>
      </c>
      <c r="E159">
        <v>5356</v>
      </c>
      <c r="F159" t="s">
        <v>311</v>
      </c>
      <c r="G159" t="s">
        <v>16</v>
      </c>
      <c r="H159" t="s">
        <v>792</v>
      </c>
      <c r="I159">
        <v>2.0209000000000001</v>
      </c>
      <c r="J159">
        <v>461477.33</v>
      </c>
      <c r="K159">
        <v>228352.38260181108</v>
      </c>
    </row>
    <row r="160" spans="1:11" x14ac:dyDescent="0.25">
      <c r="A160" t="s">
        <v>793</v>
      </c>
      <c r="B160" t="s">
        <v>794</v>
      </c>
      <c r="C160" s="1">
        <v>41161</v>
      </c>
      <c r="D160" s="1">
        <v>41182</v>
      </c>
      <c r="E160">
        <v>3</v>
      </c>
      <c r="F160" t="s">
        <v>309</v>
      </c>
      <c r="G160" t="s">
        <v>16</v>
      </c>
      <c r="H160" t="s">
        <v>795</v>
      </c>
      <c r="I160">
        <v>2.0381</v>
      </c>
      <c r="J160">
        <v>47051.3</v>
      </c>
      <c r="K160">
        <v>23085.864285363819</v>
      </c>
    </row>
    <row r="161" spans="1:11" x14ac:dyDescent="0.25">
      <c r="A161" t="s">
        <v>804</v>
      </c>
      <c r="B161" t="s">
        <v>805</v>
      </c>
      <c r="C161" s="1">
        <v>41169</v>
      </c>
      <c r="D161" s="1">
        <v>41185</v>
      </c>
      <c r="E161">
        <v>34</v>
      </c>
      <c r="F161" t="s">
        <v>331</v>
      </c>
      <c r="G161" t="s">
        <v>16</v>
      </c>
      <c r="H161" t="s">
        <v>4567</v>
      </c>
      <c r="I161">
        <v>2.0135999999999998</v>
      </c>
      <c r="J161">
        <v>51371.27</v>
      </c>
      <c r="K161">
        <v>25512.152363925306</v>
      </c>
    </row>
    <row r="162" spans="1:11" x14ac:dyDescent="0.25">
      <c r="A162" t="s">
        <v>799</v>
      </c>
      <c r="B162" t="s">
        <v>800</v>
      </c>
      <c r="C162" s="1">
        <v>41199</v>
      </c>
      <c r="D162" s="1">
        <v>41207</v>
      </c>
      <c r="E162">
        <v>4856</v>
      </c>
      <c r="F162" t="s">
        <v>301</v>
      </c>
      <c r="G162" t="s">
        <v>16</v>
      </c>
      <c r="H162" t="s">
        <v>4568</v>
      </c>
      <c r="I162">
        <v>2.0350999999999999</v>
      </c>
      <c r="J162">
        <v>20349.98</v>
      </c>
      <c r="K162">
        <v>9999.4987961279548</v>
      </c>
    </row>
    <row r="163" spans="1:11" x14ac:dyDescent="0.25">
      <c r="A163" t="s">
        <v>796</v>
      </c>
      <c r="B163" t="s">
        <v>797</v>
      </c>
      <c r="C163" s="1">
        <v>41204</v>
      </c>
      <c r="D163" s="1">
        <v>41206</v>
      </c>
      <c r="E163">
        <v>4842</v>
      </c>
      <c r="F163" t="s">
        <v>309</v>
      </c>
      <c r="G163" t="s">
        <v>16</v>
      </c>
      <c r="H163" t="s">
        <v>798</v>
      </c>
      <c r="I163">
        <v>2.0272000000000001</v>
      </c>
      <c r="J163">
        <v>56925.91</v>
      </c>
      <c r="K163">
        <v>28081.052683504342</v>
      </c>
    </row>
    <row r="164" spans="1:11" x14ac:dyDescent="0.25">
      <c r="A164" t="s">
        <v>1910</v>
      </c>
      <c r="B164" t="s">
        <v>297</v>
      </c>
      <c r="C164" s="1">
        <v>41169</v>
      </c>
      <c r="D164" s="1">
        <v>41172</v>
      </c>
      <c r="E164">
        <v>7</v>
      </c>
      <c r="F164" t="s">
        <v>642</v>
      </c>
      <c r="G164" t="s">
        <v>16</v>
      </c>
      <c r="H164" t="s">
        <v>4569</v>
      </c>
      <c r="I164">
        <v>2.0135999999999998</v>
      </c>
      <c r="J164">
        <v>112724</v>
      </c>
      <c r="K164">
        <v>55981.326976559394</v>
      </c>
    </row>
    <row r="165" spans="1:11" x14ac:dyDescent="0.25">
      <c r="A165" t="s">
        <v>770</v>
      </c>
      <c r="B165" t="s">
        <v>771</v>
      </c>
      <c r="C165" s="1">
        <v>41177</v>
      </c>
      <c r="D165" s="1">
        <v>41177</v>
      </c>
      <c r="E165">
        <v>4824</v>
      </c>
      <c r="F165" t="s">
        <v>331</v>
      </c>
      <c r="G165" t="s">
        <v>16</v>
      </c>
      <c r="H165" t="s">
        <v>3833</v>
      </c>
      <c r="I165">
        <v>2.0272999999999999</v>
      </c>
      <c r="J165">
        <v>56877.37</v>
      </c>
      <c r="K165">
        <v>28055.724362452522</v>
      </c>
    </row>
    <row r="166" spans="1:11" x14ac:dyDescent="0.25">
      <c r="A166" t="s">
        <v>799</v>
      </c>
      <c r="B166" t="s">
        <v>800</v>
      </c>
      <c r="C166" s="1">
        <v>41169</v>
      </c>
      <c r="D166" s="1">
        <v>41178</v>
      </c>
      <c r="E166">
        <v>4856</v>
      </c>
      <c r="F166" t="s">
        <v>301</v>
      </c>
      <c r="G166" t="s">
        <v>16</v>
      </c>
      <c r="H166" t="s">
        <v>801</v>
      </c>
      <c r="I166">
        <v>2.0135999999999998</v>
      </c>
      <c r="J166">
        <v>42029.99</v>
      </c>
      <c r="K166">
        <v>20873.058204211364</v>
      </c>
    </row>
    <row r="167" spans="1:11" x14ac:dyDescent="0.25">
      <c r="A167" t="s">
        <v>799</v>
      </c>
      <c r="B167" t="s">
        <v>800</v>
      </c>
      <c r="C167" s="1">
        <v>41207</v>
      </c>
      <c r="D167" s="1">
        <v>41212</v>
      </c>
      <c r="E167">
        <v>4856</v>
      </c>
      <c r="F167" t="s">
        <v>301</v>
      </c>
      <c r="G167" t="s">
        <v>16</v>
      </c>
      <c r="H167" t="s">
        <v>4570</v>
      </c>
      <c r="I167">
        <v>2.0263</v>
      </c>
      <c r="J167">
        <v>42300.01</v>
      </c>
      <c r="K167">
        <v>20875.492276563193</v>
      </c>
    </row>
    <row r="168" spans="1:11" x14ac:dyDescent="0.25">
      <c r="A168" t="s">
        <v>799</v>
      </c>
      <c r="B168" t="s">
        <v>800</v>
      </c>
      <c r="C168" s="1">
        <v>41207</v>
      </c>
      <c r="D168" s="1">
        <v>41212</v>
      </c>
      <c r="E168">
        <v>4856</v>
      </c>
      <c r="F168" t="s">
        <v>301</v>
      </c>
      <c r="G168" t="s">
        <v>16</v>
      </c>
      <c r="H168" t="s">
        <v>802</v>
      </c>
      <c r="I168">
        <v>2.0263</v>
      </c>
      <c r="J168">
        <v>14100.01</v>
      </c>
      <c r="K168">
        <v>6958.5007155899912</v>
      </c>
    </row>
    <row r="169" spans="1:11" x14ac:dyDescent="0.25">
      <c r="A169" t="s">
        <v>1388</v>
      </c>
      <c r="B169" t="s">
        <v>1389</v>
      </c>
      <c r="C169" s="1">
        <v>41169</v>
      </c>
      <c r="D169" s="1">
        <v>41173</v>
      </c>
      <c r="E169">
        <v>4846</v>
      </c>
      <c r="F169" t="s">
        <v>665</v>
      </c>
      <c r="G169" t="s">
        <v>16</v>
      </c>
      <c r="H169" t="s">
        <v>4571</v>
      </c>
      <c r="I169">
        <v>2.0135999999999998</v>
      </c>
      <c r="J169">
        <v>111773.84</v>
      </c>
      <c r="K169">
        <v>55509.455701231622</v>
      </c>
    </row>
    <row r="170" spans="1:11" x14ac:dyDescent="0.25">
      <c r="A170" t="s">
        <v>799</v>
      </c>
      <c r="B170" t="s">
        <v>800</v>
      </c>
      <c r="C170" s="1">
        <v>41169</v>
      </c>
      <c r="D170" s="1">
        <v>41173</v>
      </c>
      <c r="E170">
        <v>4856</v>
      </c>
      <c r="F170" t="s">
        <v>301</v>
      </c>
      <c r="G170" t="s">
        <v>16</v>
      </c>
      <c r="H170" t="s">
        <v>803</v>
      </c>
      <c r="I170">
        <v>2.0135999999999998</v>
      </c>
      <c r="J170">
        <v>42029.99</v>
      </c>
      <c r="K170">
        <v>20873.058204211364</v>
      </c>
    </row>
    <row r="171" spans="1:11" x14ac:dyDescent="0.25">
      <c r="A171" t="s">
        <v>832</v>
      </c>
      <c r="B171" t="s">
        <v>144</v>
      </c>
      <c r="C171" s="1">
        <v>41164</v>
      </c>
      <c r="D171" s="1">
        <v>41173</v>
      </c>
      <c r="E171">
        <v>4889</v>
      </c>
      <c r="F171" t="s">
        <v>318</v>
      </c>
      <c r="G171" t="s">
        <v>16</v>
      </c>
      <c r="H171" t="s">
        <v>4572</v>
      </c>
      <c r="I171">
        <v>2.0196999999999998</v>
      </c>
      <c r="J171">
        <v>81623.27</v>
      </c>
      <c r="K171">
        <v>40413.561420012877</v>
      </c>
    </row>
    <row r="172" spans="1:11" x14ac:dyDescent="0.25">
      <c r="A172" t="s">
        <v>832</v>
      </c>
      <c r="B172" t="s">
        <v>144</v>
      </c>
      <c r="C172" s="1">
        <v>41164</v>
      </c>
      <c r="D172" s="1">
        <v>41173</v>
      </c>
      <c r="E172">
        <v>4889</v>
      </c>
      <c r="F172" t="s">
        <v>318</v>
      </c>
      <c r="G172" t="s">
        <v>16</v>
      </c>
      <c r="H172" t="s">
        <v>4573</v>
      </c>
      <c r="I172">
        <v>2.0196999999999998</v>
      </c>
      <c r="J172">
        <v>308111</v>
      </c>
      <c r="K172">
        <v>152552.8543843145</v>
      </c>
    </row>
    <row r="173" spans="1:11" x14ac:dyDescent="0.25">
      <c r="A173" t="s">
        <v>804</v>
      </c>
      <c r="B173" t="s">
        <v>805</v>
      </c>
      <c r="C173" s="1">
        <v>41172</v>
      </c>
      <c r="D173" s="1">
        <v>41181</v>
      </c>
      <c r="E173">
        <v>34</v>
      </c>
      <c r="F173" t="s">
        <v>331</v>
      </c>
      <c r="G173" t="s">
        <v>16</v>
      </c>
      <c r="H173" t="s">
        <v>4574</v>
      </c>
      <c r="I173">
        <v>2.0236000000000001</v>
      </c>
      <c r="J173">
        <v>50153.3</v>
      </c>
      <c r="K173">
        <v>24784.196481518087</v>
      </c>
    </row>
    <row r="174" spans="1:11" x14ac:dyDescent="0.25">
      <c r="A174" t="s">
        <v>804</v>
      </c>
      <c r="B174" t="s">
        <v>805</v>
      </c>
      <c r="C174" s="1">
        <v>41173</v>
      </c>
      <c r="D174" s="1">
        <v>41181</v>
      </c>
      <c r="E174">
        <v>34</v>
      </c>
      <c r="F174" t="s">
        <v>331</v>
      </c>
      <c r="G174" t="s">
        <v>16</v>
      </c>
      <c r="H174" t="s">
        <v>806</v>
      </c>
      <c r="I174">
        <v>2.0263</v>
      </c>
      <c r="J174">
        <v>47703.82</v>
      </c>
      <c r="K174">
        <v>23542.3283817796</v>
      </c>
    </row>
    <row r="175" spans="1:11" x14ac:dyDescent="0.25">
      <c r="A175" t="s">
        <v>807</v>
      </c>
      <c r="C175" s="1">
        <v>41157</v>
      </c>
      <c r="D175" s="1">
        <v>41173</v>
      </c>
      <c r="E175">
        <v>8595</v>
      </c>
      <c r="F175" t="s">
        <v>481</v>
      </c>
      <c r="G175" t="s">
        <v>16</v>
      </c>
      <c r="H175" t="s">
        <v>459</v>
      </c>
      <c r="I175">
        <v>2.0392000000000001</v>
      </c>
      <c r="J175">
        <v>61.22</v>
      </c>
      <c r="K175">
        <v>30.021577089054531</v>
      </c>
    </row>
    <row r="176" spans="1:11" x14ac:dyDescent="0.25">
      <c r="A176" t="s">
        <v>808</v>
      </c>
      <c r="B176" t="s">
        <v>809</v>
      </c>
      <c r="C176" s="1">
        <v>41171</v>
      </c>
      <c r="D176" s="1">
        <v>41179</v>
      </c>
      <c r="E176">
        <v>4825</v>
      </c>
      <c r="F176" t="s">
        <v>331</v>
      </c>
      <c r="G176" t="s">
        <v>16</v>
      </c>
      <c r="H176" t="s">
        <v>810</v>
      </c>
      <c r="I176">
        <v>2.0274000000000001</v>
      </c>
      <c r="J176">
        <v>489.76</v>
      </c>
      <c r="K176">
        <v>241.57048436421033</v>
      </c>
    </row>
    <row r="177" spans="1:11" x14ac:dyDescent="0.25">
      <c r="A177" t="s">
        <v>811</v>
      </c>
      <c r="B177" t="s">
        <v>812</v>
      </c>
      <c r="C177" s="1">
        <v>41185</v>
      </c>
      <c r="D177" s="1">
        <v>41188</v>
      </c>
      <c r="E177">
        <v>5271</v>
      </c>
      <c r="F177" t="s">
        <v>331</v>
      </c>
      <c r="G177" t="s">
        <v>16</v>
      </c>
      <c r="H177" t="s">
        <v>4575</v>
      </c>
      <c r="I177">
        <v>2.0266000000000002</v>
      </c>
      <c r="J177">
        <v>64294.07</v>
      </c>
      <c r="K177">
        <v>31725.091285897561</v>
      </c>
    </row>
    <row r="178" spans="1:11" x14ac:dyDescent="0.25">
      <c r="A178" t="s">
        <v>787</v>
      </c>
      <c r="B178" t="s">
        <v>788</v>
      </c>
      <c r="C178" s="1">
        <v>41206</v>
      </c>
      <c r="D178" s="1">
        <v>41208</v>
      </c>
      <c r="E178">
        <v>5709</v>
      </c>
      <c r="F178" t="s">
        <v>309</v>
      </c>
      <c r="G178" t="s">
        <v>16</v>
      </c>
      <c r="H178" t="s">
        <v>4576</v>
      </c>
      <c r="I178">
        <v>2.0286</v>
      </c>
      <c r="J178">
        <v>56554.87</v>
      </c>
      <c r="K178">
        <v>27878.768608892831</v>
      </c>
    </row>
    <row r="179" spans="1:11" x14ac:dyDescent="0.25">
      <c r="A179" t="s">
        <v>811</v>
      </c>
      <c r="B179" t="s">
        <v>812</v>
      </c>
      <c r="C179" s="1">
        <v>41185</v>
      </c>
      <c r="D179" s="1">
        <v>41188</v>
      </c>
      <c r="E179">
        <v>5271</v>
      </c>
      <c r="F179" t="s">
        <v>331</v>
      </c>
      <c r="G179" t="s">
        <v>16</v>
      </c>
      <c r="H179" t="s">
        <v>813</v>
      </c>
      <c r="I179">
        <v>2.0266000000000002</v>
      </c>
      <c r="J179">
        <v>63196.18</v>
      </c>
      <c r="K179">
        <v>31183.351426033751</v>
      </c>
    </row>
    <row r="180" spans="1:11" x14ac:dyDescent="0.25">
      <c r="A180" t="s">
        <v>2390</v>
      </c>
      <c r="B180" t="s">
        <v>2391</v>
      </c>
      <c r="C180" s="1">
        <v>41227</v>
      </c>
      <c r="D180" s="1">
        <v>41235</v>
      </c>
      <c r="E180">
        <v>4828</v>
      </c>
      <c r="F180" t="s">
        <v>642</v>
      </c>
      <c r="G180" t="s">
        <v>16</v>
      </c>
      <c r="H180" t="s">
        <v>4577</v>
      </c>
      <c r="I180">
        <v>2.0613999999999999</v>
      </c>
      <c r="J180">
        <v>156184.79999999999</v>
      </c>
      <c r="K180">
        <v>75766.372368293392</v>
      </c>
    </row>
    <row r="181" spans="1:11" x14ac:dyDescent="0.25">
      <c r="A181" t="s">
        <v>814</v>
      </c>
      <c r="B181" t="s">
        <v>815</v>
      </c>
      <c r="C181" s="1">
        <v>41227</v>
      </c>
      <c r="D181" s="1">
        <v>41238</v>
      </c>
      <c r="E181">
        <v>9884</v>
      </c>
      <c r="F181" t="s">
        <v>642</v>
      </c>
      <c r="G181" t="s">
        <v>16</v>
      </c>
      <c r="H181" t="s">
        <v>816</v>
      </c>
      <c r="I181">
        <v>2.0613999999999999</v>
      </c>
      <c r="J181">
        <v>38605</v>
      </c>
      <c r="K181">
        <v>18727.563791597942</v>
      </c>
    </row>
    <row r="182" spans="1:11" x14ac:dyDescent="0.25">
      <c r="A182" t="s">
        <v>1429</v>
      </c>
      <c r="B182" t="s">
        <v>1430</v>
      </c>
      <c r="C182" s="1">
        <v>41238</v>
      </c>
      <c r="D182" s="1">
        <v>41247</v>
      </c>
      <c r="E182">
        <v>5441</v>
      </c>
      <c r="F182" t="s">
        <v>301</v>
      </c>
      <c r="G182" t="s">
        <v>16</v>
      </c>
      <c r="H182" t="s">
        <v>4578</v>
      </c>
      <c r="I182">
        <v>2.0985</v>
      </c>
      <c r="J182">
        <v>43740</v>
      </c>
      <c r="K182">
        <v>20843.459614010007</v>
      </c>
    </row>
    <row r="183" spans="1:11" x14ac:dyDescent="0.25">
      <c r="A183" t="s">
        <v>817</v>
      </c>
      <c r="B183" t="s">
        <v>818</v>
      </c>
      <c r="C183" s="1">
        <v>41259</v>
      </c>
      <c r="D183" s="1">
        <v>41259</v>
      </c>
      <c r="E183">
        <v>5498</v>
      </c>
      <c r="F183" t="s">
        <v>301</v>
      </c>
      <c r="G183" t="s">
        <v>16</v>
      </c>
      <c r="H183" t="s">
        <v>819</v>
      </c>
      <c r="I183">
        <v>2.0840000000000001</v>
      </c>
      <c r="J183">
        <v>3055</v>
      </c>
      <c r="K183">
        <v>1465.9309021113245</v>
      </c>
    </row>
    <row r="184" spans="1:11" x14ac:dyDescent="0.25">
      <c r="A184" t="s">
        <v>817</v>
      </c>
      <c r="B184" t="s">
        <v>818</v>
      </c>
      <c r="C184" s="1">
        <v>41259</v>
      </c>
      <c r="D184" s="1">
        <v>41259</v>
      </c>
      <c r="E184">
        <v>5498</v>
      </c>
      <c r="F184" t="s">
        <v>301</v>
      </c>
      <c r="G184" t="s">
        <v>16</v>
      </c>
      <c r="H184" t="s">
        <v>820</v>
      </c>
      <c r="I184">
        <v>2.0840000000000001</v>
      </c>
      <c r="J184">
        <v>50150</v>
      </c>
      <c r="K184">
        <v>24064.299424184261</v>
      </c>
    </row>
    <row r="185" spans="1:11" x14ac:dyDescent="0.25">
      <c r="A185" t="s">
        <v>821</v>
      </c>
      <c r="B185" t="s">
        <v>822</v>
      </c>
      <c r="C185" s="1">
        <v>41286</v>
      </c>
      <c r="D185" s="1">
        <v>41290</v>
      </c>
      <c r="E185">
        <v>11833</v>
      </c>
      <c r="F185" t="s">
        <v>331</v>
      </c>
      <c r="G185" t="s">
        <v>16</v>
      </c>
      <c r="H185" t="s">
        <v>823</v>
      </c>
      <c r="I185">
        <v>2.0341</v>
      </c>
      <c r="J185">
        <v>50117.99</v>
      </c>
      <c r="K185">
        <v>24638.901725578879</v>
      </c>
    </row>
    <row r="186" spans="1:11" x14ac:dyDescent="0.25">
      <c r="A186" t="s">
        <v>821</v>
      </c>
      <c r="B186" t="s">
        <v>822</v>
      </c>
      <c r="C186" s="1">
        <v>41286</v>
      </c>
      <c r="D186" s="1">
        <v>41290</v>
      </c>
      <c r="E186">
        <v>11833</v>
      </c>
      <c r="F186" t="s">
        <v>331</v>
      </c>
      <c r="G186" t="s">
        <v>16</v>
      </c>
      <c r="H186" t="s">
        <v>824</v>
      </c>
      <c r="I186">
        <v>2.0341</v>
      </c>
      <c r="J186">
        <v>49075.6</v>
      </c>
      <c r="K186">
        <v>24126.44412762401</v>
      </c>
    </row>
    <row r="187" spans="1:11" x14ac:dyDescent="0.25">
      <c r="A187" t="s">
        <v>825</v>
      </c>
      <c r="B187" t="s">
        <v>826</v>
      </c>
      <c r="C187" s="1">
        <v>41272</v>
      </c>
      <c r="D187" s="1">
        <v>41282</v>
      </c>
      <c r="E187">
        <v>11411</v>
      </c>
      <c r="F187" t="s">
        <v>331</v>
      </c>
      <c r="G187" t="s">
        <v>16</v>
      </c>
      <c r="H187" t="s">
        <v>827</v>
      </c>
      <c r="I187">
        <v>2.0434999999999999</v>
      </c>
      <c r="J187">
        <v>44464.75</v>
      </c>
      <c r="K187">
        <v>21759.114264741864</v>
      </c>
    </row>
    <row r="188" spans="1:11" x14ac:dyDescent="0.25">
      <c r="A188" t="s">
        <v>828</v>
      </c>
      <c r="B188" t="s">
        <v>829</v>
      </c>
      <c r="C188" s="1">
        <v>40925</v>
      </c>
      <c r="D188" s="1">
        <v>41297</v>
      </c>
      <c r="E188">
        <v>11681</v>
      </c>
      <c r="F188" t="s">
        <v>665</v>
      </c>
      <c r="G188" t="s">
        <v>16</v>
      </c>
      <c r="H188" t="s">
        <v>830</v>
      </c>
      <c r="I188">
        <v>1.7836000000000001</v>
      </c>
      <c r="J188">
        <v>145475.35999999999</v>
      </c>
      <c r="K188">
        <v>81562.771921955602</v>
      </c>
    </row>
    <row r="189" spans="1:11" x14ac:dyDescent="0.25">
      <c r="A189" t="s">
        <v>821</v>
      </c>
      <c r="B189" t="s">
        <v>822</v>
      </c>
      <c r="C189" s="1">
        <v>41286</v>
      </c>
      <c r="D189" s="1">
        <v>41290</v>
      </c>
      <c r="E189">
        <v>11833</v>
      </c>
      <c r="F189" t="s">
        <v>331</v>
      </c>
      <c r="G189" t="s">
        <v>16</v>
      </c>
      <c r="H189" t="s">
        <v>4579</v>
      </c>
      <c r="I189">
        <v>2.0341</v>
      </c>
      <c r="J189">
        <v>43752.480000000003</v>
      </c>
      <c r="K189">
        <v>21509.502974288382</v>
      </c>
    </row>
    <row r="190" spans="1:11" x14ac:dyDescent="0.25">
      <c r="A190" t="s">
        <v>821</v>
      </c>
      <c r="B190" t="s">
        <v>822</v>
      </c>
      <c r="C190" s="1">
        <v>41286</v>
      </c>
      <c r="D190" s="1">
        <v>41291</v>
      </c>
      <c r="E190">
        <v>11833</v>
      </c>
      <c r="F190" t="s">
        <v>331</v>
      </c>
      <c r="G190" t="s">
        <v>16</v>
      </c>
      <c r="H190" t="s">
        <v>831</v>
      </c>
      <c r="I190">
        <v>2.0341</v>
      </c>
      <c r="J190">
        <v>70673.87</v>
      </c>
      <c r="K190">
        <v>34744.54058305885</v>
      </c>
    </row>
    <row r="191" spans="1:11" x14ac:dyDescent="0.25">
      <c r="A191" t="s">
        <v>832</v>
      </c>
      <c r="B191" t="s">
        <v>144</v>
      </c>
      <c r="C191" s="1">
        <v>41264</v>
      </c>
      <c r="D191" s="1">
        <v>41277</v>
      </c>
      <c r="E191">
        <v>4889</v>
      </c>
      <c r="F191" t="s">
        <v>318</v>
      </c>
      <c r="G191" t="s">
        <v>16</v>
      </c>
      <c r="H191" t="s">
        <v>833</v>
      </c>
      <c r="I191">
        <v>2.0653999999999999</v>
      </c>
      <c r="J191">
        <v>63056.07</v>
      </c>
      <c r="K191">
        <v>30529.713372712307</v>
      </c>
    </row>
    <row r="192" spans="1:11" x14ac:dyDescent="0.25">
      <c r="A192" t="s">
        <v>821</v>
      </c>
      <c r="B192" t="s">
        <v>822</v>
      </c>
      <c r="C192" s="1">
        <v>41290</v>
      </c>
      <c r="D192" s="1">
        <v>41293</v>
      </c>
      <c r="E192">
        <v>11833</v>
      </c>
      <c r="F192" t="s">
        <v>331</v>
      </c>
      <c r="G192" t="s">
        <v>16</v>
      </c>
      <c r="H192" t="s">
        <v>4580</v>
      </c>
      <c r="I192">
        <v>2.0373999999999999</v>
      </c>
      <c r="J192">
        <v>52591.92</v>
      </c>
      <c r="K192">
        <v>25813.252184156278</v>
      </c>
    </row>
    <row r="193" spans="1:11" x14ac:dyDescent="0.25">
      <c r="A193" t="s">
        <v>821</v>
      </c>
      <c r="B193" t="s">
        <v>822</v>
      </c>
      <c r="C193" s="1">
        <v>41290</v>
      </c>
      <c r="D193" s="1">
        <v>41293</v>
      </c>
      <c r="E193">
        <v>11833</v>
      </c>
      <c r="F193" t="s">
        <v>331</v>
      </c>
      <c r="G193" t="s">
        <v>16</v>
      </c>
      <c r="H193" t="s">
        <v>834</v>
      </c>
      <c r="I193">
        <v>2.0373999999999999</v>
      </c>
      <c r="J193">
        <v>72244.399999999994</v>
      </c>
      <c r="K193">
        <v>35459.11455776971</v>
      </c>
    </row>
    <row r="194" spans="1:11" x14ac:dyDescent="0.25">
      <c r="A194" t="s">
        <v>821</v>
      </c>
      <c r="B194" t="s">
        <v>822</v>
      </c>
      <c r="C194" s="1">
        <v>41291</v>
      </c>
      <c r="D194" s="1">
        <v>41293</v>
      </c>
      <c r="E194">
        <v>11833</v>
      </c>
      <c r="F194" t="s">
        <v>331</v>
      </c>
      <c r="G194" t="s">
        <v>16</v>
      </c>
      <c r="H194" t="s">
        <v>4581</v>
      </c>
      <c r="I194">
        <v>2.0409000000000002</v>
      </c>
      <c r="J194">
        <v>71076.929999999993</v>
      </c>
      <c r="K194">
        <v>34826.267823019254</v>
      </c>
    </row>
    <row r="195" spans="1:11" x14ac:dyDescent="0.25">
      <c r="A195" t="s">
        <v>835</v>
      </c>
      <c r="B195" t="s">
        <v>836</v>
      </c>
      <c r="C195" s="1">
        <v>41293</v>
      </c>
      <c r="D195" s="1">
        <v>41295</v>
      </c>
      <c r="E195">
        <v>11334</v>
      </c>
      <c r="F195" t="s">
        <v>331</v>
      </c>
      <c r="G195" t="s">
        <v>16</v>
      </c>
      <c r="H195" t="s">
        <v>837</v>
      </c>
      <c r="I195">
        <v>2.0440999999999998</v>
      </c>
      <c r="J195">
        <v>85741.41</v>
      </c>
      <c r="K195">
        <v>41945.800107626827</v>
      </c>
    </row>
    <row r="196" spans="1:11" x14ac:dyDescent="0.25">
      <c r="A196" t="s">
        <v>838</v>
      </c>
      <c r="B196" t="s">
        <v>839</v>
      </c>
      <c r="C196" s="1">
        <v>41264</v>
      </c>
      <c r="D196" s="1">
        <v>41272</v>
      </c>
      <c r="E196">
        <v>11333</v>
      </c>
      <c r="F196" t="s">
        <v>331</v>
      </c>
      <c r="G196" t="s">
        <v>16</v>
      </c>
      <c r="H196" t="s">
        <v>840</v>
      </c>
      <c r="I196">
        <v>2.0653999999999999</v>
      </c>
      <c r="J196">
        <v>53402.01</v>
      </c>
      <c r="K196">
        <v>25855.529195313258</v>
      </c>
    </row>
    <row r="197" spans="1:11" x14ac:dyDescent="0.25">
      <c r="A197" t="s">
        <v>835</v>
      </c>
      <c r="B197" t="s">
        <v>836</v>
      </c>
      <c r="C197" s="1">
        <v>41293</v>
      </c>
      <c r="D197" s="1">
        <v>41296</v>
      </c>
      <c r="E197">
        <v>11334</v>
      </c>
      <c r="F197" t="s">
        <v>331</v>
      </c>
      <c r="G197" t="s">
        <v>16</v>
      </c>
      <c r="H197" t="s">
        <v>4582</v>
      </c>
      <c r="I197">
        <v>2.0440999999999998</v>
      </c>
      <c r="J197">
        <v>63239.22</v>
      </c>
      <c r="K197">
        <v>30937.439459909005</v>
      </c>
    </row>
    <row r="198" spans="1:11" x14ac:dyDescent="0.25">
      <c r="A198" t="s">
        <v>841</v>
      </c>
      <c r="B198" t="s">
        <v>842</v>
      </c>
      <c r="C198" s="1">
        <v>40923</v>
      </c>
      <c r="D198" s="1">
        <v>41297</v>
      </c>
      <c r="E198">
        <v>11548</v>
      </c>
      <c r="F198" t="s">
        <v>309</v>
      </c>
      <c r="G198" t="s">
        <v>16</v>
      </c>
      <c r="H198" t="s">
        <v>4583</v>
      </c>
      <c r="I198">
        <v>1.7853000000000001</v>
      </c>
      <c r="J198">
        <v>142233.12</v>
      </c>
      <c r="K198">
        <v>79669.030415056288</v>
      </c>
    </row>
    <row r="199" spans="1:11" x14ac:dyDescent="0.25">
      <c r="A199" t="s">
        <v>841</v>
      </c>
      <c r="B199" t="s">
        <v>842</v>
      </c>
      <c r="C199" s="1">
        <v>40923</v>
      </c>
      <c r="D199" s="1">
        <v>41297</v>
      </c>
      <c r="E199">
        <v>11548</v>
      </c>
      <c r="F199" t="s">
        <v>309</v>
      </c>
      <c r="G199" t="s">
        <v>16</v>
      </c>
      <c r="H199" t="s">
        <v>843</v>
      </c>
      <c r="I199">
        <v>1.7853000000000001</v>
      </c>
      <c r="J199">
        <v>146974.22</v>
      </c>
      <c r="K199">
        <v>82324.662521705031</v>
      </c>
    </row>
    <row r="200" spans="1:11" x14ac:dyDescent="0.25">
      <c r="A200" t="s">
        <v>1453</v>
      </c>
      <c r="B200" t="s">
        <v>1454</v>
      </c>
      <c r="C200" s="1">
        <v>41291</v>
      </c>
      <c r="D200" s="1">
        <v>41295</v>
      </c>
      <c r="E200">
        <v>8781</v>
      </c>
      <c r="F200" t="s">
        <v>309</v>
      </c>
      <c r="G200" t="s">
        <v>16</v>
      </c>
      <c r="H200" t="s">
        <v>4584</v>
      </c>
      <c r="I200">
        <v>2.0409000000000002</v>
      </c>
      <c r="J200">
        <v>60129.81</v>
      </c>
      <c r="K200">
        <v>29462.398941643394</v>
      </c>
    </row>
    <row r="201" spans="1:11" x14ac:dyDescent="0.25">
      <c r="A201" t="s">
        <v>1453</v>
      </c>
      <c r="B201" t="s">
        <v>1454</v>
      </c>
      <c r="C201" s="1">
        <v>41290</v>
      </c>
      <c r="D201" s="1">
        <v>41295</v>
      </c>
      <c r="E201">
        <v>8781</v>
      </c>
      <c r="F201" t="s">
        <v>309</v>
      </c>
      <c r="G201" t="s">
        <v>16</v>
      </c>
      <c r="H201" t="s">
        <v>4585</v>
      </c>
      <c r="I201">
        <v>2.0373999999999999</v>
      </c>
      <c r="J201">
        <v>60129.81</v>
      </c>
      <c r="K201">
        <v>29513.011681554923</v>
      </c>
    </row>
    <row r="202" spans="1:11" x14ac:dyDescent="0.25">
      <c r="A202" t="s">
        <v>821</v>
      </c>
      <c r="B202" t="s">
        <v>822</v>
      </c>
      <c r="C202" s="1">
        <v>41290</v>
      </c>
      <c r="D202" s="1">
        <v>41295</v>
      </c>
      <c r="E202">
        <v>11833</v>
      </c>
      <c r="F202" t="s">
        <v>331</v>
      </c>
      <c r="G202" t="s">
        <v>16</v>
      </c>
      <c r="H202" t="s">
        <v>4586</v>
      </c>
      <c r="I202">
        <v>2.0373999999999999</v>
      </c>
      <c r="J202">
        <v>52758.71</v>
      </c>
      <c r="K202">
        <v>25895.116324727594</v>
      </c>
    </row>
    <row r="203" spans="1:11" x14ac:dyDescent="0.25">
      <c r="A203" t="s">
        <v>838</v>
      </c>
      <c r="B203" t="s">
        <v>839</v>
      </c>
      <c r="C203" s="1">
        <v>41264</v>
      </c>
      <c r="D203" s="1">
        <v>41281</v>
      </c>
      <c r="E203">
        <v>11333</v>
      </c>
      <c r="F203" t="s">
        <v>331</v>
      </c>
      <c r="G203" t="s">
        <v>16</v>
      </c>
      <c r="H203" t="s">
        <v>844</v>
      </c>
      <c r="I203">
        <v>2.0653999999999999</v>
      </c>
      <c r="J203">
        <v>62725.08</v>
      </c>
      <c r="K203">
        <v>30369.458700493851</v>
      </c>
    </row>
    <row r="204" spans="1:11" x14ac:dyDescent="0.25">
      <c r="A204" t="s">
        <v>821</v>
      </c>
      <c r="B204" t="s">
        <v>822</v>
      </c>
      <c r="C204" s="1">
        <v>41286</v>
      </c>
      <c r="D204" s="1">
        <v>41289</v>
      </c>
      <c r="E204">
        <v>11833</v>
      </c>
      <c r="F204" t="s">
        <v>331</v>
      </c>
      <c r="G204" t="s">
        <v>16</v>
      </c>
      <c r="H204" t="s">
        <v>845</v>
      </c>
      <c r="I204">
        <v>2.0341</v>
      </c>
      <c r="J204">
        <v>50673.93</v>
      </c>
      <c r="K204">
        <v>24912.211788997593</v>
      </c>
    </row>
    <row r="205" spans="1:11" x14ac:dyDescent="0.25">
      <c r="A205" t="s">
        <v>835</v>
      </c>
      <c r="B205" t="s">
        <v>836</v>
      </c>
      <c r="C205" s="1">
        <v>41293</v>
      </c>
      <c r="D205" s="1">
        <v>41296</v>
      </c>
      <c r="E205">
        <v>11334</v>
      </c>
      <c r="F205" t="s">
        <v>331</v>
      </c>
      <c r="G205" t="s">
        <v>16</v>
      </c>
      <c r="H205" t="s">
        <v>4587</v>
      </c>
      <c r="I205">
        <v>2.0440999999999998</v>
      </c>
      <c r="J205">
        <v>63684.81</v>
      </c>
      <c r="K205">
        <v>31155.427816643023</v>
      </c>
    </row>
    <row r="206" spans="1:11" x14ac:dyDescent="0.25">
      <c r="A206" t="s">
        <v>838</v>
      </c>
      <c r="B206" t="s">
        <v>839</v>
      </c>
      <c r="C206" s="1">
        <v>41265</v>
      </c>
      <c r="D206" s="1">
        <v>41270</v>
      </c>
      <c r="E206">
        <v>11333</v>
      </c>
      <c r="F206" t="s">
        <v>331</v>
      </c>
      <c r="G206" t="s">
        <v>16</v>
      </c>
      <c r="H206" t="s">
        <v>846</v>
      </c>
      <c r="I206">
        <v>2.0758000000000001</v>
      </c>
      <c r="J206">
        <v>63427.74</v>
      </c>
      <c r="K206">
        <v>30555.804990846904</v>
      </c>
    </row>
    <row r="207" spans="1:11" x14ac:dyDescent="0.25">
      <c r="A207" t="s">
        <v>825</v>
      </c>
      <c r="B207" t="s">
        <v>826</v>
      </c>
      <c r="C207" s="1">
        <v>41289</v>
      </c>
      <c r="D207" s="1">
        <v>41297</v>
      </c>
      <c r="E207">
        <v>11411</v>
      </c>
      <c r="F207" t="s">
        <v>331</v>
      </c>
      <c r="G207" t="s">
        <v>16</v>
      </c>
      <c r="H207" t="s">
        <v>847</v>
      </c>
      <c r="I207">
        <v>2.0333999999999999</v>
      </c>
      <c r="J207">
        <v>44464.75</v>
      </c>
      <c r="K207">
        <v>21867.192878922004</v>
      </c>
    </row>
    <row r="208" spans="1:11" x14ac:dyDescent="0.25">
      <c r="A208" t="s">
        <v>856</v>
      </c>
      <c r="B208" t="s">
        <v>857</v>
      </c>
      <c r="C208" s="1">
        <v>41314</v>
      </c>
      <c r="D208" s="1">
        <v>41327</v>
      </c>
      <c r="E208">
        <v>11832</v>
      </c>
      <c r="F208" t="s">
        <v>331</v>
      </c>
      <c r="G208" t="s">
        <v>16</v>
      </c>
      <c r="H208" t="s">
        <v>4588</v>
      </c>
      <c r="I208">
        <v>1.9636</v>
      </c>
      <c r="J208">
        <v>40636.29</v>
      </c>
      <c r="K208">
        <v>20694.790181299653</v>
      </c>
    </row>
    <row r="209" spans="1:11" x14ac:dyDescent="0.25">
      <c r="A209" t="s">
        <v>852</v>
      </c>
      <c r="B209" t="s">
        <v>853</v>
      </c>
      <c r="C209" s="1">
        <v>41312</v>
      </c>
      <c r="D209" s="1">
        <v>41320</v>
      </c>
      <c r="E209">
        <v>11335</v>
      </c>
      <c r="F209" t="s">
        <v>331</v>
      </c>
      <c r="G209" t="s">
        <v>16</v>
      </c>
      <c r="H209" t="s">
        <v>4589</v>
      </c>
      <c r="I209">
        <v>1.9883999999999999</v>
      </c>
      <c r="J209">
        <v>48087.14</v>
      </c>
      <c r="K209">
        <v>24183.836250251457</v>
      </c>
    </row>
    <row r="210" spans="1:11" x14ac:dyDescent="0.25">
      <c r="A210" t="s">
        <v>852</v>
      </c>
      <c r="B210" t="s">
        <v>853</v>
      </c>
      <c r="C210" s="1">
        <v>41312</v>
      </c>
      <c r="D210" s="1">
        <v>41318</v>
      </c>
      <c r="E210">
        <v>11335</v>
      </c>
      <c r="F210" t="s">
        <v>331</v>
      </c>
      <c r="G210" t="s">
        <v>16</v>
      </c>
      <c r="H210" t="s">
        <v>4590</v>
      </c>
      <c r="I210">
        <v>1.9883999999999999</v>
      </c>
      <c r="J210">
        <v>46523.4</v>
      </c>
      <c r="K210">
        <v>23397.404948702475</v>
      </c>
    </row>
    <row r="211" spans="1:11" x14ac:dyDescent="0.25">
      <c r="A211" t="s">
        <v>852</v>
      </c>
      <c r="B211" t="s">
        <v>853</v>
      </c>
      <c r="C211" s="1">
        <v>41311</v>
      </c>
      <c r="D211" s="1">
        <v>41318</v>
      </c>
      <c r="E211">
        <v>11335</v>
      </c>
      <c r="F211" t="s">
        <v>331</v>
      </c>
      <c r="G211" t="s">
        <v>16</v>
      </c>
      <c r="H211" t="s">
        <v>4591</v>
      </c>
      <c r="I211">
        <v>1.9881</v>
      </c>
      <c r="J211">
        <v>48786.87</v>
      </c>
      <c r="K211">
        <v>24539.444695940849</v>
      </c>
    </row>
    <row r="212" spans="1:11" x14ac:dyDescent="0.25">
      <c r="A212" t="s">
        <v>848</v>
      </c>
      <c r="B212" t="s">
        <v>849</v>
      </c>
      <c r="C212" s="1">
        <v>41310</v>
      </c>
      <c r="D212" s="1">
        <v>41320</v>
      </c>
      <c r="E212">
        <v>11834</v>
      </c>
      <c r="F212" t="s">
        <v>331</v>
      </c>
      <c r="G212" t="s">
        <v>16</v>
      </c>
      <c r="H212" t="s">
        <v>850</v>
      </c>
      <c r="I212">
        <v>1.9893000000000001</v>
      </c>
      <c r="J212">
        <v>23851.18</v>
      </c>
      <c r="K212">
        <v>11989.735082692405</v>
      </c>
    </row>
    <row r="213" spans="1:11" x14ac:dyDescent="0.25">
      <c r="A213" t="s">
        <v>848</v>
      </c>
      <c r="B213" t="s">
        <v>849</v>
      </c>
      <c r="C213" s="1">
        <v>41312</v>
      </c>
      <c r="D213" s="1">
        <v>41317</v>
      </c>
      <c r="E213">
        <v>11834</v>
      </c>
      <c r="F213" t="s">
        <v>331</v>
      </c>
      <c r="G213" t="s">
        <v>16</v>
      </c>
      <c r="H213" t="s">
        <v>851</v>
      </c>
      <c r="I213">
        <v>1.9883999999999999</v>
      </c>
      <c r="J213">
        <v>37748.33</v>
      </c>
      <c r="K213">
        <v>18984.273787970229</v>
      </c>
    </row>
    <row r="214" spans="1:11" x14ac:dyDescent="0.25">
      <c r="A214" t="s">
        <v>852</v>
      </c>
      <c r="B214" t="s">
        <v>853</v>
      </c>
      <c r="C214" s="1">
        <v>41315</v>
      </c>
      <c r="D214" s="1">
        <v>41321</v>
      </c>
      <c r="E214">
        <v>11335</v>
      </c>
      <c r="F214" t="s">
        <v>331</v>
      </c>
      <c r="G214" t="s">
        <v>16</v>
      </c>
      <c r="H214" t="s">
        <v>854</v>
      </c>
      <c r="I214">
        <v>1.9636</v>
      </c>
      <c r="J214">
        <v>46843.17</v>
      </c>
      <c r="K214">
        <v>23855.759828885719</v>
      </c>
    </row>
    <row r="215" spans="1:11" x14ac:dyDescent="0.25">
      <c r="A215" t="s">
        <v>852</v>
      </c>
      <c r="B215" t="s">
        <v>853</v>
      </c>
      <c r="C215" s="1">
        <v>41315</v>
      </c>
      <c r="D215" s="1">
        <v>41321</v>
      </c>
      <c r="E215">
        <v>11335</v>
      </c>
      <c r="F215" t="s">
        <v>331</v>
      </c>
      <c r="G215" t="s">
        <v>16</v>
      </c>
      <c r="H215" t="s">
        <v>4592</v>
      </c>
      <c r="I215">
        <v>1.9636</v>
      </c>
      <c r="J215">
        <v>48126.01</v>
      </c>
      <c r="K215">
        <v>24509.070075371765</v>
      </c>
    </row>
    <row r="216" spans="1:11" x14ac:dyDescent="0.25">
      <c r="A216" t="s">
        <v>852</v>
      </c>
      <c r="B216" t="s">
        <v>853</v>
      </c>
      <c r="C216" s="1">
        <v>41313</v>
      </c>
      <c r="D216" s="1">
        <v>41321</v>
      </c>
      <c r="E216">
        <v>11335</v>
      </c>
      <c r="F216" t="s">
        <v>331</v>
      </c>
      <c r="G216" t="s">
        <v>16</v>
      </c>
      <c r="H216" t="s">
        <v>855</v>
      </c>
      <c r="I216">
        <v>1.9789000000000001</v>
      </c>
      <c r="J216">
        <v>48281.51</v>
      </c>
      <c r="K216">
        <v>24398.155540957097</v>
      </c>
    </row>
    <row r="217" spans="1:11" x14ac:dyDescent="0.25">
      <c r="A217" t="s">
        <v>856</v>
      </c>
      <c r="B217" t="s">
        <v>857</v>
      </c>
      <c r="C217" s="1">
        <v>41315</v>
      </c>
      <c r="D217" s="1">
        <v>41321</v>
      </c>
      <c r="E217">
        <v>11832</v>
      </c>
      <c r="F217" t="s">
        <v>331</v>
      </c>
      <c r="G217" t="s">
        <v>16</v>
      </c>
      <c r="H217" t="s">
        <v>4593</v>
      </c>
      <c r="I217">
        <v>1.9636</v>
      </c>
      <c r="J217">
        <v>63728.28</v>
      </c>
      <c r="K217">
        <v>32454.817681808923</v>
      </c>
    </row>
    <row r="218" spans="1:11" x14ac:dyDescent="0.25">
      <c r="A218" t="s">
        <v>856</v>
      </c>
      <c r="B218" t="s">
        <v>857</v>
      </c>
      <c r="C218" s="1">
        <v>41314</v>
      </c>
      <c r="D218" s="1">
        <v>41321</v>
      </c>
      <c r="E218">
        <v>11832</v>
      </c>
      <c r="F218" t="s">
        <v>331</v>
      </c>
      <c r="G218" t="s">
        <v>16</v>
      </c>
      <c r="H218" t="s">
        <v>858</v>
      </c>
      <c r="I218">
        <v>1.9636</v>
      </c>
      <c r="J218">
        <v>47918.68</v>
      </c>
      <c r="K218">
        <v>24403.4833978407</v>
      </c>
    </row>
    <row r="219" spans="1:11" x14ac:dyDescent="0.25">
      <c r="A219" t="s">
        <v>856</v>
      </c>
      <c r="B219" t="s">
        <v>857</v>
      </c>
      <c r="C219" s="1">
        <v>41314</v>
      </c>
      <c r="D219" s="1">
        <v>41321</v>
      </c>
      <c r="E219">
        <v>11832</v>
      </c>
      <c r="F219" t="s">
        <v>331</v>
      </c>
      <c r="G219" t="s">
        <v>16</v>
      </c>
      <c r="H219" t="s">
        <v>859</v>
      </c>
      <c r="I219">
        <v>1.9636</v>
      </c>
      <c r="J219">
        <v>47866.85</v>
      </c>
      <c r="K219">
        <v>24377.088001629661</v>
      </c>
    </row>
    <row r="220" spans="1:11" x14ac:dyDescent="0.25">
      <c r="A220" t="s">
        <v>832</v>
      </c>
      <c r="B220" t="s">
        <v>144</v>
      </c>
      <c r="C220" s="1">
        <v>41318</v>
      </c>
      <c r="D220" s="1">
        <v>41324</v>
      </c>
      <c r="E220">
        <v>4889</v>
      </c>
      <c r="F220" t="s">
        <v>318</v>
      </c>
      <c r="G220" t="s">
        <v>16</v>
      </c>
      <c r="H220" t="s">
        <v>4594</v>
      </c>
      <c r="I220">
        <v>1.9636</v>
      </c>
      <c r="J220">
        <v>29777.99</v>
      </c>
      <c r="K220">
        <v>15164.997962925239</v>
      </c>
    </row>
    <row r="221" spans="1:11" x14ac:dyDescent="0.25">
      <c r="A221" t="s">
        <v>856</v>
      </c>
      <c r="B221" t="s">
        <v>857</v>
      </c>
      <c r="C221" s="1">
        <v>41312</v>
      </c>
      <c r="D221" s="1">
        <v>41322</v>
      </c>
      <c r="E221">
        <v>11832</v>
      </c>
      <c r="F221" t="s">
        <v>331</v>
      </c>
      <c r="G221" t="s">
        <v>16</v>
      </c>
      <c r="H221" t="s">
        <v>860</v>
      </c>
      <c r="I221">
        <v>1.9883999999999999</v>
      </c>
      <c r="J221">
        <v>46636.26</v>
      </c>
      <c r="K221">
        <v>23454.164152082078</v>
      </c>
    </row>
    <row r="222" spans="1:11" x14ac:dyDescent="0.25">
      <c r="A222" t="s">
        <v>856</v>
      </c>
      <c r="B222" t="s">
        <v>857</v>
      </c>
      <c r="C222" s="1">
        <v>41316</v>
      </c>
      <c r="D222" s="1">
        <v>41322</v>
      </c>
      <c r="E222">
        <v>11832</v>
      </c>
      <c r="F222" t="s">
        <v>331</v>
      </c>
      <c r="G222" t="s">
        <v>16</v>
      </c>
      <c r="H222" t="s">
        <v>4595</v>
      </c>
      <c r="I222">
        <v>1.9636</v>
      </c>
      <c r="J222">
        <v>48968.28</v>
      </c>
      <c r="K222">
        <v>24938.011815033613</v>
      </c>
    </row>
    <row r="223" spans="1:11" x14ac:dyDescent="0.25">
      <c r="A223" t="s">
        <v>856</v>
      </c>
      <c r="B223" t="s">
        <v>857</v>
      </c>
      <c r="C223" s="1">
        <v>41315</v>
      </c>
      <c r="D223" s="1">
        <v>41322</v>
      </c>
      <c r="E223">
        <v>11832</v>
      </c>
      <c r="F223" t="s">
        <v>331</v>
      </c>
      <c r="G223" t="s">
        <v>16</v>
      </c>
      <c r="H223" t="s">
        <v>861</v>
      </c>
      <c r="I223">
        <v>1.9636</v>
      </c>
      <c r="J223">
        <v>48424.05</v>
      </c>
      <c r="K223">
        <v>24660.85251578733</v>
      </c>
    </row>
    <row r="224" spans="1:11" x14ac:dyDescent="0.25">
      <c r="A224" t="s">
        <v>799</v>
      </c>
      <c r="B224" t="s">
        <v>800</v>
      </c>
      <c r="C224" s="1">
        <v>41307</v>
      </c>
      <c r="D224" s="1">
        <v>41313</v>
      </c>
      <c r="E224">
        <v>4856</v>
      </c>
      <c r="F224" t="s">
        <v>675</v>
      </c>
      <c r="G224" t="s">
        <v>16</v>
      </c>
      <c r="H224" t="s">
        <v>4596</v>
      </c>
      <c r="I224">
        <v>1.9843</v>
      </c>
      <c r="J224">
        <v>7654.2</v>
      </c>
      <c r="K224">
        <v>3857.3804364259436</v>
      </c>
    </row>
    <row r="225" spans="1:11" x14ac:dyDescent="0.25">
      <c r="A225" t="s">
        <v>799</v>
      </c>
      <c r="B225" t="s">
        <v>800</v>
      </c>
      <c r="C225" s="1">
        <v>41307</v>
      </c>
      <c r="D225" s="1">
        <v>41313</v>
      </c>
      <c r="E225">
        <v>4856</v>
      </c>
      <c r="F225" t="s">
        <v>675</v>
      </c>
      <c r="G225" t="s">
        <v>16</v>
      </c>
      <c r="H225" t="s">
        <v>862</v>
      </c>
      <c r="I225">
        <v>1.9843</v>
      </c>
      <c r="J225">
        <v>168951.3</v>
      </c>
      <c r="K225">
        <v>85144.030640528144</v>
      </c>
    </row>
    <row r="226" spans="1:11" x14ac:dyDescent="0.25">
      <c r="A226" t="s">
        <v>856</v>
      </c>
      <c r="B226" t="s">
        <v>857</v>
      </c>
      <c r="C226" s="1">
        <v>41318</v>
      </c>
      <c r="D226" s="1">
        <v>41330</v>
      </c>
      <c r="E226">
        <v>11832</v>
      </c>
      <c r="F226" t="s">
        <v>331</v>
      </c>
      <c r="G226" t="s">
        <v>16</v>
      </c>
      <c r="H226" t="s">
        <v>4597</v>
      </c>
      <c r="I226">
        <v>1.9636</v>
      </c>
      <c r="J226">
        <v>45996.72</v>
      </c>
      <c r="K226">
        <v>23424.689346099003</v>
      </c>
    </row>
    <row r="227" spans="1:11" x14ac:dyDescent="0.25">
      <c r="A227" t="s">
        <v>852</v>
      </c>
      <c r="B227" t="s">
        <v>853</v>
      </c>
      <c r="C227" s="1">
        <v>41313</v>
      </c>
      <c r="D227" s="1">
        <v>41319</v>
      </c>
      <c r="E227">
        <v>11335</v>
      </c>
      <c r="F227" t="s">
        <v>331</v>
      </c>
      <c r="G227" t="s">
        <v>16</v>
      </c>
      <c r="H227" t="s">
        <v>4598</v>
      </c>
      <c r="I227">
        <v>1.9789000000000001</v>
      </c>
      <c r="J227">
        <v>47737.27</v>
      </c>
      <c r="K227">
        <v>24123.134064379199</v>
      </c>
    </row>
    <row r="228" spans="1:11" x14ac:dyDescent="0.25">
      <c r="A228" t="s">
        <v>848</v>
      </c>
      <c r="B228" t="s">
        <v>849</v>
      </c>
      <c r="C228" s="1">
        <v>41332</v>
      </c>
      <c r="D228" s="1">
        <v>41339</v>
      </c>
      <c r="E228">
        <v>11834</v>
      </c>
      <c r="F228" t="s">
        <v>331</v>
      </c>
      <c r="G228" t="s">
        <v>16</v>
      </c>
      <c r="H228" t="s">
        <v>4599</v>
      </c>
      <c r="I228">
        <v>1.9818</v>
      </c>
      <c r="J228">
        <v>49334.35</v>
      </c>
      <c r="K228">
        <v>24893.707740437985</v>
      </c>
    </row>
    <row r="229" spans="1:11" x14ac:dyDescent="0.25">
      <c r="A229" t="s">
        <v>869</v>
      </c>
      <c r="B229" t="s">
        <v>870</v>
      </c>
      <c r="C229" s="1">
        <v>41353</v>
      </c>
      <c r="D229" s="1">
        <v>41361</v>
      </c>
      <c r="E229">
        <v>13711</v>
      </c>
      <c r="F229" t="s">
        <v>331</v>
      </c>
      <c r="G229" t="s">
        <v>16</v>
      </c>
      <c r="H229" t="s">
        <v>4600</v>
      </c>
      <c r="I229">
        <v>1.9830000000000001</v>
      </c>
      <c r="J229">
        <v>39847.599999999999</v>
      </c>
      <c r="K229">
        <v>20094.604135148766</v>
      </c>
    </row>
    <row r="230" spans="1:11" x14ac:dyDescent="0.25">
      <c r="A230" t="s">
        <v>799</v>
      </c>
      <c r="B230" t="s">
        <v>800</v>
      </c>
      <c r="C230" s="1">
        <v>41351</v>
      </c>
      <c r="D230" s="1">
        <v>41355</v>
      </c>
      <c r="E230">
        <v>4856</v>
      </c>
      <c r="F230" t="s">
        <v>301</v>
      </c>
      <c r="G230" t="s">
        <v>16</v>
      </c>
      <c r="H230" t="s">
        <v>4601</v>
      </c>
      <c r="I230">
        <v>1.9749000000000001</v>
      </c>
      <c r="J230">
        <v>41219.99</v>
      </c>
      <c r="K230">
        <v>20871.937819636438</v>
      </c>
    </row>
    <row r="231" spans="1:11" x14ac:dyDescent="0.25">
      <c r="A231" t="s">
        <v>1480</v>
      </c>
      <c r="B231" t="s">
        <v>1481</v>
      </c>
      <c r="C231" s="1">
        <v>41346</v>
      </c>
      <c r="D231" s="1">
        <v>41349</v>
      </c>
      <c r="E231">
        <v>13993</v>
      </c>
      <c r="F231" t="s">
        <v>331</v>
      </c>
      <c r="G231" t="s">
        <v>16</v>
      </c>
      <c r="H231" t="s">
        <v>4602</v>
      </c>
      <c r="I231">
        <v>1.9584999999999999</v>
      </c>
      <c r="J231">
        <v>38362.26</v>
      </c>
      <c r="K231">
        <v>19587.572121521574</v>
      </c>
    </row>
    <row r="232" spans="1:11" x14ac:dyDescent="0.25">
      <c r="A232" t="s">
        <v>848</v>
      </c>
      <c r="B232" t="s">
        <v>849</v>
      </c>
      <c r="C232" s="1">
        <v>41331</v>
      </c>
      <c r="D232" s="1">
        <v>41339</v>
      </c>
      <c r="E232">
        <v>11834</v>
      </c>
      <c r="F232" t="s">
        <v>331</v>
      </c>
      <c r="G232" t="s">
        <v>16</v>
      </c>
      <c r="H232" t="s">
        <v>863</v>
      </c>
      <c r="I232">
        <v>1.9676</v>
      </c>
      <c r="J232">
        <v>37018.5</v>
      </c>
      <c r="K232">
        <v>18814.037405976826</v>
      </c>
    </row>
    <row r="233" spans="1:11" x14ac:dyDescent="0.25">
      <c r="A233" t="s">
        <v>848</v>
      </c>
      <c r="B233" t="s">
        <v>849</v>
      </c>
      <c r="C233" s="1">
        <v>41332</v>
      </c>
      <c r="D233" s="1">
        <v>41339</v>
      </c>
      <c r="E233">
        <v>11834</v>
      </c>
      <c r="F233" t="s">
        <v>331</v>
      </c>
      <c r="G233" t="s">
        <v>16</v>
      </c>
      <c r="H233" t="s">
        <v>864</v>
      </c>
      <c r="I233">
        <v>1.9818</v>
      </c>
      <c r="J233">
        <v>37200.959999999999</v>
      </c>
      <c r="K233">
        <v>18771.298819255222</v>
      </c>
    </row>
    <row r="234" spans="1:11" x14ac:dyDescent="0.25">
      <c r="A234" t="s">
        <v>799</v>
      </c>
      <c r="B234" t="s">
        <v>800</v>
      </c>
      <c r="C234" s="1">
        <v>41359</v>
      </c>
      <c r="D234" s="1">
        <v>41365</v>
      </c>
      <c r="E234">
        <v>4856</v>
      </c>
      <c r="F234" t="s">
        <v>301</v>
      </c>
      <c r="G234" t="s">
        <v>16</v>
      </c>
      <c r="H234" t="s">
        <v>4603</v>
      </c>
      <c r="I234">
        <v>2.0139999999999998</v>
      </c>
      <c r="J234">
        <v>42030</v>
      </c>
      <c r="K234">
        <v>20868.91757696127</v>
      </c>
    </row>
    <row r="235" spans="1:11" x14ac:dyDescent="0.25">
      <c r="A235" t="s">
        <v>865</v>
      </c>
      <c r="B235" t="s">
        <v>866</v>
      </c>
      <c r="C235" s="1">
        <v>40975</v>
      </c>
      <c r="D235" s="1">
        <v>41348</v>
      </c>
      <c r="E235">
        <v>13442</v>
      </c>
      <c r="F235" t="s">
        <v>675</v>
      </c>
      <c r="G235" t="s">
        <v>16</v>
      </c>
      <c r="H235" t="s">
        <v>867</v>
      </c>
      <c r="I235">
        <v>1.7556</v>
      </c>
      <c r="J235">
        <v>290035.20000000001</v>
      </c>
      <c r="K235">
        <v>165205.74162679425</v>
      </c>
    </row>
    <row r="236" spans="1:11" x14ac:dyDescent="0.25">
      <c r="A236" t="s">
        <v>848</v>
      </c>
      <c r="B236" t="s">
        <v>849</v>
      </c>
      <c r="C236" s="1">
        <v>41333</v>
      </c>
      <c r="D236" s="1">
        <v>41342</v>
      </c>
      <c r="E236">
        <v>11834</v>
      </c>
      <c r="F236" t="s">
        <v>331</v>
      </c>
      <c r="G236" t="s">
        <v>16</v>
      </c>
      <c r="H236" t="s">
        <v>868</v>
      </c>
      <c r="I236">
        <v>1.9806999999999999</v>
      </c>
      <c r="J236">
        <v>37251.64</v>
      </c>
      <c r="K236">
        <v>18807.310546776393</v>
      </c>
    </row>
    <row r="237" spans="1:11" x14ac:dyDescent="0.25">
      <c r="A237" t="s">
        <v>835</v>
      </c>
      <c r="B237" t="s">
        <v>836</v>
      </c>
      <c r="C237" s="1">
        <v>41336</v>
      </c>
      <c r="D237" s="1">
        <v>41342</v>
      </c>
      <c r="E237">
        <v>11334</v>
      </c>
      <c r="F237" t="s">
        <v>331</v>
      </c>
      <c r="G237" t="s">
        <v>16</v>
      </c>
      <c r="H237" t="s">
        <v>4604</v>
      </c>
      <c r="I237">
        <v>1.9847999999999999</v>
      </c>
      <c r="J237">
        <v>9425.9</v>
      </c>
      <c r="K237">
        <v>4749.0427247077787</v>
      </c>
    </row>
    <row r="238" spans="1:11" x14ac:dyDescent="0.25">
      <c r="A238" t="s">
        <v>869</v>
      </c>
      <c r="B238" t="s">
        <v>870</v>
      </c>
      <c r="C238" s="1">
        <v>41346</v>
      </c>
      <c r="D238" s="1">
        <v>41352</v>
      </c>
      <c r="E238">
        <v>13711</v>
      </c>
      <c r="F238" t="s">
        <v>331</v>
      </c>
      <c r="G238" t="s">
        <v>16</v>
      </c>
      <c r="H238" t="s">
        <v>871</v>
      </c>
      <c r="I238">
        <v>1.9584999999999999</v>
      </c>
      <c r="J238">
        <v>29941</v>
      </c>
      <c r="K238">
        <v>15287.72019402604</v>
      </c>
    </row>
    <row r="239" spans="1:11" x14ac:dyDescent="0.25">
      <c r="A239" t="s">
        <v>1495</v>
      </c>
      <c r="B239" t="s">
        <v>1496</v>
      </c>
      <c r="C239" s="1">
        <v>41338</v>
      </c>
      <c r="D239" s="1">
        <v>41347</v>
      </c>
      <c r="E239">
        <v>13834</v>
      </c>
      <c r="F239" t="s">
        <v>331</v>
      </c>
      <c r="G239" t="s">
        <v>16</v>
      </c>
      <c r="H239" t="s">
        <v>4605</v>
      </c>
      <c r="I239">
        <v>1.9826999999999999</v>
      </c>
      <c r="J239">
        <v>24486</v>
      </c>
      <c r="K239">
        <v>12349.825994855501</v>
      </c>
    </row>
    <row r="240" spans="1:11" x14ac:dyDescent="0.25">
      <c r="A240" t="s">
        <v>1483</v>
      </c>
      <c r="B240" t="s">
        <v>1484</v>
      </c>
      <c r="C240" s="1">
        <v>41376</v>
      </c>
      <c r="D240" s="1">
        <v>41383</v>
      </c>
      <c r="E240">
        <v>14662</v>
      </c>
      <c r="F240" t="s">
        <v>887</v>
      </c>
      <c r="G240" t="s">
        <v>16</v>
      </c>
      <c r="H240" t="s">
        <v>4606</v>
      </c>
      <c r="I240">
        <v>1.9736</v>
      </c>
      <c r="J240">
        <v>46663.94</v>
      </c>
      <c r="K240">
        <v>23644.071747061207</v>
      </c>
    </row>
    <row r="241" spans="1:11" x14ac:dyDescent="0.25">
      <c r="A241" t="s">
        <v>872</v>
      </c>
      <c r="B241" t="s">
        <v>873</v>
      </c>
      <c r="C241" s="1">
        <v>41416</v>
      </c>
      <c r="D241" s="1">
        <v>41417</v>
      </c>
      <c r="E241">
        <v>4</v>
      </c>
      <c r="F241" t="s">
        <v>309</v>
      </c>
      <c r="G241" t="s">
        <v>16</v>
      </c>
      <c r="H241" t="s">
        <v>874</v>
      </c>
      <c r="I241">
        <v>2.0402</v>
      </c>
      <c r="J241">
        <v>50240.45</v>
      </c>
      <c r="K241">
        <v>24625.25732771297</v>
      </c>
    </row>
    <row r="242" spans="1:11" x14ac:dyDescent="0.25">
      <c r="A242" t="s">
        <v>4607</v>
      </c>
      <c r="B242" t="s">
        <v>4608</v>
      </c>
      <c r="C242" s="1">
        <v>41411</v>
      </c>
      <c r="D242" s="1">
        <v>41418</v>
      </c>
      <c r="E242">
        <v>15692</v>
      </c>
      <c r="F242" t="s">
        <v>402</v>
      </c>
      <c r="G242" t="s">
        <v>16</v>
      </c>
      <c r="H242" t="s">
        <v>4609</v>
      </c>
      <c r="I242">
        <v>2.0253999999999999</v>
      </c>
      <c r="J242">
        <v>40508</v>
      </c>
      <c r="K242">
        <v>20000</v>
      </c>
    </row>
    <row r="243" spans="1:11" x14ac:dyDescent="0.25">
      <c r="A243" t="s">
        <v>875</v>
      </c>
      <c r="B243" t="s">
        <v>876</v>
      </c>
      <c r="C243" s="1">
        <v>41445</v>
      </c>
      <c r="D243" s="1">
        <v>41452</v>
      </c>
      <c r="E243">
        <v>8</v>
      </c>
      <c r="F243" t="s">
        <v>309</v>
      </c>
      <c r="G243" t="s">
        <v>16</v>
      </c>
      <c r="H243" t="s">
        <v>877</v>
      </c>
      <c r="I243">
        <v>2.1743999999999999</v>
      </c>
      <c r="J243">
        <v>31846.23</v>
      </c>
      <c r="K243">
        <v>14645.985099337748</v>
      </c>
    </row>
    <row r="244" spans="1:11" x14ac:dyDescent="0.25">
      <c r="A244" t="s">
        <v>875</v>
      </c>
      <c r="B244" t="s">
        <v>876</v>
      </c>
      <c r="C244" s="1">
        <v>41439</v>
      </c>
      <c r="D244" s="1">
        <v>41449</v>
      </c>
      <c r="E244">
        <v>8</v>
      </c>
      <c r="F244" t="s">
        <v>309</v>
      </c>
      <c r="G244" t="s">
        <v>16</v>
      </c>
      <c r="H244" t="s">
        <v>4610</v>
      </c>
      <c r="I244">
        <v>2.1446999999999998</v>
      </c>
      <c r="J244">
        <v>26832</v>
      </c>
      <c r="K244">
        <v>12510.840677017764</v>
      </c>
    </row>
    <row r="245" spans="1:11" x14ac:dyDescent="0.25">
      <c r="A245" t="s">
        <v>875</v>
      </c>
      <c r="B245" t="s">
        <v>876</v>
      </c>
      <c r="C245" s="1">
        <v>41438</v>
      </c>
      <c r="D245" s="1">
        <v>41449</v>
      </c>
      <c r="E245">
        <v>8</v>
      </c>
      <c r="F245" t="s">
        <v>309</v>
      </c>
      <c r="G245" t="s">
        <v>16</v>
      </c>
      <c r="H245" t="s">
        <v>878</v>
      </c>
      <c r="I245">
        <v>2.1419999999999999</v>
      </c>
      <c r="J245">
        <v>41925</v>
      </c>
      <c r="K245">
        <v>19572.829131652659</v>
      </c>
    </row>
    <row r="246" spans="1:11" x14ac:dyDescent="0.25">
      <c r="A246" t="s">
        <v>875</v>
      </c>
      <c r="B246" t="s">
        <v>876</v>
      </c>
      <c r="C246" s="1">
        <v>41438</v>
      </c>
      <c r="D246" s="1">
        <v>41443</v>
      </c>
      <c r="E246">
        <v>8</v>
      </c>
      <c r="F246" t="s">
        <v>309</v>
      </c>
      <c r="G246" t="s">
        <v>16</v>
      </c>
      <c r="H246" t="s">
        <v>879</v>
      </c>
      <c r="I246">
        <v>2.1419999999999999</v>
      </c>
      <c r="J246">
        <v>31024.5</v>
      </c>
      <c r="K246">
        <v>14483.893557422969</v>
      </c>
    </row>
    <row r="247" spans="1:11" x14ac:dyDescent="0.25">
      <c r="A247" t="s">
        <v>875</v>
      </c>
      <c r="B247" t="s">
        <v>876</v>
      </c>
      <c r="C247" s="1">
        <v>41443</v>
      </c>
      <c r="D247" s="1">
        <v>41449</v>
      </c>
      <c r="E247">
        <v>8</v>
      </c>
      <c r="F247" t="s">
        <v>309</v>
      </c>
      <c r="G247" t="s">
        <v>16</v>
      </c>
      <c r="H247" t="s">
        <v>880</v>
      </c>
      <c r="I247">
        <v>2.1537999999999999</v>
      </c>
      <c r="J247">
        <v>41925</v>
      </c>
      <c r="K247">
        <v>19465.595691336242</v>
      </c>
    </row>
    <row r="248" spans="1:11" x14ac:dyDescent="0.25">
      <c r="A248" t="s">
        <v>875</v>
      </c>
      <c r="B248" t="s">
        <v>876</v>
      </c>
      <c r="C248" s="1">
        <v>41444</v>
      </c>
      <c r="D248" s="1">
        <v>41450</v>
      </c>
      <c r="E248">
        <v>8</v>
      </c>
      <c r="F248" t="s">
        <v>309</v>
      </c>
      <c r="G248" t="s">
        <v>16</v>
      </c>
      <c r="H248" t="s">
        <v>881</v>
      </c>
      <c r="I248">
        <v>2.1705999999999999</v>
      </c>
      <c r="J248">
        <v>31955.24</v>
      </c>
      <c r="K248">
        <v>14721.846494056943</v>
      </c>
    </row>
    <row r="249" spans="1:11" x14ac:dyDescent="0.25">
      <c r="A249" t="s">
        <v>875</v>
      </c>
      <c r="B249" t="s">
        <v>876</v>
      </c>
      <c r="C249" s="1">
        <v>41443</v>
      </c>
      <c r="D249" s="1">
        <v>41446</v>
      </c>
      <c r="E249">
        <v>8</v>
      </c>
      <c r="F249" t="s">
        <v>309</v>
      </c>
      <c r="G249" t="s">
        <v>16</v>
      </c>
      <c r="H249" t="s">
        <v>882</v>
      </c>
      <c r="I249">
        <v>2.1537999999999999</v>
      </c>
      <c r="J249">
        <v>41933.39</v>
      </c>
      <c r="K249">
        <v>19469.491131952829</v>
      </c>
    </row>
    <row r="250" spans="1:11" x14ac:dyDescent="0.25">
      <c r="A250" t="s">
        <v>875</v>
      </c>
      <c r="B250" t="s">
        <v>876</v>
      </c>
      <c r="C250" s="1">
        <v>41443</v>
      </c>
      <c r="D250" s="1">
        <v>41446</v>
      </c>
      <c r="E250">
        <v>8</v>
      </c>
      <c r="F250" t="s">
        <v>309</v>
      </c>
      <c r="G250" t="s">
        <v>16</v>
      </c>
      <c r="H250" t="s">
        <v>4611</v>
      </c>
      <c r="I250">
        <v>2.1537999999999999</v>
      </c>
      <c r="J250">
        <v>31024.5</v>
      </c>
      <c r="K250">
        <v>14404.54081158882</v>
      </c>
    </row>
    <row r="251" spans="1:11" x14ac:dyDescent="0.25">
      <c r="A251" t="s">
        <v>875</v>
      </c>
      <c r="B251" t="s">
        <v>876</v>
      </c>
      <c r="C251" s="1">
        <v>41438</v>
      </c>
      <c r="D251" s="1">
        <v>41444</v>
      </c>
      <c r="E251">
        <v>8</v>
      </c>
      <c r="F251" t="s">
        <v>309</v>
      </c>
      <c r="G251" t="s">
        <v>16</v>
      </c>
      <c r="H251" t="s">
        <v>4612</v>
      </c>
      <c r="I251">
        <v>2.1419999999999999</v>
      </c>
      <c r="J251">
        <v>31024.5</v>
      </c>
      <c r="K251">
        <v>14483.893557422969</v>
      </c>
    </row>
    <row r="252" spans="1:11" x14ac:dyDescent="0.25">
      <c r="A252" t="s">
        <v>875</v>
      </c>
      <c r="B252" t="s">
        <v>876</v>
      </c>
      <c r="C252" s="1">
        <v>41451</v>
      </c>
      <c r="D252" s="1">
        <v>41457</v>
      </c>
      <c r="E252">
        <v>8</v>
      </c>
      <c r="F252" t="s">
        <v>309</v>
      </c>
      <c r="G252" t="s">
        <v>16</v>
      </c>
      <c r="H252" t="s">
        <v>883</v>
      </c>
      <c r="I252">
        <v>2.2185000000000001</v>
      </c>
      <c r="J252">
        <v>31317.98</v>
      </c>
      <c r="K252">
        <v>14116.736533693937</v>
      </c>
    </row>
    <row r="253" spans="1:11" x14ac:dyDescent="0.25">
      <c r="A253" t="s">
        <v>875</v>
      </c>
      <c r="B253" t="s">
        <v>876</v>
      </c>
      <c r="C253" s="1">
        <v>41449</v>
      </c>
      <c r="D253" s="1">
        <v>41457</v>
      </c>
      <c r="E253">
        <v>8</v>
      </c>
      <c r="F253" t="s">
        <v>309</v>
      </c>
      <c r="G253" t="s">
        <v>16</v>
      </c>
      <c r="H253" t="s">
        <v>4613</v>
      </c>
      <c r="I253">
        <v>2.2648000000000001</v>
      </c>
      <c r="J253">
        <v>31024.5</v>
      </c>
      <c r="K253">
        <v>13698.5605793006</v>
      </c>
    </row>
    <row r="254" spans="1:11" x14ac:dyDescent="0.25">
      <c r="A254" t="s">
        <v>875</v>
      </c>
      <c r="B254" t="s">
        <v>876</v>
      </c>
      <c r="C254" s="1">
        <v>41450</v>
      </c>
      <c r="D254" s="1">
        <v>41456</v>
      </c>
      <c r="E254">
        <v>8</v>
      </c>
      <c r="F254" t="s">
        <v>309</v>
      </c>
      <c r="G254" t="s">
        <v>16</v>
      </c>
      <c r="H254" t="s">
        <v>4614</v>
      </c>
      <c r="I254">
        <v>2.2515000000000001</v>
      </c>
      <c r="J254">
        <v>43056.98</v>
      </c>
      <c r="K254">
        <v>19123.686431268045</v>
      </c>
    </row>
    <row r="255" spans="1:11" x14ac:dyDescent="0.25">
      <c r="A255" t="s">
        <v>875</v>
      </c>
      <c r="B255" t="s">
        <v>876</v>
      </c>
      <c r="C255" s="1">
        <v>41451</v>
      </c>
      <c r="D255" s="1">
        <v>41456</v>
      </c>
      <c r="E255">
        <v>8</v>
      </c>
      <c r="F255" t="s">
        <v>309</v>
      </c>
      <c r="G255" t="s">
        <v>16</v>
      </c>
      <c r="H255" t="s">
        <v>884</v>
      </c>
      <c r="I255">
        <v>2.2185000000000001</v>
      </c>
      <c r="J255">
        <v>42763.5</v>
      </c>
      <c r="K255">
        <v>19275.862068965518</v>
      </c>
    </row>
    <row r="256" spans="1:11" x14ac:dyDescent="0.25">
      <c r="A256" t="s">
        <v>885</v>
      </c>
      <c r="B256" t="s">
        <v>886</v>
      </c>
      <c r="C256" s="1">
        <v>41506</v>
      </c>
      <c r="D256" s="1">
        <v>41517</v>
      </c>
      <c r="E256">
        <v>4</v>
      </c>
      <c r="F256" t="s">
        <v>887</v>
      </c>
      <c r="G256" t="s">
        <v>16</v>
      </c>
      <c r="H256" t="s">
        <v>888</v>
      </c>
      <c r="I256">
        <v>2.3980000000000001</v>
      </c>
      <c r="J256">
        <v>79803.520000000004</v>
      </c>
      <c r="K256">
        <v>33279.199332777316</v>
      </c>
    </row>
    <row r="257" spans="1:11" x14ac:dyDescent="0.25">
      <c r="A257" t="s">
        <v>885</v>
      </c>
      <c r="B257" t="s">
        <v>886</v>
      </c>
      <c r="C257" s="1">
        <v>41506</v>
      </c>
      <c r="D257" s="1">
        <v>41517</v>
      </c>
      <c r="E257">
        <v>4</v>
      </c>
      <c r="F257" t="s">
        <v>887</v>
      </c>
      <c r="G257" t="s">
        <v>16</v>
      </c>
      <c r="H257" t="s">
        <v>4615</v>
      </c>
      <c r="I257">
        <v>2.3980000000000001</v>
      </c>
      <c r="J257">
        <v>59129.3</v>
      </c>
      <c r="K257">
        <v>24657.756463719765</v>
      </c>
    </row>
    <row r="258" spans="1:11" x14ac:dyDescent="0.25">
      <c r="A258" t="s">
        <v>885</v>
      </c>
      <c r="B258" t="s">
        <v>886</v>
      </c>
      <c r="C258" s="1">
        <v>41509</v>
      </c>
      <c r="D258" s="1">
        <v>41517</v>
      </c>
      <c r="E258">
        <v>4</v>
      </c>
      <c r="F258" t="s">
        <v>887</v>
      </c>
      <c r="G258" t="s">
        <v>16</v>
      </c>
      <c r="H258" t="s">
        <v>889</v>
      </c>
      <c r="I258">
        <v>2.4457</v>
      </c>
      <c r="J258">
        <v>81590.509999999995</v>
      </c>
      <c r="K258">
        <v>33360.800588788486</v>
      </c>
    </row>
    <row r="259" spans="1:11" x14ac:dyDescent="0.25">
      <c r="A259" t="s">
        <v>885</v>
      </c>
      <c r="B259" t="s">
        <v>886</v>
      </c>
      <c r="C259" s="1">
        <v>41509</v>
      </c>
      <c r="D259" s="1">
        <v>41517</v>
      </c>
      <c r="E259">
        <v>4</v>
      </c>
      <c r="F259" t="s">
        <v>887</v>
      </c>
      <c r="G259" t="s">
        <v>16</v>
      </c>
      <c r="H259" t="s">
        <v>890</v>
      </c>
      <c r="I259">
        <v>2.4457</v>
      </c>
      <c r="J259">
        <v>62049.37</v>
      </c>
      <c r="K259">
        <v>25370.801815431165</v>
      </c>
    </row>
    <row r="260" spans="1:11" x14ac:dyDescent="0.25">
      <c r="A260" t="s">
        <v>1997</v>
      </c>
      <c r="B260" t="s">
        <v>1998</v>
      </c>
      <c r="C260" s="1">
        <v>41505</v>
      </c>
      <c r="D260" s="1">
        <v>41519</v>
      </c>
      <c r="E260">
        <v>21</v>
      </c>
      <c r="F260" t="s">
        <v>311</v>
      </c>
      <c r="G260" t="s">
        <v>16</v>
      </c>
      <c r="H260" t="s">
        <v>4616</v>
      </c>
      <c r="I260">
        <v>2.3559000000000001</v>
      </c>
      <c r="J260">
        <v>88346.25</v>
      </c>
      <c r="K260">
        <v>37500</v>
      </c>
    </row>
    <row r="261" spans="1:11" x14ac:dyDescent="0.25">
      <c r="A261" t="s">
        <v>3794</v>
      </c>
      <c r="B261" t="s">
        <v>3795</v>
      </c>
      <c r="C261" s="1">
        <v>41503</v>
      </c>
      <c r="D261" s="1">
        <v>41519</v>
      </c>
      <c r="E261">
        <v>17415</v>
      </c>
      <c r="F261" t="s">
        <v>311</v>
      </c>
      <c r="G261" t="s">
        <v>16</v>
      </c>
      <c r="H261" t="s">
        <v>4617</v>
      </c>
      <c r="I261">
        <v>2.3559000000000001</v>
      </c>
      <c r="J261">
        <v>196910</v>
      </c>
      <c r="K261">
        <v>83581.646080054328</v>
      </c>
    </row>
    <row r="262" spans="1:11" x14ac:dyDescent="0.25">
      <c r="A262" t="s">
        <v>885</v>
      </c>
      <c r="B262" t="s">
        <v>886</v>
      </c>
      <c r="C262" s="1">
        <v>41503</v>
      </c>
      <c r="D262" s="1">
        <v>41508</v>
      </c>
      <c r="E262">
        <v>4</v>
      </c>
      <c r="F262" t="s">
        <v>887</v>
      </c>
      <c r="G262" t="s">
        <v>16</v>
      </c>
      <c r="H262" t="s">
        <v>891</v>
      </c>
      <c r="I262">
        <v>2.3559000000000001</v>
      </c>
      <c r="J262">
        <v>59257.49</v>
      </c>
      <c r="K262">
        <v>25152.80359947366</v>
      </c>
    </row>
    <row r="263" spans="1:11" x14ac:dyDescent="0.25">
      <c r="A263" t="s">
        <v>885</v>
      </c>
      <c r="B263" t="s">
        <v>886</v>
      </c>
      <c r="C263" s="1">
        <v>41503</v>
      </c>
      <c r="D263" s="1">
        <v>41508</v>
      </c>
      <c r="E263">
        <v>4</v>
      </c>
      <c r="F263" t="s">
        <v>887</v>
      </c>
      <c r="G263" t="s">
        <v>16</v>
      </c>
      <c r="H263" t="s">
        <v>892</v>
      </c>
      <c r="I263">
        <v>2.3559000000000001</v>
      </c>
      <c r="J263">
        <v>59706.17</v>
      </c>
      <c r="K263">
        <v>25343.253109215162</v>
      </c>
    </row>
    <row r="264" spans="1:11" x14ac:dyDescent="0.25">
      <c r="A264" t="s">
        <v>885</v>
      </c>
      <c r="B264" t="s">
        <v>886</v>
      </c>
      <c r="C264" s="1">
        <v>41505</v>
      </c>
      <c r="D264" s="1">
        <v>41510</v>
      </c>
      <c r="E264">
        <v>4</v>
      </c>
      <c r="F264" t="s">
        <v>887</v>
      </c>
      <c r="G264" t="s">
        <v>16</v>
      </c>
      <c r="H264" t="s">
        <v>4618</v>
      </c>
      <c r="I264">
        <v>2.3559000000000001</v>
      </c>
      <c r="J264">
        <v>60283.040000000001</v>
      </c>
      <c r="K264">
        <v>25588.114945456087</v>
      </c>
    </row>
    <row r="265" spans="1:11" x14ac:dyDescent="0.25">
      <c r="A265" t="s">
        <v>885</v>
      </c>
      <c r="B265" t="s">
        <v>886</v>
      </c>
      <c r="C265" s="1">
        <v>41503</v>
      </c>
      <c r="D265" s="1">
        <v>41512</v>
      </c>
      <c r="E265">
        <v>4</v>
      </c>
      <c r="F265" t="s">
        <v>887</v>
      </c>
      <c r="G265" t="s">
        <v>16</v>
      </c>
      <c r="H265" t="s">
        <v>4619</v>
      </c>
      <c r="I265">
        <v>2.3559000000000001</v>
      </c>
      <c r="J265">
        <v>60186.9</v>
      </c>
      <c r="K265">
        <v>25547.306761747102</v>
      </c>
    </row>
    <row r="266" spans="1:11" x14ac:dyDescent="0.25">
      <c r="A266" t="s">
        <v>4620</v>
      </c>
      <c r="B266" t="s">
        <v>4621</v>
      </c>
      <c r="C266" s="1">
        <v>41479</v>
      </c>
      <c r="D266" s="1">
        <v>41487</v>
      </c>
      <c r="E266">
        <v>17667</v>
      </c>
      <c r="F266" t="s">
        <v>311</v>
      </c>
      <c r="G266" t="s">
        <v>16</v>
      </c>
      <c r="H266" t="s">
        <v>4622</v>
      </c>
      <c r="I266">
        <v>2.2267000000000001</v>
      </c>
      <c r="J266">
        <v>62330.8</v>
      </c>
      <c r="K266">
        <v>27992.455202766425</v>
      </c>
    </row>
    <row r="267" spans="1:11" x14ac:dyDescent="0.25">
      <c r="A267" t="s">
        <v>893</v>
      </c>
      <c r="B267" t="s">
        <v>894</v>
      </c>
      <c r="C267" s="1">
        <v>41507</v>
      </c>
      <c r="D267" s="1">
        <v>41537</v>
      </c>
      <c r="E267">
        <v>4</v>
      </c>
      <c r="F267" t="s">
        <v>311</v>
      </c>
      <c r="G267" t="s">
        <v>16</v>
      </c>
      <c r="H267" t="s">
        <v>895</v>
      </c>
      <c r="I267">
        <v>2.3942999999999999</v>
      </c>
      <c r="J267">
        <v>134645.63</v>
      </c>
      <c r="K267">
        <v>56235.906110345401</v>
      </c>
    </row>
    <row r="268" spans="1:11" x14ac:dyDescent="0.25">
      <c r="A268" t="s">
        <v>896</v>
      </c>
      <c r="B268" t="s">
        <v>897</v>
      </c>
      <c r="C268" s="1">
        <v>41540</v>
      </c>
      <c r="D268" s="1">
        <v>41544</v>
      </c>
      <c r="E268">
        <v>296</v>
      </c>
      <c r="F268" t="s">
        <v>887</v>
      </c>
      <c r="G268" t="s">
        <v>16</v>
      </c>
      <c r="H268" t="s">
        <v>898</v>
      </c>
      <c r="I268">
        <v>2.2052999999999998</v>
      </c>
      <c r="J268">
        <v>47465.11</v>
      </c>
      <c r="K268">
        <v>21523.198657778987</v>
      </c>
    </row>
    <row r="269" spans="1:11" x14ac:dyDescent="0.25">
      <c r="A269" t="s">
        <v>896</v>
      </c>
      <c r="B269" t="s">
        <v>897</v>
      </c>
      <c r="C269" s="1">
        <v>41536</v>
      </c>
      <c r="D269" s="1">
        <v>41540</v>
      </c>
      <c r="E269">
        <v>296</v>
      </c>
      <c r="F269" t="s">
        <v>887</v>
      </c>
      <c r="G269" t="s">
        <v>16</v>
      </c>
      <c r="H269" t="s">
        <v>899</v>
      </c>
      <c r="I269">
        <v>2.2488999999999999</v>
      </c>
      <c r="J269">
        <v>49717.11</v>
      </c>
      <c r="K269">
        <v>22107.30134732536</v>
      </c>
    </row>
    <row r="270" spans="1:11" x14ac:dyDescent="0.25">
      <c r="A270" t="s">
        <v>896</v>
      </c>
      <c r="B270" t="s">
        <v>897</v>
      </c>
      <c r="C270" s="1">
        <v>41536</v>
      </c>
      <c r="D270" s="1">
        <v>41540</v>
      </c>
      <c r="E270">
        <v>296</v>
      </c>
      <c r="F270" t="s">
        <v>887</v>
      </c>
      <c r="G270" t="s">
        <v>16</v>
      </c>
      <c r="H270" t="s">
        <v>4623</v>
      </c>
      <c r="I270">
        <v>2.2488999999999999</v>
      </c>
      <c r="J270">
        <v>50048.82</v>
      </c>
      <c r="K270">
        <v>22254.800124505313</v>
      </c>
    </row>
    <row r="271" spans="1:11" x14ac:dyDescent="0.25">
      <c r="A271" t="s">
        <v>885</v>
      </c>
      <c r="B271" t="s">
        <v>886</v>
      </c>
      <c r="C271" s="1">
        <v>41506</v>
      </c>
      <c r="D271" s="1">
        <v>41509</v>
      </c>
      <c r="E271">
        <v>4</v>
      </c>
      <c r="F271" t="s">
        <v>887</v>
      </c>
      <c r="G271" t="s">
        <v>16</v>
      </c>
      <c r="H271" t="s">
        <v>900</v>
      </c>
      <c r="I271">
        <v>2.3980000000000001</v>
      </c>
      <c r="J271">
        <v>58344.11</v>
      </c>
      <c r="K271">
        <v>24330.32110091743</v>
      </c>
    </row>
    <row r="272" spans="1:11" x14ac:dyDescent="0.25">
      <c r="A272" t="s">
        <v>885</v>
      </c>
      <c r="B272" t="s">
        <v>886</v>
      </c>
      <c r="C272" s="1">
        <v>41523</v>
      </c>
      <c r="D272" s="1">
        <v>41528</v>
      </c>
      <c r="E272">
        <v>4</v>
      </c>
      <c r="F272" t="s">
        <v>887</v>
      </c>
      <c r="G272" t="s">
        <v>16</v>
      </c>
      <c r="H272" t="s">
        <v>4624</v>
      </c>
      <c r="I272">
        <v>2.3313999999999999</v>
      </c>
      <c r="J272">
        <v>60052.13</v>
      </c>
      <c r="K272">
        <v>25757.969460410055</v>
      </c>
    </row>
    <row r="273" spans="1:11" x14ac:dyDescent="0.25">
      <c r="A273" t="s">
        <v>901</v>
      </c>
      <c r="B273" t="s">
        <v>902</v>
      </c>
      <c r="C273" s="1">
        <v>41516</v>
      </c>
      <c r="D273" s="1">
        <v>41522</v>
      </c>
      <c r="E273">
        <v>16315</v>
      </c>
      <c r="F273" t="s">
        <v>887</v>
      </c>
      <c r="G273" t="s">
        <v>16</v>
      </c>
      <c r="H273" t="s">
        <v>4625</v>
      </c>
      <c r="I273">
        <v>2.3578000000000001</v>
      </c>
      <c r="J273">
        <v>69664.289999999994</v>
      </c>
      <c r="K273">
        <v>29546.310119603018</v>
      </c>
    </row>
    <row r="274" spans="1:11" x14ac:dyDescent="0.25">
      <c r="A274" t="s">
        <v>901</v>
      </c>
      <c r="B274" t="s">
        <v>902</v>
      </c>
      <c r="C274" s="1">
        <v>41528</v>
      </c>
      <c r="D274" s="1">
        <v>41533</v>
      </c>
      <c r="E274">
        <v>16315</v>
      </c>
      <c r="F274" t="s">
        <v>887</v>
      </c>
      <c r="G274" t="s">
        <v>16</v>
      </c>
      <c r="H274" t="s">
        <v>903</v>
      </c>
      <c r="I274">
        <v>2.2778999999999998</v>
      </c>
      <c r="J274">
        <v>67782.09</v>
      </c>
      <c r="K274">
        <v>29756.394047148689</v>
      </c>
    </row>
    <row r="275" spans="1:11" x14ac:dyDescent="0.25">
      <c r="A275" t="s">
        <v>904</v>
      </c>
      <c r="B275" t="s">
        <v>905</v>
      </c>
      <c r="C275" s="1">
        <v>41522</v>
      </c>
      <c r="D275" s="1">
        <v>41533</v>
      </c>
      <c r="E275">
        <v>16316</v>
      </c>
      <c r="F275" t="s">
        <v>887</v>
      </c>
      <c r="G275" t="s">
        <v>16</v>
      </c>
      <c r="H275" t="s">
        <v>906</v>
      </c>
      <c r="I275">
        <v>2.3538000000000001</v>
      </c>
      <c r="J275">
        <v>61902.66</v>
      </c>
      <c r="K275">
        <v>26299.031353555951</v>
      </c>
    </row>
    <row r="276" spans="1:11" x14ac:dyDescent="0.25">
      <c r="A276" t="s">
        <v>904</v>
      </c>
      <c r="B276" t="s">
        <v>905</v>
      </c>
      <c r="C276" s="1">
        <v>41522</v>
      </c>
      <c r="D276" s="1">
        <v>41533</v>
      </c>
      <c r="E276">
        <v>16316</v>
      </c>
      <c r="F276" t="s">
        <v>887</v>
      </c>
      <c r="G276" t="s">
        <v>16</v>
      </c>
      <c r="H276" t="s">
        <v>4626</v>
      </c>
      <c r="I276">
        <v>2.3538000000000001</v>
      </c>
      <c r="J276">
        <v>62329.91</v>
      </c>
      <c r="K276">
        <v>26480.546350582037</v>
      </c>
    </row>
    <row r="277" spans="1:11" x14ac:dyDescent="0.25">
      <c r="A277" t="s">
        <v>1510</v>
      </c>
      <c r="B277" t="s">
        <v>1511</v>
      </c>
      <c r="C277" s="1">
        <v>41506</v>
      </c>
      <c r="D277" s="1">
        <v>41509</v>
      </c>
      <c r="E277">
        <v>283</v>
      </c>
      <c r="F277" t="s">
        <v>311</v>
      </c>
      <c r="G277" t="s">
        <v>16</v>
      </c>
      <c r="H277" t="s">
        <v>4627</v>
      </c>
      <c r="I277">
        <v>2.3980000000000001</v>
      </c>
      <c r="J277">
        <v>299370.05</v>
      </c>
      <c r="K277">
        <v>124841.55546288574</v>
      </c>
    </row>
    <row r="278" spans="1:11" x14ac:dyDescent="0.25">
      <c r="A278" t="s">
        <v>907</v>
      </c>
      <c r="B278" t="s">
        <v>908</v>
      </c>
      <c r="C278" s="1">
        <v>41528</v>
      </c>
      <c r="D278" s="1">
        <v>41533</v>
      </c>
      <c r="E278">
        <v>1</v>
      </c>
      <c r="F278" t="s">
        <v>887</v>
      </c>
      <c r="G278" t="s">
        <v>16</v>
      </c>
      <c r="H278" t="s">
        <v>909</v>
      </c>
      <c r="I278">
        <v>2.2778999999999998</v>
      </c>
      <c r="J278">
        <v>83908.52</v>
      </c>
      <c r="K278">
        <v>36835.910268229512</v>
      </c>
    </row>
    <row r="279" spans="1:11" x14ac:dyDescent="0.25">
      <c r="A279" t="s">
        <v>910</v>
      </c>
      <c r="B279" t="s">
        <v>911</v>
      </c>
      <c r="C279" s="1">
        <v>41528</v>
      </c>
      <c r="D279" s="1">
        <v>41529</v>
      </c>
      <c r="E279">
        <v>3</v>
      </c>
      <c r="F279" t="s">
        <v>912</v>
      </c>
      <c r="G279" t="s">
        <v>16</v>
      </c>
      <c r="H279" t="s">
        <v>913</v>
      </c>
      <c r="I279">
        <v>2.2778999999999998</v>
      </c>
      <c r="J279">
        <v>62455.6</v>
      </c>
      <c r="K279">
        <v>27418.060494314937</v>
      </c>
    </row>
    <row r="280" spans="1:11" x14ac:dyDescent="0.25">
      <c r="A280" t="s">
        <v>885</v>
      </c>
      <c r="B280" t="s">
        <v>886</v>
      </c>
      <c r="C280" s="1">
        <v>41528</v>
      </c>
      <c r="D280" s="1">
        <v>41533</v>
      </c>
      <c r="E280">
        <v>4</v>
      </c>
      <c r="F280" t="s">
        <v>887</v>
      </c>
      <c r="G280" t="s">
        <v>16</v>
      </c>
      <c r="H280" t="s">
        <v>914</v>
      </c>
      <c r="I280">
        <v>2.2778999999999998</v>
      </c>
      <c r="J280">
        <v>81261.14</v>
      </c>
      <c r="K280">
        <v>35673.708240045657</v>
      </c>
    </row>
    <row r="281" spans="1:11" x14ac:dyDescent="0.25">
      <c r="A281" t="s">
        <v>896</v>
      </c>
      <c r="B281" t="s">
        <v>897</v>
      </c>
      <c r="C281" s="1">
        <v>41528</v>
      </c>
      <c r="D281" s="1">
        <v>41535</v>
      </c>
      <c r="E281">
        <v>296</v>
      </c>
      <c r="F281" t="s">
        <v>887</v>
      </c>
      <c r="G281" t="s">
        <v>16</v>
      </c>
      <c r="H281" t="s">
        <v>915</v>
      </c>
      <c r="I281">
        <v>2.2778999999999998</v>
      </c>
      <c r="J281">
        <v>65504.66</v>
      </c>
      <c r="K281">
        <v>28756.600377540719</v>
      </c>
    </row>
    <row r="282" spans="1:11" x14ac:dyDescent="0.25">
      <c r="A282" t="s">
        <v>907</v>
      </c>
      <c r="B282" t="s">
        <v>908</v>
      </c>
      <c r="C282" s="1">
        <v>41530</v>
      </c>
      <c r="D282" s="1">
        <v>41537</v>
      </c>
      <c r="E282">
        <v>1</v>
      </c>
      <c r="F282" t="s">
        <v>887</v>
      </c>
      <c r="G282" t="s">
        <v>16</v>
      </c>
      <c r="H282" t="s">
        <v>4628</v>
      </c>
      <c r="I282">
        <v>2.2768999999999999</v>
      </c>
      <c r="J282">
        <v>50255.51</v>
      </c>
      <c r="K282">
        <v>22071.90039088234</v>
      </c>
    </row>
    <row r="283" spans="1:11" x14ac:dyDescent="0.25">
      <c r="A283" t="s">
        <v>907</v>
      </c>
      <c r="B283" t="s">
        <v>908</v>
      </c>
      <c r="C283" s="1">
        <v>41533</v>
      </c>
      <c r="D283" s="1">
        <v>41538</v>
      </c>
      <c r="E283">
        <v>1</v>
      </c>
      <c r="F283" t="s">
        <v>887</v>
      </c>
      <c r="G283" t="s">
        <v>16</v>
      </c>
      <c r="H283" t="s">
        <v>916</v>
      </c>
      <c r="I283">
        <v>2.2785000000000002</v>
      </c>
      <c r="J283">
        <v>42292.15</v>
      </c>
      <c r="K283">
        <v>18561.400043888523</v>
      </c>
    </row>
    <row r="284" spans="1:11" x14ac:dyDescent="0.25">
      <c r="A284" t="s">
        <v>907</v>
      </c>
      <c r="B284" t="s">
        <v>908</v>
      </c>
      <c r="C284" s="1">
        <v>41533</v>
      </c>
      <c r="D284" s="1">
        <v>41538</v>
      </c>
      <c r="E284">
        <v>1</v>
      </c>
      <c r="F284" t="s">
        <v>887</v>
      </c>
      <c r="G284" t="s">
        <v>16</v>
      </c>
      <c r="H284" t="s">
        <v>4629</v>
      </c>
      <c r="I284">
        <v>2.2785000000000002</v>
      </c>
      <c r="J284">
        <v>42224.93</v>
      </c>
      <c r="K284">
        <v>18531.898178626288</v>
      </c>
    </row>
    <row r="285" spans="1:11" x14ac:dyDescent="0.25">
      <c r="A285" t="s">
        <v>917</v>
      </c>
      <c r="B285" t="s">
        <v>918</v>
      </c>
      <c r="C285" s="1">
        <v>41522</v>
      </c>
      <c r="D285" s="1">
        <v>41541</v>
      </c>
      <c r="E285">
        <v>16313</v>
      </c>
      <c r="F285" t="s">
        <v>311</v>
      </c>
      <c r="G285" t="s">
        <v>16</v>
      </c>
      <c r="H285" t="s">
        <v>919</v>
      </c>
      <c r="I285">
        <v>2.3538000000000001</v>
      </c>
      <c r="J285">
        <v>12989.66</v>
      </c>
      <c r="K285">
        <v>5518.5912142068146</v>
      </c>
    </row>
    <row r="286" spans="1:11" x14ac:dyDescent="0.25">
      <c r="A286" t="s">
        <v>896</v>
      </c>
      <c r="B286" t="s">
        <v>897</v>
      </c>
      <c r="C286" s="1">
        <v>41541</v>
      </c>
      <c r="D286" s="1">
        <v>41545</v>
      </c>
      <c r="E286">
        <v>296</v>
      </c>
      <c r="F286" t="s">
        <v>887</v>
      </c>
      <c r="G286" t="s">
        <v>16</v>
      </c>
      <c r="H286" t="s">
        <v>4630</v>
      </c>
      <c r="I286">
        <v>2.2033</v>
      </c>
      <c r="J286">
        <v>48813.01</v>
      </c>
      <c r="K286">
        <v>22154.500068079698</v>
      </c>
    </row>
    <row r="287" spans="1:11" x14ac:dyDescent="0.25">
      <c r="A287" t="s">
        <v>896</v>
      </c>
      <c r="B287" t="s">
        <v>897</v>
      </c>
      <c r="C287" s="1">
        <v>41541</v>
      </c>
      <c r="D287" s="1">
        <v>41547</v>
      </c>
      <c r="E287">
        <v>296</v>
      </c>
      <c r="F287" t="s">
        <v>887</v>
      </c>
      <c r="G287" t="s">
        <v>16</v>
      </c>
      <c r="H287" t="s">
        <v>4631</v>
      </c>
      <c r="I287">
        <v>2.2033</v>
      </c>
      <c r="J287">
        <v>64594.37</v>
      </c>
      <c r="K287">
        <v>29317.101620296828</v>
      </c>
    </row>
    <row r="288" spans="1:11" x14ac:dyDescent="0.25">
      <c r="A288" t="s">
        <v>4632</v>
      </c>
      <c r="B288" t="s">
        <v>4633</v>
      </c>
      <c r="C288" s="1">
        <v>41527</v>
      </c>
      <c r="D288" s="1">
        <v>41548</v>
      </c>
      <c r="E288">
        <v>16332</v>
      </c>
      <c r="F288" t="s">
        <v>642</v>
      </c>
      <c r="G288" t="s">
        <v>16</v>
      </c>
      <c r="H288" t="s">
        <v>4634</v>
      </c>
      <c r="I288">
        <v>2.2867999999999999</v>
      </c>
      <c r="J288">
        <v>18088</v>
      </c>
      <c r="K288">
        <v>7909.7428721357355</v>
      </c>
    </row>
    <row r="289" spans="1:11" x14ac:dyDescent="0.25">
      <c r="A289" t="s">
        <v>896</v>
      </c>
      <c r="B289" t="s">
        <v>897</v>
      </c>
      <c r="C289" s="1">
        <v>41529</v>
      </c>
      <c r="D289" s="1">
        <v>41534</v>
      </c>
      <c r="E289">
        <v>296</v>
      </c>
      <c r="F289" t="s">
        <v>887</v>
      </c>
      <c r="G289" t="s">
        <v>16</v>
      </c>
      <c r="H289" t="s">
        <v>4635</v>
      </c>
      <c r="I289">
        <v>2.2947000000000002</v>
      </c>
      <c r="J289">
        <v>50323.46</v>
      </c>
      <c r="K289">
        <v>21930.300257114221</v>
      </c>
    </row>
    <row r="290" spans="1:11" x14ac:dyDescent="0.25">
      <c r="A290" t="s">
        <v>896</v>
      </c>
      <c r="B290" t="s">
        <v>897</v>
      </c>
      <c r="C290" s="1">
        <v>41534</v>
      </c>
      <c r="D290" s="1">
        <v>41538</v>
      </c>
      <c r="E290">
        <v>296</v>
      </c>
      <c r="F290" t="s">
        <v>887</v>
      </c>
      <c r="G290" t="s">
        <v>16</v>
      </c>
      <c r="H290" t="s">
        <v>920</v>
      </c>
      <c r="I290">
        <v>2.2648999999999999</v>
      </c>
      <c r="J290">
        <v>49015.15</v>
      </c>
      <c r="K290">
        <v>21641.198286900082</v>
      </c>
    </row>
    <row r="291" spans="1:11" x14ac:dyDescent="0.25">
      <c r="A291" t="s">
        <v>921</v>
      </c>
      <c r="B291" t="s">
        <v>922</v>
      </c>
      <c r="C291" s="1">
        <v>41550</v>
      </c>
      <c r="D291" s="1">
        <v>41555</v>
      </c>
      <c r="E291">
        <v>18399</v>
      </c>
      <c r="F291" t="s">
        <v>887</v>
      </c>
      <c r="G291" t="s">
        <v>16</v>
      </c>
      <c r="H291" t="s">
        <v>923</v>
      </c>
      <c r="I291">
        <v>2.2088000000000001</v>
      </c>
      <c r="J291">
        <v>76100.429999999993</v>
      </c>
      <c r="K291">
        <v>34453.29137993481</v>
      </c>
    </row>
    <row r="292" spans="1:11" x14ac:dyDescent="0.25">
      <c r="A292" t="s">
        <v>885</v>
      </c>
      <c r="B292" t="s">
        <v>886</v>
      </c>
      <c r="C292" s="1">
        <v>41556</v>
      </c>
      <c r="D292" s="1">
        <v>41562</v>
      </c>
      <c r="E292">
        <v>4</v>
      </c>
      <c r="F292" t="s">
        <v>887</v>
      </c>
      <c r="G292" t="s">
        <v>16</v>
      </c>
      <c r="H292" t="s">
        <v>4636</v>
      </c>
      <c r="I292">
        <v>2.2016</v>
      </c>
      <c r="J292">
        <v>58037.82</v>
      </c>
      <c r="K292">
        <v>26361.655159883721</v>
      </c>
    </row>
    <row r="293" spans="1:11" x14ac:dyDescent="0.25">
      <c r="A293" t="s">
        <v>896</v>
      </c>
      <c r="B293" t="s">
        <v>897</v>
      </c>
      <c r="C293" s="1">
        <v>41529</v>
      </c>
      <c r="D293" s="1">
        <v>41535</v>
      </c>
      <c r="E293">
        <v>296</v>
      </c>
      <c r="F293" t="s">
        <v>887</v>
      </c>
      <c r="G293" t="s">
        <v>16</v>
      </c>
      <c r="H293" t="s">
        <v>4637</v>
      </c>
      <c r="I293">
        <v>2.2947000000000002</v>
      </c>
      <c r="J293">
        <v>49930.84</v>
      </c>
      <c r="K293">
        <v>21759.201638558417</v>
      </c>
    </row>
    <row r="294" spans="1:11" x14ac:dyDescent="0.25">
      <c r="A294" t="s">
        <v>924</v>
      </c>
      <c r="B294" t="s">
        <v>925</v>
      </c>
      <c r="C294" s="1">
        <v>41558</v>
      </c>
      <c r="D294" s="1">
        <v>41565</v>
      </c>
      <c r="E294">
        <v>696</v>
      </c>
      <c r="F294" t="s">
        <v>278</v>
      </c>
      <c r="G294" t="s">
        <v>16</v>
      </c>
      <c r="H294" t="s">
        <v>926</v>
      </c>
      <c r="I294">
        <v>2.1850000000000001</v>
      </c>
      <c r="J294">
        <v>14450</v>
      </c>
      <c r="K294">
        <v>6613.2723112128142</v>
      </c>
    </row>
    <row r="295" spans="1:11" x14ac:dyDescent="0.25">
      <c r="A295" t="s">
        <v>924</v>
      </c>
      <c r="B295" t="s">
        <v>925</v>
      </c>
      <c r="C295" s="1">
        <v>41562</v>
      </c>
      <c r="D295" s="1">
        <v>41565</v>
      </c>
      <c r="E295">
        <v>696</v>
      </c>
      <c r="F295" t="s">
        <v>278</v>
      </c>
      <c r="G295" t="s">
        <v>16</v>
      </c>
      <c r="H295" t="s">
        <v>4638</v>
      </c>
      <c r="I295">
        <v>2.1817000000000002</v>
      </c>
      <c r="J295">
        <v>96200</v>
      </c>
      <c r="K295">
        <v>44094.055094650961</v>
      </c>
    </row>
    <row r="296" spans="1:11" x14ac:dyDescent="0.25">
      <c r="A296" t="s">
        <v>885</v>
      </c>
      <c r="B296" t="s">
        <v>886</v>
      </c>
      <c r="C296" s="1">
        <v>41550</v>
      </c>
      <c r="D296" s="1">
        <v>41555</v>
      </c>
      <c r="E296">
        <v>4</v>
      </c>
      <c r="F296" t="s">
        <v>887</v>
      </c>
      <c r="G296" t="s">
        <v>16</v>
      </c>
      <c r="H296" t="s">
        <v>4639</v>
      </c>
      <c r="I296">
        <v>2.2088000000000001</v>
      </c>
      <c r="J296">
        <v>75321.45</v>
      </c>
      <c r="K296">
        <v>34100.620246287574</v>
      </c>
    </row>
    <row r="297" spans="1:11" x14ac:dyDescent="0.25">
      <c r="A297" t="s">
        <v>950</v>
      </c>
      <c r="B297" t="s">
        <v>951</v>
      </c>
      <c r="C297" s="1">
        <v>41547</v>
      </c>
      <c r="D297" s="1">
        <v>41556</v>
      </c>
      <c r="E297">
        <v>501</v>
      </c>
      <c r="F297" t="s">
        <v>309</v>
      </c>
      <c r="G297" t="s">
        <v>16</v>
      </c>
      <c r="H297" t="s">
        <v>4640</v>
      </c>
      <c r="I297">
        <v>2.2570999999999999</v>
      </c>
      <c r="J297">
        <v>145513.60000000001</v>
      </c>
      <c r="K297">
        <v>64469.274733064551</v>
      </c>
    </row>
    <row r="298" spans="1:11" x14ac:dyDescent="0.25">
      <c r="A298" t="s">
        <v>896</v>
      </c>
      <c r="B298" t="s">
        <v>897</v>
      </c>
      <c r="C298" s="1">
        <v>41551</v>
      </c>
      <c r="D298" s="1">
        <v>41556</v>
      </c>
      <c r="E298">
        <v>296</v>
      </c>
      <c r="F298" t="s">
        <v>887</v>
      </c>
      <c r="G298" t="s">
        <v>16</v>
      </c>
      <c r="H298" t="s">
        <v>927</v>
      </c>
      <c r="I298">
        <v>2.2069000000000001</v>
      </c>
      <c r="J298">
        <v>65494.17</v>
      </c>
      <c r="K298">
        <v>29676.999410938421</v>
      </c>
    </row>
    <row r="299" spans="1:11" x14ac:dyDescent="0.25">
      <c r="A299" t="s">
        <v>896</v>
      </c>
      <c r="B299" t="s">
        <v>897</v>
      </c>
      <c r="C299" s="1">
        <v>41543</v>
      </c>
      <c r="D299" s="1">
        <v>41550</v>
      </c>
      <c r="E299">
        <v>296</v>
      </c>
      <c r="F299" t="s">
        <v>887</v>
      </c>
      <c r="G299" t="s">
        <v>16</v>
      </c>
      <c r="H299" t="s">
        <v>4641</v>
      </c>
      <c r="I299">
        <v>2.2223999999999999</v>
      </c>
      <c r="J299">
        <v>41775.339999999997</v>
      </c>
      <c r="K299">
        <v>18797.399208063354</v>
      </c>
    </row>
    <row r="300" spans="1:11" x14ac:dyDescent="0.25">
      <c r="A300" t="s">
        <v>2014</v>
      </c>
      <c r="B300" t="s">
        <v>2015</v>
      </c>
      <c r="C300" s="1">
        <v>41548</v>
      </c>
      <c r="D300" s="1">
        <v>41557</v>
      </c>
      <c r="E300">
        <v>6</v>
      </c>
      <c r="F300" t="s">
        <v>887</v>
      </c>
      <c r="G300" t="s">
        <v>16</v>
      </c>
      <c r="H300" t="s">
        <v>4642</v>
      </c>
      <c r="I300">
        <v>2.23</v>
      </c>
      <c r="J300">
        <v>53929.440000000002</v>
      </c>
      <c r="K300">
        <v>24183.605381165919</v>
      </c>
    </row>
    <row r="301" spans="1:11" x14ac:dyDescent="0.25">
      <c r="A301" t="s">
        <v>928</v>
      </c>
      <c r="B301" t="s">
        <v>929</v>
      </c>
      <c r="C301" s="1">
        <v>41544</v>
      </c>
      <c r="D301" s="1">
        <v>41551</v>
      </c>
      <c r="E301">
        <v>593</v>
      </c>
      <c r="F301" t="s">
        <v>642</v>
      </c>
      <c r="G301" t="s">
        <v>16</v>
      </c>
      <c r="H301" t="s">
        <v>930</v>
      </c>
      <c r="I301">
        <v>2.2284999999999999</v>
      </c>
      <c r="J301">
        <v>5080.9799999999996</v>
      </c>
      <c r="K301">
        <v>2280</v>
      </c>
    </row>
    <row r="302" spans="1:11" x14ac:dyDescent="0.25">
      <c r="A302" t="s">
        <v>2494</v>
      </c>
      <c r="B302" t="s">
        <v>2495</v>
      </c>
      <c r="C302" s="1">
        <v>41551</v>
      </c>
      <c r="D302" s="1">
        <v>41558</v>
      </c>
      <c r="E302">
        <v>697</v>
      </c>
      <c r="F302" t="s">
        <v>278</v>
      </c>
      <c r="G302" t="s">
        <v>16</v>
      </c>
      <c r="H302" t="s">
        <v>4643</v>
      </c>
      <c r="I302">
        <v>2.2069000000000001</v>
      </c>
      <c r="J302">
        <v>55260</v>
      </c>
      <c r="K302">
        <v>25039.648375549412</v>
      </c>
    </row>
    <row r="303" spans="1:11" x14ac:dyDescent="0.25">
      <c r="A303" t="s">
        <v>907</v>
      </c>
      <c r="B303" t="s">
        <v>908</v>
      </c>
      <c r="C303" s="1">
        <v>41534</v>
      </c>
      <c r="D303" s="1">
        <v>41538</v>
      </c>
      <c r="E303">
        <v>1</v>
      </c>
      <c r="F303" t="s">
        <v>887</v>
      </c>
      <c r="G303" t="s">
        <v>16</v>
      </c>
      <c r="H303" t="s">
        <v>931</v>
      </c>
      <c r="I303">
        <v>2.2648999999999999</v>
      </c>
      <c r="J303">
        <v>49522.94</v>
      </c>
      <c r="K303">
        <v>21865.398030818138</v>
      </c>
    </row>
    <row r="304" spans="1:11" x14ac:dyDescent="0.25">
      <c r="A304" t="s">
        <v>907</v>
      </c>
      <c r="B304" t="s">
        <v>908</v>
      </c>
      <c r="C304" s="1">
        <v>41535</v>
      </c>
      <c r="D304" s="1">
        <v>41540</v>
      </c>
      <c r="E304">
        <v>1</v>
      </c>
      <c r="F304" t="s">
        <v>887</v>
      </c>
      <c r="G304" t="s">
        <v>16</v>
      </c>
      <c r="H304" t="s">
        <v>4644</v>
      </c>
      <c r="I304">
        <v>2.2616999999999998</v>
      </c>
      <c r="J304">
        <v>56304.57</v>
      </c>
      <c r="K304">
        <v>24894.800371402041</v>
      </c>
    </row>
    <row r="305" spans="1:11" x14ac:dyDescent="0.25">
      <c r="A305" t="s">
        <v>907</v>
      </c>
      <c r="B305" t="s">
        <v>908</v>
      </c>
      <c r="C305" s="1">
        <v>41535</v>
      </c>
      <c r="D305" s="1">
        <v>41541</v>
      </c>
      <c r="E305">
        <v>1</v>
      </c>
      <c r="F305" t="s">
        <v>887</v>
      </c>
      <c r="G305" t="s">
        <v>16</v>
      </c>
      <c r="H305" t="s">
        <v>932</v>
      </c>
      <c r="I305">
        <v>2.2616999999999998</v>
      </c>
      <c r="J305">
        <v>56904.37</v>
      </c>
      <c r="K305">
        <v>25159.999115709423</v>
      </c>
    </row>
    <row r="306" spans="1:11" x14ac:dyDescent="0.25">
      <c r="A306" t="s">
        <v>896</v>
      </c>
      <c r="B306" t="s">
        <v>897</v>
      </c>
      <c r="C306" s="1">
        <v>41545</v>
      </c>
      <c r="D306" s="1">
        <v>41551</v>
      </c>
      <c r="E306">
        <v>296</v>
      </c>
      <c r="F306" t="s">
        <v>887</v>
      </c>
      <c r="G306" t="s">
        <v>16</v>
      </c>
      <c r="H306" t="s">
        <v>933</v>
      </c>
      <c r="I306">
        <v>2.2570999999999999</v>
      </c>
      <c r="J306">
        <v>49019.47</v>
      </c>
      <c r="K306">
        <v>21717.899074033052</v>
      </c>
    </row>
    <row r="307" spans="1:11" x14ac:dyDescent="0.25">
      <c r="A307" t="s">
        <v>934</v>
      </c>
      <c r="B307" t="s">
        <v>935</v>
      </c>
      <c r="C307" s="1">
        <v>41550</v>
      </c>
      <c r="D307" s="1">
        <v>41561</v>
      </c>
      <c r="E307">
        <v>34</v>
      </c>
      <c r="F307" t="s">
        <v>278</v>
      </c>
      <c r="G307" t="s">
        <v>16</v>
      </c>
      <c r="H307" t="s">
        <v>936</v>
      </c>
      <c r="I307">
        <v>2.2088000000000001</v>
      </c>
      <c r="J307">
        <v>44878</v>
      </c>
      <c r="K307">
        <v>20317.819630568636</v>
      </c>
    </row>
    <row r="308" spans="1:11" x14ac:dyDescent="0.25">
      <c r="A308" t="s">
        <v>937</v>
      </c>
      <c r="B308" t="s">
        <v>938</v>
      </c>
      <c r="C308" s="1">
        <v>41563</v>
      </c>
      <c r="D308" s="1">
        <v>41569</v>
      </c>
      <c r="E308">
        <v>918</v>
      </c>
      <c r="F308" t="s">
        <v>318</v>
      </c>
      <c r="G308" t="s">
        <v>16</v>
      </c>
      <c r="H308" t="s">
        <v>939</v>
      </c>
      <c r="I308">
        <v>2.1818</v>
      </c>
      <c r="J308">
        <v>333681.40000000002</v>
      </c>
      <c r="K308">
        <v>152938.58282152351</v>
      </c>
    </row>
    <row r="309" spans="1:11" x14ac:dyDescent="0.25">
      <c r="A309" t="s">
        <v>937</v>
      </c>
      <c r="B309" t="s">
        <v>938</v>
      </c>
      <c r="C309" s="1">
        <v>41563</v>
      </c>
      <c r="D309" s="1">
        <v>41569</v>
      </c>
      <c r="E309">
        <v>918</v>
      </c>
      <c r="F309" t="s">
        <v>318</v>
      </c>
      <c r="G309" t="s">
        <v>16</v>
      </c>
      <c r="H309" t="s">
        <v>4645</v>
      </c>
      <c r="I309">
        <v>2.1818</v>
      </c>
      <c r="J309">
        <v>327138.63</v>
      </c>
      <c r="K309">
        <v>149939.78824823539</v>
      </c>
    </row>
    <row r="310" spans="1:11" x14ac:dyDescent="0.25">
      <c r="A310" t="s">
        <v>885</v>
      </c>
      <c r="B310" t="s">
        <v>886</v>
      </c>
      <c r="C310" s="1">
        <v>41585</v>
      </c>
      <c r="D310" s="1">
        <v>41599</v>
      </c>
      <c r="E310">
        <v>4</v>
      </c>
      <c r="F310" t="s">
        <v>887</v>
      </c>
      <c r="G310" t="s">
        <v>16</v>
      </c>
      <c r="H310" t="s">
        <v>4262</v>
      </c>
      <c r="I310">
        <v>2.2829999999999999</v>
      </c>
      <c r="J310">
        <v>73053.27</v>
      </c>
      <c r="K310">
        <v>31998.80420499343</v>
      </c>
    </row>
    <row r="311" spans="1:11" x14ac:dyDescent="0.25">
      <c r="A311" t="s">
        <v>940</v>
      </c>
      <c r="B311" t="s">
        <v>941</v>
      </c>
      <c r="C311" s="1">
        <v>41577</v>
      </c>
      <c r="D311" s="1">
        <v>41591</v>
      </c>
      <c r="E311">
        <v>19081</v>
      </c>
      <c r="F311" t="s">
        <v>301</v>
      </c>
      <c r="G311" t="s">
        <v>16</v>
      </c>
      <c r="H311" t="s">
        <v>942</v>
      </c>
      <c r="I311">
        <v>2.1804000000000001</v>
      </c>
      <c r="J311">
        <v>201040.01</v>
      </c>
      <c r="K311">
        <v>92203.270042194097</v>
      </c>
    </row>
    <row r="312" spans="1:11" x14ac:dyDescent="0.25">
      <c r="A312" t="s">
        <v>940</v>
      </c>
      <c r="B312" t="s">
        <v>941</v>
      </c>
      <c r="C312" s="1">
        <v>41577</v>
      </c>
      <c r="D312" s="1">
        <v>41591</v>
      </c>
      <c r="E312">
        <v>19081</v>
      </c>
      <c r="F312" t="s">
        <v>301</v>
      </c>
      <c r="G312" t="s">
        <v>16</v>
      </c>
      <c r="H312" t="s">
        <v>4646</v>
      </c>
      <c r="I312">
        <v>2.1804000000000001</v>
      </c>
      <c r="J312">
        <v>9515.2000000000007</v>
      </c>
      <c r="K312">
        <v>4363.9699137772886</v>
      </c>
    </row>
    <row r="313" spans="1:11" x14ac:dyDescent="0.25">
      <c r="A313" t="s">
        <v>943</v>
      </c>
      <c r="B313" t="s">
        <v>944</v>
      </c>
      <c r="C313" s="1">
        <v>41558</v>
      </c>
      <c r="D313" s="1">
        <v>41565</v>
      </c>
      <c r="E313">
        <v>18537</v>
      </c>
      <c r="F313" t="s">
        <v>301</v>
      </c>
      <c r="G313" t="s">
        <v>16</v>
      </c>
      <c r="H313" t="s">
        <v>945</v>
      </c>
      <c r="I313">
        <v>2.1850000000000001</v>
      </c>
      <c r="J313">
        <v>10760</v>
      </c>
      <c r="K313">
        <v>4924.4851258581239</v>
      </c>
    </row>
    <row r="314" spans="1:11" x14ac:dyDescent="0.25">
      <c r="A314" t="s">
        <v>1544</v>
      </c>
      <c r="B314" t="s">
        <v>1545</v>
      </c>
      <c r="C314" s="1">
        <v>41576</v>
      </c>
      <c r="D314" s="1">
        <v>41584</v>
      </c>
      <c r="E314">
        <v>18825</v>
      </c>
      <c r="F314" t="s">
        <v>301</v>
      </c>
      <c r="G314" t="s">
        <v>16</v>
      </c>
      <c r="H314" t="s">
        <v>4647</v>
      </c>
      <c r="I314">
        <v>2.1846000000000001</v>
      </c>
      <c r="J314">
        <v>61920</v>
      </c>
      <c r="K314">
        <v>28343.861576489977</v>
      </c>
    </row>
    <row r="315" spans="1:11" x14ac:dyDescent="0.25">
      <c r="A315" t="s">
        <v>946</v>
      </c>
      <c r="B315" t="s">
        <v>947</v>
      </c>
      <c r="C315" s="1">
        <v>41570</v>
      </c>
      <c r="D315" s="1">
        <v>41573</v>
      </c>
      <c r="E315">
        <v>1006</v>
      </c>
      <c r="F315" t="s">
        <v>301</v>
      </c>
      <c r="G315" t="s">
        <v>16</v>
      </c>
      <c r="H315" t="s">
        <v>2818</v>
      </c>
      <c r="I315">
        <v>2.1760000000000002</v>
      </c>
      <c r="J315">
        <v>61605</v>
      </c>
      <c r="K315">
        <v>28311.121323529413</v>
      </c>
    </row>
    <row r="316" spans="1:11" x14ac:dyDescent="0.25">
      <c r="A316" t="s">
        <v>946</v>
      </c>
      <c r="B316" t="s">
        <v>947</v>
      </c>
      <c r="C316" s="1">
        <v>41570</v>
      </c>
      <c r="D316" s="1">
        <v>41573</v>
      </c>
      <c r="E316">
        <v>1006</v>
      </c>
      <c r="F316" t="s">
        <v>301</v>
      </c>
      <c r="G316" t="s">
        <v>16</v>
      </c>
      <c r="H316" t="s">
        <v>948</v>
      </c>
      <c r="I316">
        <v>2.1760000000000002</v>
      </c>
      <c r="J316">
        <v>26610</v>
      </c>
      <c r="K316">
        <v>12228.860294117647</v>
      </c>
    </row>
    <row r="317" spans="1:11" x14ac:dyDescent="0.25">
      <c r="A317" t="s">
        <v>907</v>
      </c>
      <c r="B317" t="s">
        <v>908</v>
      </c>
      <c r="C317" s="1">
        <v>41537</v>
      </c>
      <c r="D317" s="1">
        <v>41548</v>
      </c>
      <c r="E317">
        <v>1</v>
      </c>
      <c r="F317" t="s">
        <v>887</v>
      </c>
      <c r="G317" t="s">
        <v>16</v>
      </c>
      <c r="H317" t="s">
        <v>949</v>
      </c>
      <c r="I317">
        <v>2.2035999999999998</v>
      </c>
      <c r="J317">
        <v>83110.34</v>
      </c>
      <c r="K317">
        <v>37715.710655291339</v>
      </c>
    </row>
    <row r="318" spans="1:11" x14ac:dyDescent="0.25">
      <c r="A318" t="s">
        <v>1561</v>
      </c>
      <c r="B318" t="s">
        <v>1562</v>
      </c>
      <c r="C318" s="1">
        <v>41577</v>
      </c>
      <c r="D318" s="1">
        <v>41589</v>
      </c>
      <c r="E318">
        <v>5</v>
      </c>
      <c r="F318" t="s">
        <v>887</v>
      </c>
      <c r="G318" t="s">
        <v>16</v>
      </c>
      <c r="H318" t="s">
        <v>4648</v>
      </c>
      <c r="I318">
        <v>2.1804000000000001</v>
      </c>
      <c r="J318">
        <v>46815.19</v>
      </c>
      <c r="K318">
        <v>21470.918180150431</v>
      </c>
    </row>
    <row r="319" spans="1:11" x14ac:dyDescent="0.25">
      <c r="A319" t="s">
        <v>1561</v>
      </c>
      <c r="B319" t="s">
        <v>1562</v>
      </c>
      <c r="C319" s="1">
        <v>41577</v>
      </c>
      <c r="D319" s="1">
        <v>41589</v>
      </c>
      <c r="E319">
        <v>5</v>
      </c>
      <c r="F319" t="s">
        <v>887</v>
      </c>
      <c r="G319" t="s">
        <v>16</v>
      </c>
      <c r="H319" t="s">
        <v>4649</v>
      </c>
      <c r="I319">
        <v>2.1804000000000001</v>
      </c>
      <c r="J319">
        <v>65158.73</v>
      </c>
      <c r="K319">
        <v>29883.842414235922</v>
      </c>
    </row>
    <row r="320" spans="1:11" x14ac:dyDescent="0.25">
      <c r="A320" t="s">
        <v>950</v>
      </c>
      <c r="B320" t="s">
        <v>951</v>
      </c>
      <c r="C320" s="1">
        <v>41569</v>
      </c>
      <c r="D320" s="1">
        <v>41604</v>
      </c>
      <c r="E320">
        <v>501</v>
      </c>
      <c r="F320" t="s">
        <v>309</v>
      </c>
      <c r="G320" t="s">
        <v>16</v>
      </c>
      <c r="H320" t="s">
        <v>952</v>
      </c>
      <c r="I320">
        <v>2.1738</v>
      </c>
      <c r="J320">
        <v>98320</v>
      </c>
      <c r="K320">
        <v>45229.551936700707</v>
      </c>
    </row>
    <row r="321" spans="1:11" x14ac:dyDescent="0.25">
      <c r="A321" t="s">
        <v>2510</v>
      </c>
      <c r="B321" t="s">
        <v>144</v>
      </c>
      <c r="C321" s="1">
        <v>41596</v>
      </c>
      <c r="D321" s="1">
        <v>41601</v>
      </c>
      <c r="E321">
        <v>19302</v>
      </c>
      <c r="F321" t="s">
        <v>370</v>
      </c>
      <c r="G321" t="s">
        <v>16</v>
      </c>
      <c r="H321" t="s">
        <v>4650</v>
      </c>
      <c r="I321">
        <v>2.3289</v>
      </c>
      <c r="J321">
        <v>202847.19</v>
      </c>
      <c r="K321">
        <v>87100</v>
      </c>
    </row>
    <row r="322" spans="1:11" x14ac:dyDescent="0.25">
      <c r="A322" t="s">
        <v>896</v>
      </c>
      <c r="B322" t="s">
        <v>897</v>
      </c>
      <c r="C322" s="1">
        <v>41563</v>
      </c>
      <c r="D322" s="1">
        <v>41571</v>
      </c>
      <c r="E322">
        <v>296</v>
      </c>
      <c r="F322" t="s">
        <v>887</v>
      </c>
      <c r="G322" t="s">
        <v>16</v>
      </c>
      <c r="H322" t="s">
        <v>4651</v>
      </c>
      <c r="I322">
        <v>2.1818</v>
      </c>
      <c r="J322">
        <v>48248.46</v>
      </c>
      <c r="K322">
        <v>22114.061783848199</v>
      </c>
    </row>
    <row r="323" spans="1:11" x14ac:dyDescent="0.25">
      <c r="A323" t="s">
        <v>896</v>
      </c>
      <c r="B323" t="s">
        <v>897</v>
      </c>
      <c r="C323" s="1">
        <v>41563</v>
      </c>
      <c r="D323" s="1">
        <v>41571</v>
      </c>
      <c r="E323">
        <v>296</v>
      </c>
      <c r="F323" t="s">
        <v>887</v>
      </c>
      <c r="G323" t="s">
        <v>16</v>
      </c>
      <c r="H323" t="s">
        <v>4652</v>
      </c>
      <c r="I323">
        <v>2.1818</v>
      </c>
      <c r="J323">
        <v>48000.9</v>
      </c>
      <c r="K323">
        <v>22000.595838298654</v>
      </c>
    </row>
    <row r="324" spans="1:11" x14ac:dyDescent="0.25">
      <c r="A324" t="s">
        <v>896</v>
      </c>
      <c r="B324" t="s">
        <v>897</v>
      </c>
      <c r="C324" s="1">
        <v>41564</v>
      </c>
      <c r="D324" s="1">
        <v>41571</v>
      </c>
      <c r="E324">
        <v>296</v>
      </c>
      <c r="F324" t="s">
        <v>887</v>
      </c>
      <c r="G324" t="s">
        <v>16</v>
      </c>
      <c r="H324" t="s">
        <v>953</v>
      </c>
      <c r="I324">
        <v>2.1629</v>
      </c>
      <c r="J324">
        <v>49668.68</v>
      </c>
      <c r="K324">
        <v>22963.928059549678</v>
      </c>
    </row>
    <row r="325" spans="1:11" x14ac:dyDescent="0.25">
      <c r="A325" t="s">
        <v>896</v>
      </c>
      <c r="B325" t="s">
        <v>897</v>
      </c>
      <c r="C325" s="1">
        <v>41565</v>
      </c>
      <c r="D325" s="1">
        <v>41571</v>
      </c>
      <c r="E325">
        <v>296</v>
      </c>
      <c r="F325" t="s">
        <v>887</v>
      </c>
      <c r="G325" t="s">
        <v>16</v>
      </c>
      <c r="H325" t="s">
        <v>954</v>
      </c>
      <c r="I325">
        <v>2.1610999999999998</v>
      </c>
      <c r="J325">
        <v>48417.84</v>
      </c>
      <c r="K325">
        <v>22404.257091296098</v>
      </c>
    </row>
    <row r="326" spans="1:11" x14ac:dyDescent="0.25">
      <c r="A326" t="s">
        <v>955</v>
      </c>
      <c r="B326" t="s">
        <v>956</v>
      </c>
      <c r="C326" s="1">
        <v>41575</v>
      </c>
      <c r="D326" s="1">
        <v>41584</v>
      </c>
      <c r="E326">
        <v>18563</v>
      </c>
      <c r="F326" t="s">
        <v>665</v>
      </c>
      <c r="G326" t="s">
        <v>16</v>
      </c>
      <c r="H326" t="s">
        <v>957</v>
      </c>
      <c r="I326">
        <v>2.1848000000000001</v>
      </c>
      <c r="J326">
        <v>8075.02</v>
      </c>
      <c r="K326">
        <v>3695.9996338337605</v>
      </c>
    </row>
    <row r="327" spans="1:11" x14ac:dyDescent="0.25">
      <c r="A327" t="s">
        <v>958</v>
      </c>
      <c r="B327" t="s">
        <v>959</v>
      </c>
      <c r="C327" s="1">
        <v>41634</v>
      </c>
      <c r="D327" s="1">
        <v>41647</v>
      </c>
      <c r="E327">
        <v>20364</v>
      </c>
      <c r="F327" t="s">
        <v>318</v>
      </c>
      <c r="G327" t="s">
        <v>16</v>
      </c>
      <c r="H327" t="s">
        <v>960</v>
      </c>
      <c r="I327">
        <v>2.3553999999999999</v>
      </c>
      <c r="J327">
        <v>74548.41</v>
      </c>
      <c r="K327">
        <v>31650</v>
      </c>
    </row>
    <row r="328" spans="1:11" x14ac:dyDescent="0.25">
      <c r="A328" t="s">
        <v>961</v>
      </c>
      <c r="B328" t="s">
        <v>962</v>
      </c>
      <c r="C328" s="1">
        <v>41638</v>
      </c>
      <c r="D328" s="1">
        <v>41647</v>
      </c>
      <c r="E328">
        <v>695</v>
      </c>
      <c r="F328" t="s">
        <v>278</v>
      </c>
      <c r="G328" t="s">
        <v>16</v>
      </c>
      <c r="H328" t="s">
        <v>963</v>
      </c>
      <c r="I328">
        <v>2.3538000000000001</v>
      </c>
      <c r="J328">
        <v>217922.4</v>
      </c>
      <c r="K328">
        <v>92583.227122100434</v>
      </c>
    </row>
    <row r="329" spans="1:11" x14ac:dyDescent="0.25">
      <c r="A329" t="s">
        <v>972</v>
      </c>
      <c r="B329" t="s">
        <v>973</v>
      </c>
      <c r="C329" s="1">
        <v>41607</v>
      </c>
      <c r="D329" s="1">
        <v>41612</v>
      </c>
      <c r="E329">
        <v>19543</v>
      </c>
      <c r="F329" t="s">
        <v>301</v>
      </c>
      <c r="G329" t="s">
        <v>16</v>
      </c>
      <c r="H329" t="s">
        <v>4653</v>
      </c>
      <c r="I329">
        <v>1</v>
      </c>
      <c r="J329">
        <v>43756.800000000003</v>
      </c>
      <c r="K329">
        <v>43756.800000000003</v>
      </c>
    </row>
    <row r="330" spans="1:11" x14ac:dyDescent="0.25">
      <c r="A330" t="s">
        <v>964</v>
      </c>
      <c r="B330" t="s">
        <v>965</v>
      </c>
      <c r="C330" s="1">
        <v>41605</v>
      </c>
      <c r="D330" s="1">
        <v>41610</v>
      </c>
      <c r="E330">
        <v>18802</v>
      </c>
      <c r="F330" t="s">
        <v>301</v>
      </c>
      <c r="G330" t="s">
        <v>16</v>
      </c>
      <c r="H330" t="s">
        <v>966</v>
      </c>
      <c r="I330">
        <v>2.3039999999999998</v>
      </c>
      <c r="J330">
        <v>84152.79</v>
      </c>
      <c r="K330">
        <v>36524.6484375</v>
      </c>
    </row>
    <row r="331" spans="1:11" x14ac:dyDescent="0.25">
      <c r="A331" t="s">
        <v>967</v>
      </c>
      <c r="B331" t="s">
        <v>968</v>
      </c>
      <c r="C331" s="1">
        <v>41613</v>
      </c>
      <c r="D331" s="1">
        <v>41619</v>
      </c>
      <c r="E331">
        <v>53</v>
      </c>
      <c r="F331" t="s">
        <v>301</v>
      </c>
      <c r="G331" t="s">
        <v>16</v>
      </c>
      <c r="H331" t="s">
        <v>969</v>
      </c>
      <c r="I331">
        <v>2.3740000000000001</v>
      </c>
      <c r="J331">
        <v>2462.41</v>
      </c>
      <c r="K331">
        <v>1037.240943555181</v>
      </c>
    </row>
    <row r="332" spans="1:11" x14ac:dyDescent="0.25">
      <c r="A332" t="s">
        <v>964</v>
      </c>
      <c r="B332" t="s">
        <v>965</v>
      </c>
      <c r="C332" s="1">
        <v>41607</v>
      </c>
      <c r="D332" s="1">
        <v>41613</v>
      </c>
      <c r="E332">
        <v>18802</v>
      </c>
      <c r="F332" t="s">
        <v>301</v>
      </c>
      <c r="G332" t="s">
        <v>16</v>
      </c>
      <c r="H332" t="s">
        <v>970</v>
      </c>
      <c r="I332">
        <v>1</v>
      </c>
      <c r="J332">
        <v>3729.4</v>
      </c>
      <c r="K332">
        <v>3729.4</v>
      </c>
    </row>
    <row r="333" spans="1:11" x14ac:dyDescent="0.25">
      <c r="A333" t="s">
        <v>964</v>
      </c>
      <c r="B333" t="s">
        <v>965</v>
      </c>
      <c r="C333" s="1">
        <v>41606</v>
      </c>
      <c r="D333" s="1">
        <v>41613</v>
      </c>
      <c r="E333">
        <v>18802</v>
      </c>
      <c r="F333" t="s">
        <v>301</v>
      </c>
      <c r="G333" t="s">
        <v>16</v>
      </c>
      <c r="H333" t="s">
        <v>971</v>
      </c>
      <c r="I333">
        <v>2.3058000000000001</v>
      </c>
      <c r="J333">
        <v>15362.99</v>
      </c>
      <c r="K333">
        <v>6662.7591291525714</v>
      </c>
    </row>
    <row r="334" spans="1:11" x14ac:dyDescent="0.25">
      <c r="A334" t="s">
        <v>1020</v>
      </c>
      <c r="B334" t="s">
        <v>1021</v>
      </c>
      <c r="C334" s="1">
        <v>41632</v>
      </c>
      <c r="D334" s="1">
        <v>41642</v>
      </c>
      <c r="E334">
        <v>19971</v>
      </c>
      <c r="F334" t="s">
        <v>309</v>
      </c>
      <c r="G334" t="s">
        <v>16</v>
      </c>
      <c r="H334" t="s">
        <v>4654</v>
      </c>
      <c r="I334">
        <v>2.3706</v>
      </c>
      <c r="J334">
        <v>50439.51</v>
      </c>
      <c r="K334">
        <v>21277.107061503419</v>
      </c>
    </row>
    <row r="335" spans="1:11" x14ac:dyDescent="0.25">
      <c r="A335" t="s">
        <v>1020</v>
      </c>
      <c r="B335" t="s">
        <v>1021</v>
      </c>
      <c r="C335" s="1">
        <v>41632</v>
      </c>
      <c r="D335" s="1">
        <v>41642</v>
      </c>
      <c r="E335">
        <v>19971</v>
      </c>
      <c r="F335" t="s">
        <v>309</v>
      </c>
      <c r="G335" t="s">
        <v>16</v>
      </c>
      <c r="H335" t="s">
        <v>4655</v>
      </c>
      <c r="I335">
        <v>2.3706</v>
      </c>
      <c r="J335">
        <v>50439.51</v>
      </c>
      <c r="K335">
        <v>21277.107061503419</v>
      </c>
    </row>
    <row r="336" spans="1:11" x14ac:dyDescent="0.25">
      <c r="A336" t="s">
        <v>972</v>
      </c>
      <c r="B336" t="s">
        <v>973</v>
      </c>
      <c r="C336" s="1">
        <v>41605</v>
      </c>
      <c r="D336" s="1">
        <v>41610</v>
      </c>
      <c r="E336">
        <v>19543</v>
      </c>
      <c r="F336" t="s">
        <v>301</v>
      </c>
      <c r="G336" t="s">
        <v>16</v>
      </c>
      <c r="H336" t="s">
        <v>4656</v>
      </c>
      <c r="I336">
        <v>2.3039999999999998</v>
      </c>
      <c r="J336">
        <v>79112.009999999995</v>
      </c>
      <c r="K336">
        <v>34336.809895833336</v>
      </c>
    </row>
    <row r="337" spans="1:11" x14ac:dyDescent="0.25">
      <c r="A337" t="s">
        <v>972</v>
      </c>
      <c r="B337" t="s">
        <v>973</v>
      </c>
      <c r="C337" s="1">
        <v>41618</v>
      </c>
      <c r="D337" s="1">
        <v>41624</v>
      </c>
      <c r="E337">
        <v>19543</v>
      </c>
      <c r="F337" t="s">
        <v>301</v>
      </c>
      <c r="G337" t="s">
        <v>16</v>
      </c>
      <c r="H337" t="s">
        <v>974</v>
      </c>
      <c r="I337">
        <v>2.3224999999999998</v>
      </c>
      <c r="J337">
        <v>153700.01</v>
      </c>
      <c r="K337">
        <v>66178.691065662002</v>
      </c>
    </row>
    <row r="338" spans="1:11" x14ac:dyDescent="0.25">
      <c r="A338" t="s">
        <v>907</v>
      </c>
      <c r="B338" t="s">
        <v>908</v>
      </c>
      <c r="C338" s="1">
        <v>41599</v>
      </c>
      <c r="D338" s="1">
        <v>41607</v>
      </c>
      <c r="E338">
        <v>1</v>
      </c>
      <c r="F338" t="s">
        <v>887</v>
      </c>
      <c r="G338" t="s">
        <v>16</v>
      </c>
      <c r="H338" t="s">
        <v>975</v>
      </c>
      <c r="I338">
        <v>2.2726000000000002</v>
      </c>
      <c r="J338">
        <v>25864.69</v>
      </c>
      <c r="K338">
        <v>11381.100941652732</v>
      </c>
    </row>
    <row r="339" spans="1:11" x14ac:dyDescent="0.25">
      <c r="A339" t="s">
        <v>976</v>
      </c>
      <c r="B339" t="s">
        <v>977</v>
      </c>
      <c r="C339" s="1">
        <v>41675</v>
      </c>
      <c r="D339" s="1">
        <v>41684</v>
      </c>
      <c r="E339">
        <v>20661</v>
      </c>
      <c r="F339" t="s">
        <v>309</v>
      </c>
      <c r="G339" t="s">
        <v>16</v>
      </c>
      <c r="H339" t="s">
        <v>978</v>
      </c>
      <c r="I339">
        <v>2.4177</v>
      </c>
      <c r="J339">
        <v>21260.94</v>
      </c>
      <c r="K339">
        <v>8793.8702072217402</v>
      </c>
    </row>
    <row r="340" spans="1:11" x14ac:dyDescent="0.25">
      <c r="A340" t="s">
        <v>1582</v>
      </c>
      <c r="B340" t="s">
        <v>1583</v>
      </c>
      <c r="C340" s="1">
        <v>41653</v>
      </c>
      <c r="D340" s="1">
        <v>41656</v>
      </c>
      <c r="E340">
        <v>20372</v>
      </c>
      <c r="F340" t="s">
        <v>309</v>
      </c>
      <c r="G340" t="s">
        <v>16</v>
      </c>
      <c r="H340" t="s">
        <v>4657</v>
      </c>
      <c r="I340">
        <v>2.3491</v>
      </c>
      <c r="J340">
        <v>24599.040000000001</v>
      </c>
      <c r="K340">
        <v>10471.687029074965</v>
      </c>
    </row>
    <row r="341" spans="1:11" x14ac:dyDescent="0.25">
      <c r="A341" t="s">
        <v>1582</v>
      </c>
      <c r="B341" t="s">
        <v>1583</v>
      </c>
      <c r="C341" s="1">
        <v>41653</v>
      </c>
      <c r="D341" s="1">
        <v>41656</v>
      </c>
      <c r="E341">
        <v>20372</v>
      </c>
      <c r="F341" t="s">
        <v>309</v>
      </c>
      <c r="G341" t="s">
        <v>16</v>
      </c>
      <c r="H341" t="s">
        <v>4658</v>
      </c>
      <c r="I341">
        <v>2.3491</v>
      </c>
      <c r="J341">
        <v>24863.11</v>
      </c>
      <c r="K341">
        <v>10584.100293729514</v>
      </c>
    </row>
    <row r="342" spans="1:11" x14ac:dyDescent="0.25">
      <c r="A342" t="s">
        <v>979</v>
      </c>
      <c r="B342" t="s">
        <v>980</v>
      </c>
      <c r="C342" s="1">
        <v>41663</v>
      </c>
      <c r="D342" s="1">
        <v>41670</v>
      </c>
      <c r="E342">
        <v>20659</v>
      </c>
      <c r="F342" t="s">
        <v>887</v>
      </c>
      <c r="G342" t="s">
        <v>16</v>
      </c>
      <c r="H342" t="s">
        <v>981</v>
      </c>
      <c r="I342">
        <v>2.3761000000000001</v>
      </c>
      <c r="J342">
        <v>38724.730000000003</v>
      </c>
      <c r="K342">
        <v>16297.601111064349</v>
      </c>
    </row>
    <row r="343" spans="1:11" x14ac:dyDescent="0.25">
      <c r="A343" t="s">
        <v>982</v>
      </c>
      <c r="B343" t="s">
        <v>983</v>
      </c>
      <c r="C343" s="1">
        <v>41659</v>
      </c>
      <c r="D343" s="1">
        <v>41661</v>
      </c>
      <c r="E343">
        <v>20657</v>
      </c>
      <c r="F343" t="s">
        <v>887</v>
      </c>
      <c r="G343" t="s">
        <v>16</v>
      </c>
      <c r="H343" t="s">
        <v>984</v>
      </c>
      <c r="I343">
        <v>2.3601000000000001</v>
      </c>
      <c r="J343">
        <v>43082.45</v>
      </c>
      <c r="K343">
        <v>18254.501927884412</v>
      </c>
    </row>
    <row r="344" spans="1:11" x14ac:dyDescent="0.25">
      <c r="A344" t="s">
        <v>979</v>
      </c>
      <c r="B344" t="s">
        <v>980</v>
      </c>
      <c r="C344" s="1">
        <v>41667</v>
      </c>
      <c r="D344" s="1">
        <v>41674</v>
      </c>
      <c r="E344">
        <v>20659</v>
      </c>
      <c r="F344" t="s">
        <v>887</v>
      </c>
      <c r="G344" t="s">
        <v>16</v>
      </c>
      <c r="H344" t="s">
        <v>985</v>
      </c>
      <c r="I344">
        <v>2.4043999999999999</v>
      </c>
      <c r="J344">
        <v>38085.699999999997</v>
      </c>
      <c r="K344">
        <v>15840.001663616702</v>
      </c>
    </row>
    <row r="345" spans="1:11" x14ac:dyDescent="0.25">
      <c r="A345" t="s">
        <v>982</v>
      </c>
      <c r="B345" t="s">
        <v>983</v>
      </c>
      <c r="C345" s="1">
        <v>41659</v>
      </c>
      <c r="D345" s="1">
        <v>41662</v>
      </c>
      <c r="E345">
        <v>20657</v>
      </c>
      <c r="F345" t="s">
        <v>887</v>
      </c>
      <c r="G345" t="s">
        <v>16</v>
      </c>
      <c r="H345" t="s">
        <v>4659</v>
      </c>
      <c r="I345">
        <v>2.3601000000000001</v>
      </c>
      <c r="J345">
        <v>42874.76</v>
      </c>
      <c r="K345">
        <v>18166.501419431381</v>
      </c>
    </row>
    <row r="346" spans="1:11" x14ac:dyDescent="0.25">
      <c r="A346" t="s">
        <v>986</v>
      </c>
      <c r="B346" t="s">
        <v>987</v>
      </c>
      <c r="C346" s="1">
        <v>41656</v>
      </c>
      <c r="D346" s="1">
        <v>41666</v>
      </c>
      <c r="E346">
        <v>20371</v>
      </c>
      <c r="F346" t="s">
        <v>887</v>
      </c>
      <c r="G346" t="s">
        <v>16</v>
      </c>
      <c r="H346" t="s">
        <v>988</v>
      </c>
      <c r="I346">
        <v>2.3683000000000001</v>
      </c>
      <c r="J346">
        <v>52217.23</v>
      </c>
      <c r="K346">
        <v>22048.401807203478</v>
      </c>
    </row>
    <row r="347" spans="1:11" x14ac:dyDescent="0.25">
      <c r="A347" t="s">
        <v>972</v>
      </c>
      <c r="B347" t="s">
        <v>973</v>
      </c>
      <c r="C347" s="1">
        <v>41635</v>
      </c>
      <c r="D347" s="1">
        <v>41660</v>
      </c>
      <c r="E347">
        <v>19543</v>
      </c>
      <c r="F347" t="s">
        <v>301</v>
      </c>
      <c r="G347" t="s">
        <v>16</v>
      </c>
      <c r="H347" t="s">
        <v>4660</v>
      </c>
      <c r="I347">
        <v>2.3506999999999998</v>
      </c>
      <c r="J347">
        <v>9977.7999999999993</v>
      </c>
      <c r="K347">
        <v>4244.6079891096269</v>
      </c>
    </row>
    <row r="348" spans="1:11" x14ac:dyDescent="0.25">
      <c r="A348" t="s">
        <v>2042</v>
      </c>
      <c r="B348" t="s">
        <v>2043</v>
      </c>
      <c r="C348" s="1">
        <v>41676</v>
      </c>
      <c r="D348" s="1">
        <v>41684</v>
      </c>
      <c r="E348">
        <v>19553</v>
      </c>
      <c r="F348" t="s">
        <v>301</v>
      </c>
      <c r="G348" t="s">
        <v>16</v>
      </c>
      <c r="H348" t="s">
        <v>4661</v>
      </c>
      <c r="I348">
        <v>2.4106000000000001</v>
      </c>
      <c r="J348">
        <v>51836.99</v>
      </c>
      <c r="K348">
        <v>21503.770845432671</v>
      </c>
    </row>
    <row r="349" spans="1:11" x14ac:dyDescent="0.25">
      <c r="A349" t="s">
        <v>989</v>
      </c>
      <c r="B349" t="s">
        <v>990</v>
      </c>
      <c r="C349" s="1">
        <v>41675</v>
      </c>
      <c r="D349" s="1">
        <v>41682</v>
      </c>
      <c r="E349">
        <v>21501</v>
      </c>
      <c r="F349" t="s">
        <v>309</v>
      </c>
      <c r="G349" t="s">
        <v>16</v>
      </c>
      <c r="H349" t="s">
        <v>991</v>
      </c>
      <c r="I349">
        <v>2.4177</v>
      </c>
      <c r="J349">
        <v>80166.45</v>
      </c>
      <c r="K349">
        <v>33158.146171981636</v>
      </c>
    </row>
    <row r="350" spans="1:11" x14ac:dyDescent="0.25">
      <c r="A350" t="s">
        <v>989</v>
      </c>
      <c r="B350" t="s">
        <v>990</v>
      </c>
      <c r="C350" s="1">
        <v>41675</v>
      </c>
      <c r="D350" s="1">
        <v>41682</v>
      </c>
      <c r="E350">
        <v>21501</v>
      </c>
      <c r="F350" t="s">
        <v>309</v>
      </c>
      <c r="G350" t="s">
        <v>16</v>
      </c>
      <c r="H350" t="s">
        <v>992</v>
      </c>
      <c r="I350">
        <v>2.4177</v>
      </c>
      <c r="J350">
        <v>81802.5</v>
      </c>
      <c r="K350">
        <v>33834.843032634322</v>
      </c>
    </row>
    <row r="351" spans="1:11" x14ac:dyDescent="0.25">
      <c r="A351" t="s">
        <v>1009</v>
      </c>
      <c r="B351" t="s">
        <v>1010</v>
      </c>
      <c r="C351" s="1">
        <v>41676</v>
      </c>
      <c r="D351" s="1">
        <v>41684</v>
      </c>
      <c r="E351">
        <v>21373</v>
      </c>
      <c r="F351" t="s">
        <v>331</v>
      </c>
      <c r="G351" t="s">
        <v>16</v>
      </c>
      <c r="H351" t="s">
        <v>4662</v>
      </c>
      <c r="I351">
        <v>2.4106000000000001</v>
      </c>
      <c r="J351">
        <v>30728.28</v>
      </c>
      <c r="K351">
        <v>12747.15008711524</v>
      </c>
    </row>
    <row r="352" spans="1:11" x14ac:dyDescent="0.25">
      <c r="A352" t="s">
        <v>1006</v>
      </c>
      <c r="B352" t="s">
        <v>1007</v>
      </c>
      <c r="C352" s="1">
        <v>41656</v>
      </c>
      <c r="D352" s="1">
        <v>41663</v>
      </c>
      <c r="E352">
        <v>19036</v>
      </c>
      <c r="F352" t="s">
        <v>887</v>
      </c>
      <c r="G352" t="s">
        <v>16</v>
      </c>
      <c r="H352" t="s">
        <v>4663</v>
      </c>
      <c r="I352">
        <v>2.3683000000000001</v>
      </c>
      <c r="J352">
        <v>41622.870000000003</v>
      </c>
      <c r="K352">
        <v>17574.998944390492</v>
      </c>
    </row>
    <row r="353" spans="1:11" x14ac:dyDescent="0.25">
      <c r="A353" t="s">
        <v>1006</v>
      </c>
      <c r="B353" t="s">
        <v>1007</v>
      </c>
      <c r="C353" s="1">
        <v>41656</v>
      </c>
      <c r="D353" s="1">
        <v>41663</v>
      </c>
      <c r="E353">
        <v>19036</v>
      </c>
      <c r="F353" t="s">
        <v>887</v>
      </c>
      <c r="G353" t="s">
        <v>16</v>
      </c>
      <c r="H353" t="s">
        <v>4664</v>
      </c>
      <c r="I353">
        <v>2.3683000000000001</v>
      </c>
      <c r="J353">
        <v>40767.919999999998</v>
      </c>
      <c r="K353">
        <v>17214.001604526453</v>
      </c>
    </row>
    <row r="354" spans="1:11" x14ac:dyDescent="0.25">
      <c r="A354" t="s">
        <v>993</v>
      </c>
      <c r="B354" t="s">
        <v>994</v>
      </c>
      <c r="C354" s="1">
        <v>41649</v>
      </c>
      <c r="D354" s="1">
        <v>41655</v>
      </c>
      <c r="E354">
        <v>20658</v>
      </c>
      <c r="F354" t="s">
        <v>887</v>
      </c>
      <c r="G354" t="s">
        <v>16</v>
      </c>
      <c r="H354" t="s">
        <v>995</v>
      </c>
      <c r="I354">
        <v>2.3959999999999999</v>
      </c>
      <c r="J354">
        <v>48969.45</v>
      </c>
      <c r="K354">
        <v>20438.000834724542</v>
      </c>
    </row>
    <row r="355" spans="1:11" x14ac:dyDescent="0.25">
      <c r="A355" t="s">
        <v>976</v>
      </c>
      <c r="B355" t="s">
        <v>977</v>
      </c>
      <c r="C355" s="1">
        <v>41654</v>
      </c>
      <c r="D355" s="1">
        <v>41655</v>
      </c>
      <c r="E355">
        <v>20661</v>
      </c>
      <c r="F355" t="s">
        <v>309</v>
      </c>
      <c r="G355" t="s">
        <v>16</v>
      </c>
      <c r="H355" t="s">
        <v>4665</v>
      </c>
      <c r="I355">
        <v>2.3616999999999999</v>
      </c>
      <c r="J355">
        <v>24707.38</v>
      </c>
      <c r="K355">
        <v>10461.692848371935</v>
      </c>
    </row>
    <row r="356" spans="1:11" x14ac:dyDescent="0.25">
      <c r="A356" t="s">
        <v>976</v>
      </c>
      <c r="B356" t="s">
        <v>977</v>
      </c>
      <c r="C356" s="1">
        <v>41653</v>
      </c>
      <c r="D356" s="1">
        <v>41655</v>
      </c>
      <c r="E356">
        <v>20661</v>
      </c>
      <c r="F356" t="s">
        <v>309</v>
      </c>
      <c r="G356" t="s">
        <v>16</v>
      </c>
      <c r="H356" t="s">
        <v>4666</v>
      </c>
      <c r="I356">
        <v>2.3491</v>
      </c>
      <c r="J356">
        <v>25370.94</v>
      </c>
      <c r="K356">
        <v>10800.28095866502</v>
      </c>
    </row>
    <row r="357" spans="1:11" x14ac:dyDescent="0.25">
      <c r="A357" t="s">
        <v>976</v>
      </c>
      <c r="B357" t="s">
        <v>977</v>
      </c>
      <c r="C357" s="1">
        <v>41655</v>
      </c>
      <c r="D357" s="1">
        <v>41660</v>
      </c>
      <c r="E357">
        <v>20661</v>
      </c>
      <c r="F357" t="s">
        <v>309</v>
      </c>
      <c r="G357" t="s">
        <v>16</v>
      </c>
      <c r="H357" t="s">
        <v>4667</v>
      </c>
      <c r="I357">
        <v>2.347</v>
      </c>
      <c r="J357">
        <v>8477.2900000000009</v>
      </c>
      <c r="K357">
        <v>3611.9684703877292</v>
      </c>
    </row>
    <row r="358" spans="1:11" x14ac:dyDescent="0.25">
      <c r="A358" t="s">
        <v>976</v>
      </c>
      <c r="B358" t="s">
        <v>977</v>
      </c>
      <c r="C358" s="1">
        <v>41654</v>
      </c>
      <c r="D358" s="1">
        <v>41660</v>
      </c>
      <c r="E358">
        <v>20661</v>
      </c>
      <c r="F358" t="s">
        <v>309</v>
      </c>
      <c r="G358" t="s">
        <v>16</v>
      </c>
      <c r="H358" t="s">
        <v>996</v>
      </c>
      <c r="I358">
        <v>2.3616999999999999</v>
      </c>
      <c r="J358">
        <v>4049.06</v>
      </c>
      <c r="K358">
        <v>1714.4683914129653</v>
      </c>
    </row>
    <row r="359" spans="1:11" x14ac:dyDescent="0.25">
      <c r="A359" t="s">
        <v>976</v>
      </c>
      <c r="B359" t="s">
        <v>977</v>
      </c>
      <c r="C359" s="1">
        <v>41656</v>
      </c>
      <c r="D359" s="1">
        <v>41660</v>
      </c>
      <c r="E359">
        <v>20661</v>
      </c>
      <c r="F359" t="s">
        <v>309</v>
      </c>
      <c r="G359" t="s">
        <v>16</v>
      </c>
      <c r="H359" t="s">
        <v>997</v>
      </c>
      <c r="I359">
        <v>2.3683000000000001</v>
      </c>
      <c r="J359">
        <v>25675.63</v>
      </c>
      <c r="K359">
        <v>10841.375670312038</v>
      </c>
    </row>
    <row r="360" spans="1:11" x14ac:dyDescent="0.25">
      <c r="A360" t="s">
        <v>976</v>
      </c>
      <c r="B360" t="s">
        <v>977</v>
      </c>
      <c r="C360" s="1">
        <v>41653</v>
      </c>
      <c r="D360" s="1">
        <v>41660</v>
      </c>
      <c r="E360">
        <v>20661</v>
      </c>
      <c r="F360" t="s">
        <v>309</v>
      </c>
      <c r="G360" t="s">
        <v>16</v>
      </c>
      <c r="H360" t="s">
        <v>998</v>
      </c>
      <c r="I360">
        <v>2.3491</v>
      </c>
      <c r="J360">
        <v>25262.6</v>
      </c>
      <c r="K360">
        <v>10754.161168106935</v>
      </c>
    </row>
    <row r="361" spans="1:11" x14ac:dyDescent="0.25">
      <c r="A361" t="s">
        <v>976</v>
      </c>
      <c r="B361" t="s">
        <v>977</v>
      </c>
      <c r="C361" s="1">
        <v>41653</v>
      </c>
      <c r="D361" s="1">
        <v>41655</v>
      </c>
      <c r="E361">
        <v>20661</v>
      </c>
      <c r="F361" t="s">
        <v>309</v>
      </c>
      <c r="G361" t="s">
        <v>16</v>
      </c>
      <c r="H361" t="s">
        <v>999</v>
      </c>
      <c r="I361">
        <v>2.3491</v>
      </c>
      <c r="J361">
        <v>34599.81</v>
      </c>
      <c r="K361">
        <v>14728.964284193946</v>
      </c>
    </row>
    <row r="362" spans="1:11" x14ac:dyDescent="0.25">
      <c r="A362" t="s">
        <v>976</v>
      </c>
      <c r="B362" t="s">
        <v>977</v>
      </c>
      <c r="C362" s="1">
        <v>41653</v>
      </c>
      <c r="D362" s="1">
        <v>41655</v>
      </c>
      <c r="E362">
        <v>20661</v>
      </c>
      <c r="F362" t="s">
        <v>309</v>
      </c>
      <c r="G362" t="s">
        <v>16</v>
      </c>
      <c r="H362" t="s">
        <v>4668</v>
      </c>
      <c r="I362">
        <v>2.3491</v>
      </c>
      <c r="J362">
        <v>25059.47</v>
      </c>
      <c r="K362">
        <v>10667.689753522625</v>
      </c>
    </row>
    <row r="363" spans="1:11" x14ac:dyDescent="0.25">
      <c r="A363" t="s">
        <v>1020</v>
      </c>
      <c r="B363" t="s">
        <v>1021</v>
      </c>
      <c r="C363" s="1">
        <v>41647</v>
      </c>
      <c r="D363" s="1">
        <v>41649</v>
      </c>
      <c r="E363">
        <v>19971</v>
      </c>
      <c r="F363" t="s">
        <v>309</v>
      </c>
      <c r="G363" t="s">
        <v>16</v>
      </c>
      <c r="H363" t="s">
        <v>4669</v>
      </c>
      <c r="I363">
        <v>2.3633999999999999</v>
      </c>
      <c r="J363">
        <v>66798.27</v>
      </c>
      <c r="K363">
        <v>28263.632901751713</v>
      </c>
    </row>
    <row r="364" spans="1:11" x14ac:dyDescent="0.25">
      <c r="A364" t="s">
        <v>993</v>
      </c>
      <c r="B364" t="s">
        <v>994</v>
      </c>
      <c r="C364" s="1">
        <v>41650</v>
      </c>
      <c r="D364" s="1">
        <v>41655</v>
      </c>
      <c r="E364">
        <v>20658</v>
      </c>
      <c r="F364" t="s">
        <v>887</v>
      </c>
      <c r="G364" t="s">
        <v>16</v>
      </c>
      <c r="H364" t="s">
        <v>1000</v>
      </c>
      <c r="I364">
        <v>2.3818999999999999</v>
      </c>
      <c r="J364">
        <v>65345.04</v>
      </c>
      <c r="K364">
        <v>27433.998068768629</v>
      </c>
    </row>
    <row r="365" spans="1:11" x14ac:dyDescent="0.25">
      <c r="A365" t="s">
        <v>993</v>
      </c>
      <c r="B365" t="s">
        <v>994</v>
      </c>
      <c r="C365" s="1">
        <v>41650</v>
      </c>
      <c r="D365" s="1">
        <v>41655</v>
      </c>
      <c r="E365">
        <v>20658</v>
      </c>
      <c r="F365" t="s">
        <v>887</v>
      </c>
      <c r="G365" t="s">
        <v>16</v>
      </c>
      <c r="H365" t="s">
        <v>1001</v>
      </c>
      <c r="I365">
        <v>2.3818999999999999</v>
      </c>
      <c r="J365">
        <v>48589.57</v>
      </c>
      <c r="K365">
        <v>20399.500398841261</v>
      </c>
    </row>
    <row r="366" spans="1:11" x14ac:dyDescent="0.25">
      <c r="A366" t="s">
        <v>1002</v>
      </c>
      <c r="B366" t="s">
        <v>1003</v>
      </c>
      <c r="C366" s="1">
        <v>41625</v>
      </c>
      <c r="D366" s="1">
        <v>41635</v>
      </c>
      <c r="E366">
        <v>19389</v>
      </c>
      <c r="F366" t="s">
        <v>1004</v>
      </c>
      <c r="G366" t="s">
        <v>16</v>
      </c>
      <c r="H366" t="s">
        <v>1005</v>
      </c>
      <c r="I366">
        <v>2.3254999999999999</v>
      </c>
      <c r="J366">
        <v>116400</v>
      </c>
      <c r="K366">
        <v>50053.751881315846</v>
      </c>
    </row>
    <row r="367" spans="1:11" x14ac:dyDescent="0.25">
      <c r="A367" t="s">
        <v>1006</v>
      </c>
      <c r="B367" t="s">
        <v>1007</v>
      </c>
      <c r="C367" s="1">
        <v>41657</v>
      </c>
      <c r="D367" s="1">
        <v>41667</v>
      </c>
      <c r="E367">
        <v>19036</v>
      </c>
      <c r="F367" t="s">
        <v>887</v>
      </c>
      <c r="G367" t="s">
        <v>16</v>
      </c>
      <c r="H367" t="s">
        <v>1008</v>
      </c>
      <c r="I367">
        <v>2.3601000000000001</v>
      </c>
      <c r="J367">
        <v>41949.599999999999</v>
      </c>
      <c r="K367">
        <v>17774.501080462691</v>
      </c>
    </row>
    <row r="368" spans="1:11" x14ac:dyDescent="0.25">
      <c r="A368" t="s">
        <v>1009</v>
      </c>
      <c r="B368" t="s">
        <v>1010</v>
      </c>
      <c r="C368" s="1">
        <v>41674</v>
      </c>
      <c r="D368" s="1">
        <v>41678</v>
      </c>
      <c r="E368">
        <v>21373</v>
      </c>
      <c r="F368" t="s">
        <v>331</v>
      </c>
      <c r="G368" t="s">
        <v>16</v>
      </c>
      <c r="H368" t="s">
        <v>1011</v>
      </c>
      <c r="I368">
        <v>2.4089999999999998</v>
      </c>
      <c r="J368">
        <v>26562.87</v>
      </c>
      <c r="K368">
        <v>11026.513075965131</v>
      </c>
    </row>
    <row r="369" spans="1:11" x14ac:dyDescent="0.25">
      <c r="A369" t="s">
        <v>2534</v>
      </c>
      <c r="B369" t="s">
        <v>2535</v>
      </c>
      <c r="C369" s="1">
        <v>41649</v>
      </c>
      <c r="D369" s="1">
        <v>41656</v>
      </c>
      <c r="E369">
        <v>20370</v>
      </c>
      <c r="F369" t="s">
        <v>887</v>
      </c>
      <c r="G369" t="s">
        <v>16</v>
      </c>
      <c r="H369" t="s">
        <v>4670</v>
      </c>
      <c r="I369">
        <v>2.3959999999999999</v>
      </c>
      <c r="J369">
        <v>48445.46</v>
      </c>
      <c r="K369">
        <v>20219.30717863105</v>
      </c>
    </row>
    <row r="370" spans="1:11" x14ac:dyDescent="0.25">
      <c r="A370" t="s">
        <v>1582</v>
      </c>
      <c r="B370" t="s">
        <v>1583</v>
      </c>
      <c r="C370" s="1">
        <v>41654</v>
      </c>
      <c r="D370" s="1">
        <v>41656</v>
      </c>
      <c r="E370">
        <v>20372</v>
      </c>
      <c r="F370" t="s">
        <v>309</v>
      </c>
      <c r="G370" t="s">
        <v>16</v>
      </c>
      <c r="H370" t="s">
        <v>4671</v>
      </c>
      <c r="I370">
        <v>2.3616999999999999</v>
      </c>
      <c r="J370">
        <v>25750.11</v>
      </c>
      <c r="K370">
        <v>10903.209552441038</v>
      </c>
    </row>
    <row r="371" spans="1:11" x14ac:dyDescent="0.25">
      <c r="A371" t="s">
        <v>976</v>
      </c>
      <c r="B371" t="s">
        <v>977</v>
      </c>
      <c r="C371" s="1">
        <v>41654</v>
      </c>
      <c r="D371" s="1">
        <v>41657</v>
      </c>
      <c r="E371">
        <v>20661</v>
      </c>
      <c r="F371" t="s">
        <v>309</v>
      </c>
      <c r="G371" t="s">
        <v>16</v>
      </c>
      <c r="H371" t="s">
        <v>4672</v>
      </c>
      <c r="I371">
        <v>2.3616999999999999</v>
      </c>
      <c r="J371">
        <v>34748.769999999997</v>
      </c>
      <c r="K371">
        <v>14713.456408519287</v>
      </c>
    </row>
    <row r="372" spans="1:11" x14ac:dyDescent="0.25">
      <c r="A372" t="s">
        <v>976</v>
      </c>
      <c r="B372" t="s">
        <v>977</v>
      </c>
      <c r="C372" s="1">
        <v>41654</v>
      </c>
      <c r="D372" s="1">
        <v>41657</v>
      </c>
      <c r="E372">
        <v>20661</v>
      </c>
      <c r="F372" t="s">
        <v>309</v>
      </c>
      <c r="G372" t="s">
        <v>16</v>
      </c>
      <c r="H372" t="s">
        <v>4673</v>
      </c>
      <c r="I372">
        <v>2.3616999999999999</v>
      </c>
      <c r="J372">
        <v>32731.01</v>
      </c>
      <c r="K372">
        <v>13859.088791971884</v>
      </c>
    </row>
    <row r="373" spans="1:11" x14ac:dyDescent="0.25">
      <c r="A373" t="s">
        <v>976</v>
      </c>
      <c r="B373" t="s">
        <v>977</v>
      </c>
      <c r="C373" s="1">
        <v>41654</v>
      </c>
      <c r="D373" s="1">
        <v>41657</v>
      </c>
      <c r="E373">
        <v>20661</v>
      </c>
      <c r="F373" t="s">
        <v>309</v>
      </c>
      <c r="G373" t="s">
        <v>16</v>
      </c>
      <c r="H373" t="s">
        <v>1012</v>
      </c>
      <c r="I373">
        <v>2.3616999999999999</v>
      </c>
      <c r="J373">
        <v>34559.18</v>
      </c>
      <c r="K373">
        <v>14633.17948935089</v>
      </c>
    </row>
    <row r="374" spans="1:11" x14ac:dyDescent="0.25">
      <c r="A374" t="s">
        <v>1009</v>
      </c>
      <c r="B374" t="s">
        <v>1010</v>
      </c>
      <c r="C374" s="1">
        <v>41674</v>
      </c>
      <c r="D374" s="1">
        <v>41677</v>
      </c>
      <c r="E374">
        <v>21373</v>
      </c>
      <c r="F374" t="s">
        <v>331</v>
      </c>
      <c r="G374" t="s">
        <v>16</v>
      </c>
      <c r="H374" t="s">
        <v>1013</v>
      </c>
      <c r="I374">
        <v>2.4089999999999998</v>
      </c>
      <c r="J374">
        <v>31467.31</v>
      </c>
      <c r="K374">
        <v>13062.395184723951</v>
      </c>
    </row>
    <row r="375" spans="1:11" x14ac:dyDescent="0.25">
      <c r="A375" t="s">
        <v>1009</v>
      </c>
      <c r="B375" t="s">
        <v>1010</v>
      </c>
      <c r="C375" s="1">
        <v>41674</v>
      </c>
      <c r="D375" s="1">
        <v>41680</v>
      </c>
      <c r="E375">
        <v>21373</v>
      </c>
      <c r="F375" t="s">
        <v>331</v>
      </c>
      <c r="G375" t="s">
        <v>16</v>
      </c>
      <c r="H375" t="s">
        <v>1014</v>
      </c>
      <c r="I375">
        <v>2.4089999999999998</v>
      </c>
      <c r="J375">
        <v>31198.57</v>
      </c>
      <c r="K375">
        <v>12950.838522208385</v>
      </c>
    </row>
    <row r="376" spans="1:11" x14ac:dyDescent="0.25">
      <c r="A376" t="s">
        <v>1015</v>
      </c>
      <c r="B376" t="s">
        <v>1016</v>
      </c>
      <c r="C376" s="1">
        <v>41575</v>
      </c>
      <c r="D376" s="1">
        <v>41652</v>
      </c>
      <c r="E376">
        <v>810</v>
      </c>
      <c r="F376" t="s">
        <v>665</v>
      </c>
      <c r="G376" t="s">
        <v>16</v>
      </c>
      <c r="H376" t="s">
        <v>1017</v>
      </c>
      <c r="I376">
        <v>2.1848000000000001</v>
      </c>
      <c r="J376">
        <v>10766.69</v>
      </c>
      <c r="K376">
        <v>4927.9979860856829</v>
      </c>
    </row>
    <row r="377" spans="1:11" x14ac:dyDescent="0.25">
      <c r="A377" t="s">
        <v>1009</v>
      </c>
      <c r="B377" t="s">
        <v>1010</v>
      </c>
      <c r="C377" s="1">
        <v>41675</v>
      </c>
      <c r="D377" s="1">
        <v>41681</v>
      </c>
      <c r="E377">
        <v>21373</v>
      </c>
      <c r="F377" t="s">
        <v>331</v>
      </c>
      <c r="G377" t="s">
        <v>16</v>
      </c>
      <c r="H377" t="s">
        <v>4674</v>
      </c>
      <c r="I377">
        <v>2.4177</v>
      </c>
      <c r="J377">
        <v>31576.48</v>
      </c>
      <c r="K377">
        <v>13060.545146213342</v>
      </c>
    </row>
    <row r="378" spans="1:11" x14ac:dyDescent="0.25">
      <c r="A378" t="s">
        <v>1009</v>
      </c>
      <c r="B378" t="s">
        <v>1010</v>
      </c>
      <c r="C378" s="1">
        <v>41675</v>
      </c>
      <c r="D378" s="1">
        <v>41681</v>
      </c>
      <c r="E378">
        <v>21373</v>
      </c>
      <c r="F378" t="s">
        <v>331</v>
      </c>
      <c r="G378" t="s">
        <v>16</v>
      </c>
      <c r="H378" t="s">
        <v>1018</v>
      </c>
      <c r="I378">
        <v>2.4177</v>
      </c>
      <c r="J378">
        <v>31274.15</v>
      </c>
      <c r="K378">
        <v>12935.496546304339</v>
      </c>
    </row>
    <row r="379" spans="1:11" x14ac:dyDescent="0.25">
      <c r="A379" t="s">
        <v>1009</v>
      </c>
      <c r="B379" t="s">
        <v>1010</v>
      </c>
      <c r="C379" s="1">
        <v>41675</v>
      </c>
      <c r="D379" s="1">
        <v>41681</v>
      </c>
      <c r="E379">
        <v>21373</v>
      </c>
      <c r="F379" t="s">
        <v>331</v>
      </c>
      <c r="G379" t="s">
        <v>16</v>
      </c>
      <c r="H379" t="s">
        <v>1019</v>
      </c>
      <c r="I379">
        <v>2.4177</v>
      </c>
      <c r="J379">
        <v>42367.91</v>
      </c>
      <c r="K379">
        <v>17524.055920916573</v>
      </c>
    </row>
    <row r="380" spans="1:11" x14ac:dyDescent="0.25">
      <c r="A380" t="s">
        <v>1009</v>
      </c>
      <c r="B380" t="s">
        <v>1010</v>
      </c>
      <c r="C380" s="1">
        <v>41674</v>
      </c>
      <c r="D380" s="1">
        <v>41681</v>
      </c>
      <c r="E380">
        <v>21373</v>
      </c>
      <c r="F380" t="s">
        <v>331</v>
      </c>
      <c r="G380" t="s">
        <v>16</v>
      </c>
      <c r="H380" t="s">
        <v>4675</v>
      </c>
      <c r="I380">
        <v>2.4089999999999998</v>
      </c>
      <c r="J380">
        <v>42695.43</v>
      </c>
      <c r="K380">
        <v>17723.300124533002</v>
      </c>
    </row>
    <row r="381" spans="1:11" x14ac:dyDescent="0.25">
      <c r="A381" t="s">
        <v>1020</v>
      </c>
      <c r="B381" t="s">
        <v>1021</v>
      </c>
      <c r="C381" s="1">
        <v>41701</v>
      </c>
      <c r="D381" s="1">
        <v>41705</v>
      </c>
      <c r="E381">
        <v>19971</v>
      </c>
      <c r="F381" t="s">
        <v>309</v>
      </c>
      <c r="G381" t="s">
        <v>16</v>
      </c>
      <c r="H381" t="s">
        <v>1022</v>
      </c>
      <c r="I381">
        <v>2.3334000000000001</v>
      </c>
      <c r="J381">
        <v>50439.51</v>
      </c>
      <c r="K381">
        <v>21616.315248135768</v>
      </c>
    </row>
    <row r="382" spans="1:11" x14ac:dyDescent="0.25">
      <c r="A382" t="s">
        <v>1009</v>
      </c>
      <c r="B382" t="s">
        <v>1010</v>
      </c>
      <c r="C382" s="1">
        <v>41675</v>
      </c>
      <c r="D382" s="1">
        <v>41687</v>
      </c>
      <c r="E382">
        <v>21373</v>
      </c>
      <c r="F382" t="s">
        <v>331</v>
      </c>
      <c r="G382" t="s">
        <v>16</v>
      </c>
      <c r="H382" t="s">
        <v>1023</v>
      </c>
      <c r="I382">
        <v>2.4177</v>
      </c>
      <c r="J382">
        <v>42367.91</v>
      </c>
      <c r="K382">
        <v>17524.055920916573</v>
      </c>
    </row>
    <row r="383" spans="1:11" x14ac:dyDescent="0.25">
      <c r="A383" t="s">
        <v>976</v>
      </c>
      <c r="B383" t="s">
        <v>977</v>
      </c>
      <c r="C383" s="1">
        <v>41685</v>
      </c>
      <c r="D383" s="1">
        <v>41690</v>
      </c>
      <c r="E383">
        <v>20661</v>
      </c>
      <c r="F383" t="s">
        <v>309</v>
      </c>
      <c r="G383" t="s">
        <v>16</v>
      </c>
      <c r="H383" t="s">
        <v>4676</v>
      </c>
      <c r="I383">
        <v>2.3923999999999999</v>
      </c>
      <c r="J383">
        <v>24632.9</v>
      </c>
      <c r="K383">
        <v>10296.313325530848</v>
      </c>
    </row>
    <row r="384" spans="1:11" x14ac:dyDescent="0.25">
      <c r="A384" t="s">
        <v>976</v>
      </c>
      <c r="B384" t="s">
        <v>977</v>
      </c>
      <c r="C384" s="1">
        <v>41712</v>
      </c>
      <c r="D384" s="1">
        <v>41714</v>
      </c>
      <c r="E384">
        <v>20661</v>
      </c>
      <c r="F384" t="s">
        <v>309</v>
      </c>
      <c r="G384" t="s">
        <v>16</v>
      </c>
      <c r="H384" t="s">
        <v>4677</v>
      </c>
      <c r="I384">
        <v>2.3485999999999998</v>
      </c>
      <c r="J384">
        <v>51798.15</v>
      </c>
      <c r="K384">
        <v>22054.905049816913</v>
      </c>
    </row>
    <row r="385" spans="1:11" x14ac:dyDescent="0.25">
      <c r="A385" t="s">
        <v>1024</v>
      </c>
      <c r="B385" t="s">
        <v>1025</v>
      </c>
      <c r="C385" s="1">
        <v>41708</v>
      </c>
      <c r="D385" s="1">
        <v>41713</v>
      </c>
      <c r="E385">
        <v>1</v>
      </c>
      <c r="F385" t="s">
        <v>331</v>
      </c>
      <c r="G385" t="s">
        <v>16</v>
      </c>
      <c r="H385" t="s">
        <v>4678</v>
      </c>
      <c r="I385">
        <v>2.3382000000000001</v>
      </c>
      <c r="J385">
        <v>41578.5</v>
      </c>
      <c r="K385">
        <v>17782.268411598667</v>
      </c>
    </row>
    <row r="386" spans="1:11" x14ac:dyDescent="0.25">
      <c r="A386" t="s">
        <v>1604</v>
      </c>
      <c r="B386" t="s">
        <v>1605</v>
      </c>
      <c r="C386" s="1">
        <v>41682</v>
      </c>
      <c r="D386" s="1">
        <v>41689</v>
      </c>
      <c r="E386">
        <v>19035</v>
      </c>
      <c r="F386" t="s">
        <v>887</v>
      </c>
      <c r="G386" t="s">
        <v>16</v>
      </c>
      <c r="H386" t="s">
        <v>4679</v>
      </c>
      <c r="I386">
        <v>2.4085999999999999</v>
      </c>
      <c r="J386">
        <v>71716.62</v>
      </c>
      <c r="K386">
        <v>29775.230424312878</v>
      </c>
    </row>
    <row r="387" spans="1:11" x14ac:dyDescent="0.25">
      <c r="A387" t="s">
        <v>1024</v>
      </c>
      <c r="B387" t="s">
        <v>1025</v>
      </c>
      <c r="C387" s="1">
        <v>41711</v>
      </c>
      <c r="D387" s="1">
        <v>41718</v>
      </c>
      <c r="E387">
        <v>1</v>
      </c>
      <c r="F387" t="s">
        <v>331</v>
      </c>
      <c r="G387" t="s">
        <v>16</v>
      </c>
      <c r="H387" t="s">
        <v>1026</v>
      </c>
      <c r="I387">
        <v>2.3649</v>
      </c>
      <c r="J387">
        <v>42183.15</v>
      </c>
      <c r="K387">
        <v>17837.181276163898</v>
      </c>
    </row>
    <row r="388" spans="1:11" x14ac:dyDescent="0.25">
      <c r="A388" t="s">
        <v>1024</v>
      </c>
      <c r="B388" t="s">
        <v>1025</v>
      </c>
      <c r="C388" s="1">
        <v>41706</v>
      </c>
      <c r="D388" s="1">
        <v>41711</v>
      </c>
      <c r="E388">
        <v>1</v>
      </c>
      <c r="F388" t="s">
        <v>331</v>
      </c>
      <c r="G388" t="s">
        <v>16</v>
      </c>
      <c r="H388" t="s">
        <v>4680</v>
      </c>
      <c r="I388">
        <v>2.3382000000000001</v>
      </c>
      <c r="J388">
        <v>31551.29</v>
      </c>
      <c r="K388">
        <v>13493.837139680096</v>
      </c>
    </row>
    <row r="389" spans="1:11" x14ac:dyDescent="0.25">
      <c r="A389" t="s">
        <v>1024</v>
      </c>
      <c r="B389" t="s">
        <v>1025</v>
      </c>
      <c r="C389" s="1">
        <v>41705</v>
      </c>
      <c r="D389" s="1">
        <v>41711</v>
      </c>
      <c r="E389">
        <v>1</v>
      </c>
      <c r="F389" t="s">
        <v>331</v>
      </c>
      <c r="G389" t="s">
        <v>16</v>
      </c>
      <c r="H389" t="s">
        <v>1027</v>
      </c>
      <c r="I389">
        <v>2.3094000000000001</v>
      </c>
      <c r="J389">
        <v>26378.12</v>
      </c>
      <c r="K389">
        <v>11422.06633757686</v>
      </c>
    </row>
    <row r="390" spans="1:11" x14ac:dyDescent="0.25">
      <c r="A390" t="s">
        <v>976</v>
      </c>
      <c r="B390" t="s">
        <v>977</v>
      </c>
      <c r="C390" s="1">
        <v>41712</v>
      </c>
      <c r="D390" s="1">
        <v>41716</v>
      </c>
      <c r="E390">
        <v>20661</v>
      </c>
      <c r="F390" t="s">
        <v>309</v>
      </c>
      <c r="G390" t="s">
        <v>16</v>
      </c>
      <c r="H390" t="s">
        <v>1028</v>
      </c>
      <c r="I390">
        <v>2.3485999999999998</v>
      </c>
      <c r="J390">
        <v>34532.1</v>
      </c>
      <c r="K390">
        <v>14703.270033211274</v>
      </c>
    </row>
    <row r="391" spans="1:11" x14ac:dyDescent="0.25">
      <c r="A391" t="s">
        <v>976</v>
      </c>
      <c r="B391" t="s">
        <v>977</v>
      </c>
      <c r="C391" s="1">
        <v>41691</v>
      </c>
      <c r="D391" s="1">
        <v>41695</v>
      </c>
      <c r="E391">
        <v>20661</v>
      </c>
      <c r="F391" t="s">
        <v>309</v>
      </c>
      <c r="G391" t="s">
        <v>16</v>
      </c>
      <c r="H391" t="s">
        <v>1029</v>
      </c>
      <c r="I391">
        <v>2.3799000000000001</v>
      </c>
      <c r="J391">
        <v>24558.42</v>
      </c>
      <c r="K391">
        <v>10319.097441068952</v>
      </c>
    </row>
    <row r="392" spans="1:11" x14ac:dyDescent="0.25">
      <c r="A392" t="s">
        <v>1582</v>
      </c>
      <c r="B392" t="s">
        <v>1583</v>
      </c>
      <c r="C392" s="1">
        <v>41703</v>
      </c>
      <c r="D392" s="1">
        <v>41712</v>
      </c>
      <c r="E392">
        <v>20372</v>
      </c>
      <c r="F392" t="s">
        <v>309</v>
      </c>
      <c r="G392" t="s">
        <v>16</v>
      </c>
      <c r="H392" t="s">
        <v>4681</v>
      </c>
      <c r="I392">
        <v>2.3334000000000001</v>
      </c>
      <c r="J392">
        <v>43740.66</v>
      </c>
      <c r="K392">
        <v>18745.461558241193</v>
      </c>
    </row>
    <row r="393" spans="1:11" x14ac:dyDescent="0.25">
      <c r="A393" t="s">
        <v>1024</v>
      </c>
      <c r="B393" t="s">
        <v>1025</v>
      </c>
      <c r="C393" s="1">
        <v>41709</v>
      </c>
      <c r="D393" s="1">
        <v>41716</v>
      </c>
      <c r="E393">
        <v>1</v>
      </c>
      <c r="F393" t="s">
        <v>331</v>
      </c>
      <c r="G393" t="s">
        <v>16</v>
      </c>
      <c r="H393" t="s">
        <v>4682</v>
      </c>
      <c r="I393">
        <v>2.3410000000000002</v>
      </c>
      <c r="J393">
        <v>42367.91</v>
      </c>
      <c r="K393">
        <v>18098.210166595472</v>
      </c>
    </row>
    <row r="394" spans="1:11" x14ac:dyDescent="0.25">
      <c r="A394" t="s">
        <v>976</v>
      </c>
      <c r="B394" t="s">
        <v>977</v>
      </c>
      <c r="C394" s="1">
        <v>41684</v>
      </c>
      <c r="D394" s="1">
        <v>41688</v>
      </c>
      <c r="E394">
        <v>20661</v>
      </c>
      <c r="F394" t="s">
        <v>309</v>
      </c>
      <c r="G394" t="s">
        <v>16</v>
      </c>
      <c r="H394" t="s">
        <v>1030</v>
      </c>
      <c r="I394">
        <v>2.4238</v>
      </c>
      <c r="J394">
        <v>25472.5</v>
      </c>
      <c r="K394">
        <v>10509.324201666805</v>
      </c>
    </row>
    <row r="395" spans="1:11" x14ac:dyDescent="0.25">
      <c r="A395" t="s">
        <v>976</v>
      </c>
      <c r="B395" t="s">
        <v>977</v>
      </c>
      <c r="C395" s="1">
        <v>41689</v>
      </c>
      <c r="D395" s="1">
        <v>41696</v>
      </c>
      <c r="E395">
        <v>20661</v>
      </c>
      <c r="F395" t="s">
        <v>309</v>
      </c>
      <c r="G395" t="s">
        <v>16</v>
      </c>
      <c r="H395" t="s">
        <v>4683</v>
      </c>
      <c r="I395">
        <v>2.3982999999999999</v>
      </c>
      <c r="J395">
        <v>24957.91</v>
      </c>
      <c r="K395">
        <v>10406.500437810115</v>
      </c>
    </row>
    <row r="396" spans="1:11" x14ac:dyDescent="0.25">
      <c r="A396" t="s">
        <v>1009</v>
      </c>
      <c r="B396" t="s">
        <v>1010</v>
      </c>
      <c r="C396" s="1">
        <v>41675</v>
      </c>
      <c r="D396" s="1">
        <v>41686</v>
      </c>
      <c r="E396">
        <v>21373</v>
      </c>
      <c r="F396" t="s">
        <v>331</v>
      </c>
      <c r="G396" t="s">
        <v>16</v>
      </c>
      <c r="H396" t="s">
        <v>4684</v>
      </c>
      <c r="I396">
        <v>2.4177</v>
      </c>
      <c r="J396">
        <v>31752.84</v>
      </c>
      <c r="K396">
        <v>13133.490507507135</v>
      </c>
    </row>
    <row r="397" spans="1:11" x14ac:dyDescent="0.25">
      <c r="A397" t="s">
        <v>976</v>
      </c>
      <c r="B397" t="s">
        <v>977</v>
      </c>
      <c r="C397" s="1">
        <v>41690</v>
      </c>
      <c r="D397" s="1">
        <v>41697</v>
      </c>
      <c r="E397">
        <v>20661</v>
      </c>
      <c r="F397" t="s">
        <v>309</v>
      </c>
      <c r="G397" t="s">
        <v>16</v>
      </c>
      <c r="H397" t="s">
        <v>4685</v>
      </c>
      <c r="I397">
        <v>2.3986000000000001</v>
      </c>
      <c r="J397">
        <v>6249.63</v>
      </c>
      <c r="K397">
        <v>2605.5323938964398</v>
      </c>
    </row>
    <row r="398" spans="1:11" x14ac:dyDescent="0.25">
      <c r="A398" t="s">
        <v>1024</v>
      </c>
      <c r="B398" t="s">
        <v>1025</v>
      </c>
      <c r="C398" s="1">
        <v>41708</v>
      </c>
      <c r="D398" s="1">
        <v>41712</v>
      </c>
      <c r="E398">
        <v>1</v>
      </c>
      <c r="F398" t="s">
        <v>331</v>
      </c>
      <c r="G398" t="s">
        <v>16</v>
      </c>
      <c r="H398" t="s">
        <v>1031</v>
      </c>
      <c r="I398">
        <v>2.3382000000000001</v>
      </c>
      <c r="J398">
        <v>31652.06</v>
      </c>
      <c r="K398">
        <v>13536.934393978274</v>
      </c>
    </row>
    <row r="399" spans="1:11" x14ac:dyDescent="0.25">
      <c r="A399" t="s">
        <v>1024</v>
      </c>
      <c r="B399" t="s">
        <v>1025</v>
      </c>
      <c r="C399" s="1">
        <v>41712</v>
      </c>
      <c r="D399" s="1">
        <v>41717</v>
      </c>
      <c r="E399">
        <v>1</v>
      </c>
      <c r="F399" t="s">
        <v>331</v>
      </c>
      <c r="G399" t="s">
        <v>16</v>
      </c>
      <c r="H399" t="s">
        <v>4686</v>
      </c>
      <c r="I399">
        <v>2.3485999999999998</v>
      </c>
      <c r="J399">
        <v>30971.82</v>
      </c>
      <c r="K399">
        <v>13187.354168440774</v>
      </c>
    </row>
    <row r="400" spans="1:11" x14ac:dyDescent="0.25">
      <c r="A400" t="s">
        <v>976</v>
      </c>
      <c r="B400" t="s">
        <v>977</v>
      </c>
      <c r="C400" s="1">
        <v>41713</v>
      </c>
      <c r="D400" s="1">
        <v>41717</v>
      </c>
      <c r="E400">
        <v>20661</v>
      </c>
      <c r="F400" t="s">
        <v>309</v>
      </c>
      <c r="G400" t="s">
        <v>16</v>
      </c>
      <c r="H400" t="s">
        <v>1032</v>
      </c>
      <c r="I400">
        <v>2.3637999999999999</v>
      </c>
      <c r="J400">
        <v>42589.59</v>
      </c>
      <c r="K400">
        <v>18017.425332092393</v>
      </c>
    </row>
    <row r="401" spans="1:11" x14ac:dyDescent="0.25">
      <c r="A401" t="s">
        <v>1033</v>
      </c>
      <c r="B401" t="s">
        <v>1034</v>
      </c>
      <c r="C401" s="1">
        <v>41711</v>
      </c>
      <c r="D401" s="1">
        <v>41718</v>
      </c>
      <c r="E401">
        <v>22150</v>
      </c>
      <c r="F401" t="s">
        <v>301</v>
      </c>
      <c r="G401" t="s">
        <v>16</v>
      </c>
      <c r="H401" t="s">
        <v>1035</v>
      </c>
      <c r="I401">
        <v>2.3649</v>
      </c>
      <c r="J401">
        <v>550008.01</v>
      </c>
      <c r="K401">
        <v>232571.36031121825</v>
      </c>
    </row>
    <row r="402" spans="1:11" x14ac:dyDescent="0.25">
      <c r="A402" t="s">
        <v>1024</v>
      </c>
      <c r="B402" t="s">
        <v>1025</v>
      </c>
      <c r="C402" s="1">
        <v>41705</v>
      </c>
      <c r="D402" s="1">
        <v>41709</v>
      </c>
      <c r="E402">
        <v>1</v>
      </c>
      <c r="F402" t="s">
        <v>331</v>
      </c>
      <c r="G402" t="s">
        <v>16</v>
      </c>
      <c r="H402" t="s">
        <v>4687</v>
      </c>
      <c r="I402">
        <v>2.3094000000000001</v>
      </c>
      <c r="J402">
        <v>43073.34</v>
      </c>
      <c r="K402">
        <v>18651.312029098466</v>
      </c>
    </row>
    <row r="403" spans="1:11" x14ac:dyDescent="0.25">
      <c r="A403" t="s">
        <v>1024</v>
      </c>
      <c r="B403" t="s">
        <v>1025</v>
      </c>
      <c r="C403" s="1">
        <v>41705</v>
      </c>
      <c r="D403" s="1">
        <v>41710</v>
      </c>
      <c r="E403">
        <v>1</v>
      </c>
      <c r="F403" t="s">
        <v>331</v>
      </c>
      <c r="G403" t="s">
        <v>16</v>
      </c>
      <c r="H403" t="s">
        <v>4688</v>
      </c>
      <c r="I403">
        <v>2.3094000000000001</v>
      </c>
      <c r="J403">
        <v>31055.8</v>
      </c>
      <c r="K403">
        <v>13447.562137351693</v>
      </c>
    </row>
    <row r="404" spans="1:11" x14ac:dyDescent="0.25">
      <c r="A404" t="s">
        <v>1036</v>
      </c>
      <c r="B404" t="s">
        <v>1037</v>
      </c>
      <c r="C404" s="1">
        <v>41737</v>
      </c>
      <c r="D404" s="1">
        <v>41745</v>
      </c>
      <c r="E404">
        <v>21505</v>
      </c>
      <c r="F404" t="s">
        <v>309</v>
      </c>
      <c r="G404" t="s">
        <v>16</v>
      </c>
      <c r="H404" t="s">
        <v>4689</v>
      </c>
      <c r="I404">
        <v>2.2326000000000001</v>
      </c>
      <c r="J404">
        <v>144979.20000000001</v>
      </c>
      <c r="K404">
        <v>64937.382424079551</v>
      </c>
    </row>
    <row r="405" spans="1:11" x14ac:dyDescent="0.25">
      <c r="A405" t="s">
        <v>1036</v>
      </c>
      <c r="B405" t="s">
        <v>1037</v>
      </c>
      <c r="C405" s="1">
        <v>41740</v>
      </c>
      <c r="D405" s="1">
        <v>41746</v>
      </c>
      <c r="E405">
        <v>21505</v>
      </c>
      <c r="F405" t="s">
        <v>309</v>
      </c>
      <c r="G405" t="s">
        <v>16</v>
      </c>
      <c r="H405" t="s">
        <v>1038</v>
      </c>
      <c r="I405">
        <v>2.1987000000000001</v>
      </c>
      <c r="J405">
        <v>44399.88</v>
      </c>
      <c r="K405">
        <v>20193.696275071634</v>
      </c>
    </row>
    <row r="406" spans="1:11" x14ac:dyDescent="0.25">
      <c r="A406" t="s">
        <v>1039</v>
      </c>
      <c r="C406" s="1">
        <v>41734</v>
      </c>
      <c r="D406" s="1">
        <v>41737</v>
      </c>
      <c r="E406">
        <v>22692</v>
      </c>
      <c r="F406" t="s">
        <v>421</v>
      </c>
      <c r="G406" t="s">
        <v>16</v>
      </c>
      <c r="H406" t="s">
        <v>4690</v>
      </c>
      <c r="I406">
        <v>2.242</v>
      </c>
      <c r="J406">
        <v>610</v>
      </c>
      <c r="K406">
        <v>272.07850133809097</v>
      </c>
    </row>
    <row r="407" spans="1:11" x14ac:dyDescent="0.25">
      <c r="A407" t="s">
        <v>1039</v>
      </c>
      <c r="C407" s="1">
        <v>41736</v>
      </c>
      <c r="D407" s="1">
        <v>41737</v>
      </c>
      <c r="E407">
        <v>22692</v>
      </c>
      <c r="F407" t="s">
        <v>421</v>
      </c>
      <c r="G407" t="s">
        <v>16</v>
      </c>
      <c r="H407" t="s">
        <v>1040</v>
      </c>
      <c r="I407">
        <v>2.242</v>
      </c>
      <c r="J407">
        <v>122.03</v>
      </c>
      <c r="K407">
        <v>54.429081177520068</v>
      </c>
    </row>
    <row r="408" spans="1:11" x14ac:dyDescent="0.25">
      <c r="A408" t="s">
        <v>1039</v>
      </c>
      <c r="C408" s="1">
        <v>41736</v>
      </c>
      <c r="D408" s="1">
        <v>41737</v>
      </c>
      <c r="E408">
        <v>22692</v>
      </c>
      <c r="F408" t="s">
        <v>421</v>
      </c>
      <c r="G408" t="s">
        <v>16</v>
      </c>
      <c r="H408" t="s">
        <v>1041</v>
      </c>
      <c r="I408">
        <v>2.242</v>
      </c>
      <c r="J408">
        <v>24.46</v>
      </c>
      <c r="K408">
        <v>10.909901873327387</v>
      </c>
    </row>
    <row r="409" spans="1:11" x14ac:dyDescent="0.25">
      <c r="A409" t="s">
        <v>896</v>
      </c>
      <c r="B409" t="s">
        <v>897</v>
      </c>
      <c r="C409" s="1">
        <v>41715</v>
      </c>
      <c r="D409" s="1">
        <v>41719</v>
      </c>
      <c r="E409">
        <v>296</v>
      </c>
      <c r="F409" t="s">
        <v>887</v>
      </c>
      <c r="G409" t="s">
        <v>16</v>
      </c>
      <c r="H409" t="s">
        <v>1042</v>
      </c>
      <c r="I409">
        <v>2.3637999999999999</v>
      </c>
      <c r="J409">
        <v>48391.79</v>
      </c>
      <c r="K409">
        <v>20472.032320839327</v>
      </c>
    </row>
    <row r="410" spans="1:11" x14ac:dyDescent="0.25">
      <c r="A410" t="s">
        <v>976</v>
      </c>
      <c r="B410" t="s">
        <v>977</v>
      </c>
      <c r="C410" s="1">
        <v>41716</v>
      </c>
      <c r="D410" s="1">
        <v>41719</v>
      </c>
      <c r="E410">
        <v>20661</v>
      </c>
      <c r="F410" t="s">
        <v>309</v>
      </c>
      <c r="G410" t="s">
        <v>16</v>
      </c>
      <c r="H410" t="s">
        <v>4691</v>
      </c>
      <c r="I410">
        <v>2.3517999999999999</v>
      </c>
      <c r="J410">
        <v>55251.360000000001</v>
      </c>
      <c r="K410">
        <v>23493.222212773195</v>
      </c>
    </row>
    <row r="411" spans="1:11" x14ac:dyDescent="0.25">
      <c r="A411" t="s">
        <v>896</v>
      </c>
      <c r="B411" t="s">
        <v>897</v>
      </c>
      <c r="C411" s="1">
        <v>41717</v>
      </c>
      <c r="D411" s="1">
        <v>41721</v>
      </c>
      <c r="E411">
        <v>296</v>
      </c>
      <c r="F411" t="s">
        <v>887</v>
      </c>
      <c r="G411" t="s">
        <v>16</v>
      </c>
      <c r="H411" t="s">
        <v>1043</v>
      </c>
      <c r="I411">
        <v>2.3521999999999998</v>
      </c>
      <c r="J411">
        <v>48209.37</v>
      </c>
      <c r="K411">
        <v>20495.438313068618</v>
      </c>
    </row>
    <row r="412" spans="1:11" x14ac:dyDescent="0.25">
      <c r="A412" t="s">
        <v>3003</v>
      </c>
      <c r="C412" s="1">
        <v>41743</v>
      </c>
      <c r="D412" s="1">
        <v>41745</v>
      </c>
      <c r="E412">
        <v>22754</v>
      </c>
      <c r="F412" t="s">
        <v>421</v>
      </c>
      <c r="G412" t="s">
        <v>16</v>
      </c>
      <c r="H412" t="s">
        <v>4692</v>
      </c>
      <c r="I412">
        <v>2.2059000000000002</v>
      </c>
      <c r="J412">
        <v>157.29</v>
      </c>
      <c r="K412">
        <v>71.304229566163471</v>
      </c>
    </row>
    <row r="413" spans="1:11" x14ac:dyDescent="0.25">
      <c r="A413" t="s">
        <v>3003</v>
      </c>
      <c r="C413" s="1">
        <v>41743</v>
      </c>
      <c r="D413" s="1">
        <v>41745</v>
      </c>
      <c r="E413">
        <v>22754</v>
      </c>
      <c r="F413" t="s">
        <v>421</v>
      </c>
      <c r="G413" t="s">
        <v>16</v>
      </c>
      <c r="H413" t="s">
        <v>4693</v>
      </c>
      <c r="I413">
        <v>2.2059000000000002</v>
      </c>
      <c r="J413">
        <v>1699.12</v>
      </c>
      <c r="K413">
        <v>770.26157124076337</v>
      </c>
    </row>
    <row r="414" spans="1:11" x14ac:dyDescent="0.25">
      <c r="A414" t="s">
        <v>976</v>
      </c>
      <c r="B414" t="s">
        <v>977</v>
      </c>
      <c r="C414" s="1">
        <v>41734</v>
      </c>
      <c r="D414" s="1">
        <v>41737</v>
      </c>
      <c r="E414">
        <v>20661</v>
      </c>
      <c r="F414" t="s">
        <v>309</v>
      </c>
      <c r="G414" t="s">
        <v>16</v>
      </c>
      <c r="H414" t="s">
        <v>1044</v>
      </c>
      <c r="I414">
        <v>2.242</v>
      </c>
      <c r="J414">
        <v>23210.99</v>
      </c>
      <c r="K414">
        <v>10352.805530776093</v>
      </c>
    </row>
    <row r="415" spans="1:11" x14ac:dyDescent="0.25">
      <c r="A415" t="s">
        <v>1045</v>
      </c>
      <c r="B415" t="s">
        <v>1046</v>
      </c>
      <c r="C415" s="1">
        <v>41719</v>
      </c>
      <c r="D415" s="1">
        <v>41724</v>
      </c>
      <c r="E415">
        <v>22601</v>
      </c>
      <c r="F415" t="s">
        <v>318</v>
      </c>
      <c r="G415" t="s">
        <v>16</v>
      </c>
      <c r="H415" t="s">
        <v>1047</v>
      </c>
      <c r="I415">
        <v>2.3420000000000001</v>
      </c>
      <c r="J415">
        <v>38034.080000000002</v>
      </c>
      <c r="K415">
        <v>16240</v>
      </c>
    </row>
    <row r="416" spans="1:11" x14ac:dyDescent="0.25">
      <c r="A416" t="s">
        <v>1048</v>
      </c>
      <c r="C416" s="1">
        <v>41743</v>
      </c>
      <c r="D416" s="1">
        <v>41752</v>
      </c>
      <c r="E416">
        <v>22793</v>
      </c>
      <c r="F416" t="s">
        <v>421</v>
      </c>
      <c r="G416" t="s">
        <v>16</v>
      </c>
      <c r="H416" t="s">
        <v>1049</v>
      </c>
      <c r="I416">
        <v>2.2059000000000002</v>
      </c>
      <c r="J416">
        <v>157.99</v>
      </c>
      <c r="K416">
        <v>71.621560360850452</v>
      </c>
    </row>
    <row r="417" spans="1:11" x14ac:dyDescent="0.25">
      <c r="A417" t="s">
        <v>1048</v>
      </c>
      <c r="C417" s="1">
        <v>41749</v>
      </c>
      <c r="D417" s="1">
        <v>41752</v>
      </c>
      <c r="E417">
        <v>22793</v>
      </c>
      <c r="F417" t="s">
        <v>421</v>
      </c>
      <c r="G417" t="s">
        <v>16</v>
      </c>
      <c r="H417" t="s">
        <v>1050</v>
      </c>
      <c r="I417">
        <v>2.2482000000000002</v>
      </c>
      <c r="J417">
        <v>702.5</v>
      </c>
      <c r="K417">
        <v>312.472199982208</v>
      </c>
    </row>
    <row r="418" spans="1:11" x14ac:dyDescent="0.25">
      <c r="A418" t="s">
        <v>1048</v>
      </c>
      <c r="C418" s="1">
        <v>41751</v>
      </c>
      <c r="D418" s="1">
        <v>41752</v>
      </c>
      <c r="E418">
        <v>22793</v>
      </c>
      <c r="F418" t="s">
        <v>421</v>
      </c>
      <c r="G418" t="s">
        <v>16</v>
      </c>
      <c r="H418" t="s">
        <v>1051</v>
      </c>
      <c r="I418">
        <v>2.2482000000000002</v>
      </c>
      <c r="J418">
        <v>1275.74</v>
      </c>
      <c r="K418">
        <v>567.4495151676897</v>
      </c>
    </row>
    <row r="419" spans="1:11" x14ac:dyDescent="0.25">
      <c r="A419" t="s">
        <v>1052</v>
      </c>
      <c r="B419" t="s">
        <v>503</v>
      </c>
      <c r="C419" s="1">
        <v>41751</v>
      </c>
      <c r="D419" s="1">
        <v>41757</v>
      </c>
      <c r="E419">
        <v>22767</v>
      </c>
      <c r="F419" t="s">
        <v>311</v>
      </c>
      <c r="G419" t="s">
        <v>16</v>
      </c>
      <c r="H419" t="s">
        <v>1053</v>
      </c>
      <c r="I419">
        <v>2.2482000000000002</v>
      </c>
      <c r="J419">
        <v>39431.89</v>
      </c>
      <c r="K419">
        <v>17539.315897162174</v>
      </c>
    </row>
    <row r="420" spans="1:11" x14ac:dyDescent="0.25">
      <c r="A420" t="s">
        <v>1054</v>
      </c>
      <c r="B420" t="s">
        <v>1055</v>
      </c>
      <c r="C420" s="1">
        <v>41758</v>
      </c>
      <c r="D420" s="1">
        <v>41761</v>
      </c>
      <c r="E420">
        <v>23599</v>
      </c>
      <c r="F420" t="s">
        <v>301</v>
      </c>
      <c r="G420" t="s">
        <v>16</v>
      </c>
      <c r="H420" t="s">
        <v>1056</v>
      </c>
      <c r="I420">
        <v>2.2370000000000001</v>
      </c>
      <c r="J420">
        <v>43570.81</v>
      </c>
      <c r="K420">
        <v>19477.340187751452</v>
      </c>
    </row>
    <row r="421" spans="1:11" x14ac:dyDescent="0.25">
      <c r="A421" t="s">
        <v>1057</v>
      </c>
      <c r="B421" t="s">
        <v>1058</v>
      </c>
      <c r="C421" s="1">
        <v>41782</v>
      </c>
      <c r="D421" s="1">
        <v>41789</v>
      </c>
      <c r="E421">
        <v>19681</v>
      </c>
      <c r="F421" t="s">
        <v>309</v>
      </c>
      <c r="G421" t="s">
        <v>16</v>
      </c>
      <c r="H421" t="s">
        <v>486</v>
      </c>
      <c r="I421">
        <v>2.2130999999999998</v>
      </c>
      <c r="J421">
        <v>26074.57</v>
      </c>
      <c r="K421">
        <v>11781.921286882653</v>
      </c>
    </row>
    <row r="422" spans="1:11" x14ac:dyDescent="0.25">
      <c r="A422" t="s">
        <v>1057</v>
      </c>
      <c r="B422" t="s">
        <v>1058</v>
      </c>
      <c r="C422" s="1">
        <v>41782</v>
      </c>
      <c r="D422" s="1">
        <v>41789</v>
      </c>
      <c r="E422">
        <v>19681</v>
      </c>
      <c r="F422" t="s">
        <v>309</v>
      </c>
      <c r="G422" t="s">
        <v>16</v>
      </c>
      <c r="H422" t="s">
        <v>1059</v>
      </c>
      <c r="I422">
        <v>2.2130999999999998</v>
      </c>
      <c r="J422">
        <v>25772.54</v>
      </c>
      <c r="K422">
        <v>11645.447562243007</v>
      </c>
    </row>
    <row r="423" spans="1:11" x14ac:dyDescent="0.25">
      <c r="A423" t="s">
        <v>1060</v>
      </c>
      <c r="B423" t="s">
        <v>1061</v>
      </c>
      <c r="C423" s="1">
        <v>41783</v>
      </c>
      <c r="D423" s="1">
        <v>41787</v>
      </c>
      <c r="E423">
        <v>19976</v>
      </c>
      <c r="F423" t="s">
        <v>309</v>
      </c>
      <c r="G423" t="s">
        <v>16</v>
      </c>
      <c r="H423" t="s">
        <v>1062</v>
      </c>
      <c r="I423">
        <v>2.2187000000000001</v>
      </c>
      <c r="J423">
        <v>35005.79</v>
      </c>
      <c r="K423">
        <v>15777.613016631361</v>
      </c>
    </row>
    <row r="424" spans="1:11" x14ac:dyDescent="0.25">
      <c r="A424" t="s">
        <v>1060</v>
      </c>
      <c r="B424" t="s">
        <v>1061</v>
      </c>
      <c r="C424" s="1">
        <v>41786</v>
      </c>
      <c r="D424" s="1">
        <v>41792</v>
      </c>
      <c r="E424">
        <v>19976</v>
      </c>
      <c r="F424" t="s">
        <v>309</v>
      </c>
      <c r="G424" t="s">
        <v>16</v>
      </c>
      <c r="H424" t="s">
        <v>4694</v>
      </c>
      <c r="I424">
        <v>2.2208999999999999</v>
      </c>
      <c r="J424">
        <v>23917.27</v>
      </c>
      <c r="K424">
        <v>10769.179161601152</v>
      </c>
    </row>
    <row r="425" spans="1:11" x14ac:dyDescent="0.25">
      <c r="A425" t="s">
        <v>1060</v>
      </c>
      <c r="B425" t="s">
        <v>1061</v>
      </c>
      <c r="C425" s="1">
        <v>41786</v>
      </c>
      <c r="D425" s="1">
        <v>41788</v>
      </c>
      <c r="E425">
        <v>19976</v>
      </c>
      <c r="F425" t="s">
        <v>309</v>
      </c>
      <c r="G425" t="s">
        <v>16</v>
      </c>
      <c r="H425" t="s">
        <v>4695</v>
      </c>
      <c r="I425">
        <v>2.2208999999999999</v>
      </c>
      <c r="J425">
        <v>27052.54</v>
      </c>
      <c r="K425">
        <v>12180.890629924805</v>
      </c>
    </row>
    <row r="426" spans="1:11" x14ac:dyDescent="0.25">
      <c r="A426" t="s">
        <v>1060</v>
      </c>
      <c r="B426" t="s">
        <v>1061</v>
      </c>
      <c r="C426" s="1">
        <v>41787</v>
      </c>
      <c r="D426" s="1">
        <v>41789</v>
      </c>
      <c r="E426">
        <v>19976</v>
      </c>
      <c r="F426" t="s">
        <v>309</v>
      </c>
      <c r="G426" t="s">
        <v>16</v>
      </c>
      <c r="H426" t="s">
        <v>1063</v>
      </c>
      <c r="I426">
        <v>2.2353999999999998</v>
      </c>
      <c r="J426">
        <v>36314.550000000003</v>
      </c>
      <c r="K426">
        <v>16245.213384629149</v>
      </c>
    </row>
    <row r="427" spans="1:11" x14ac:dyDescent="0.25">
      <c r="A427" t="s">
        <v>1060</v>
      </c>
      <c r="B427" t="s">
        <v>1061</v>
      </c>
      <c r="C427" s="1">
        <v>41785</v>
      </c>
      <c r="D427" s="1">
        <v>41790</v>
      </c>
      <c r="E427">
        <v>19976</v>
      </c>
      <c r="F427" t="s">
        <v>309</v>
      </c>
      <c r="G427" t="s">
        <v>16</v>
      </c>
      <c r="H427" t="s">
        <v>4696</v>
      </c>
      <c r="I427">
        <v>2.2187000000000001</v>
      </c>
      <c r="J427">
        <v>32402.65</v>
      </c>
      <c r="K427">
        <v>14604.340379501509</v>
      </c>
    </row>
    <row r="428" spans="1:11" x14ac:dyDescent="0.25">
      <c r="A428" t="s">
        <v>1057</v>
      </c>
      <c r="B428" t="s">
        <v>1058</v>
      </c>
      <c r="C428" s="1">
        <v>41788</v>
      </c>
      <c r="D428" s="1">
        <v>41794</v>
      </c>
      <c r="E428">
        <v>19681</v>
      </c>
      <c r="F428" t="s">
        <v>309</v>
      </c>
      <c r="G428" t="s">
        <v>16</v>
      </c>
      <c r="H428" t="s">
        <v>1064</v>
      </c>
      <c r="I428">
        <v>2.2404999999999999</v>
      </c>
      <c r="J428">
        <v>36551.85</v>
      </c>
      <c r="K428">
        <v>16314.148627538496</v>
      </c>
    </row>
    <row r="429" spans="1:11" x14ac:dyDescent="0.25">
      <c r="A429" t="s">
        <v>1057</v>
      </c>
      <c r="B429" t="s">
        <v>1058</v>
      </c>
      <c r="C429" s="1">
        <v>41788</v>
      </c>
      <c r="D429" s="1">
        <v>41794</v>
      </c>
      <c r="E429">
        <v>19681</v>
      </c>
      <c r="F429" t="s">
        <v>309</v>
      </c>
      <c r="G429" t="s">
        <v>16</v>
      </c>
      <c r="H429" t="s">
        <v>4697</v>
      </c>
      <c r="I429">
        <v>2.2404999999999999</v>
      </c>
      <c r="J429">
        <v>36422.42</v>
      </c>
      <c r="K429">
        <v>16256.380272260656</v>
      </c>
    </row>
    <row r="430" spans="1:11" x14ac:dyDescent="0.25">
      <c r="A430" t="s">
        <v>1060</v>
      </c>
      <c r="B430" t="s">
        <v>1061</v>
      </c>
      <c r="C430" s="1">
        <v>41794</v>
      </c>
      <c r="D430" s="1">
        <v>41800</v>
      </c>
      <c r="E430">
        <v>19976</v>
      </c>
      <c r="F430" t="s">
        <v>309</v>
      </c>
      <c r="G430" t="s">
        <v>16</v>
      </c>
      <c r="H430" t="s">
        <v>1065</v>
      </c>
      <c r="I430">
        <v>2.2654000000000001</v>
      </c>
      <c r="J430">
        <v>36724.44</v>
      </c>
      <c r="K430">
        <v>16211.017921779818</v>
      </c>
    </row>
    <row r="431" spans="1:11" x14ac:dyDescent="0.25">
      <c r="A431" t="s">
        <v>1060</v>
      </c>
      <c r="B431" t="s">
        <v>1061</v>
      </c>
      <c r="C431" s="1">
        <v>41788</v>
      </c>
      <c r="D431" s="1">
        <v>41790</v>
      </c>
      <c r="E431">
        <v>19976</v>
      </c>
      <c r="F431" t="s">
        <v>309</v>
      </c>
      <c r="G431" t="s">
        <v>16</v>
      </c>
      <c r="H431" t="s">
        <v>4698</v>
      </c>
      <c r="I431">
        <v>2.2404999999999999</v>
      </c>
      <c r="J431">
        <v>26829.62</v>
      </c>
      <c r="K431">
        <v>11974.835974112921</v>
      </c>
    </row>
    <row r="432" spans="1:11" x14ac:dyDescent="0.25">
      <c r="A432" t="s">
        <v>1057</v>
      </c>
      <c r="B432" t="s">
        <v>1058</v>
      </c>
      <c r="C432" s="1">
        <v>41785</v>
      </c>
      <c r="D432" s="1">
        <v>41788</v>
      </c>
      <c r="E432">
        <v>19681</v>
      </c>
      <c r="F432" t="s">
        <v>309</v>
      </c>
      <c r="G432" t="s">
        <v>16</v>
      </c>
      <c r="H432" t="s">
        <v>1066</v>
      </c>
      <c r="I432">
        <v>2.2187000000000001</v>
      </c>
      <c r="J432">
        <v>36746.01</v>
      </c>
      <c r="K432">
        <v>16561.955198990399</v>
      </c>
    </row>
    <row r="433" spans="1:11" x14ac:dyDescent="0.25">
      <c r="A433" t="s">
        <v>1057</v>
      </c>
      <c r="B433" t="s">
        <v>1058</v>
      </c>
      <c r="C433" s="1">
        <v>41785</v>
      </c>
      <c r="D433" s="1">
        <v>41788</v>
      </c>
      <c r="E433">
        <v>19681</v>
      </c>
      <c r="F433" t="s">
        <v>309</v>
      </c>
      <c r="G433" t="s">
        <v>16</v>
      </c>
      <c r="H433" t="s">
        <v>1067</v>
      </c>
      <c r="I433">
        <v>2.2187000000000001</v>
      </c>
      <c r="J433">
        <v>36817.919999999998</v>
      </c>
      <c r="K433">
        <v>16594.366070221302</v>
      </c>
    </row>
    <row r="434" spans="1:11" x14ac:dyDescent="0.25">
      <c r="A434" t="s">
        <v>1060</v>
      </c>
      <c r="B434" t="s">
        <v>1061</v>
      </c>
      <c r="C434" s="1">
        <v>41786</v>
      </c>
      <c r="D434" s="1">
        <v>41793</v>
      </c>
      <c r="E434">
        <v>19976</v>
      </c>
      <c r="F434" t="s">
        <v>309</v>
      </c>
      <c r="G434" t="s">
        <v>16</v>
      </c>
      <c r="H434" t="s">
        <v>1068</v>
      </c>
      <c r="I434">
        <v>2.2208999999999999</v>
      </c>
      <c r="J434">
        <v>34775.68</v>
      </c>
      <c r="K434">
        <v>15658.372731775406</v>
      </c>
    </row>
    <row r="435" spans="1:11" x14ac:dyDescent="0.25">
      <c r="A435" t="s">
        <v>1060</v>
      </c>
      <c r="B435" t="s">
        <v>1061</v>
      </c>
      <c r="C435" s="1">
        <v>41790</v>
      </c>
      <c r="D435" s="1">
        <v>41793</v>
      </c>
      <c r="E435">
        <v>19976</v>
      </c>
      <c r="F435" t="s">
        <v>309</v>
      </c>
      <c r="G435" t="s">
        <v>16</v>
      </c>
      <c r="H435" t="s">
        <v>1069</v>
      </c>
      <c r="I435">
        <v>2.2389999999999999</v>
      </c>
      <c r="J435">
        <v>36472.75</v>
      </c>
      <c r="K435">
        <v>16289.749888343011</v>
      </c>
    </row>
    <row r="436" spans="1:11" x14ac:dyDescent="0.25">
      <c r="A436" t="s">
        <v>1060</v>
      </c>
      <c r="B436" t="s">
        <v>1061</v>
      </c>
      <c r="C436" s="1">
        <v>41790</v>
      </c>
      <c r="D436" s="1">
        <v>41793</v>
      </c>
      <c r="E436">
        <v>19976</v>
      </c>
      <c r="F436" t="s">
        <v>309</v>
      </c>
      <c r="G436" t="s">
        <v>16</v>
      </c>
      <c r="H436" t="s">
        <v>1070</v>
      </c>
      <c r="I436">
        <v>2.2389999999999999</v>
      </c>
      <c r="J436">
        <v>26822.43</v>
      </c>
      <c r="K436">
        <v>11979.647163912461</v>
      </c>
    </row>
    <row r="437" spans="1:11" x14ac:dyDescent="0.25">
      <c r="A437" t="s">
        <v>1060</v>
      </c>
      <c r="B437" t="s">
        <v>1061</v>
      </c>
      <c r="C437" s="1">
        <v>41788</v>
      </c>
      <c r="D437" s="1">
        <v>41791</v>
      </c>
      <c r="E437">
        <v>19976</v>
      </c>
      <c r="F437" t="s">
        <v>309</v>
      </c>
      <c r="G437" t="s">
        <v>16</v>
      </c>
      <c r="H437" t="s">
        <v>1071</v>
      </c>
      <c r="I437">
        <v>2.2404999999999999</v>
      </c>
      <c r="J437">
        <v>36940.17</v>
      </c>
      <c r="K437">
        <v>16487.46708324035</v>
      </c>
    </row>
    <row r="438" spans="1:11" x14ac:dyDescent="0.25">
      <c r="A438" t="s">
        <v>1072</v>
      </c>
      <c r="B438" t="s">
        <v>1073</v>
      </c>
      <c r="C438" s="1">
        <v>41825</v>
      </c>
      <c r="D438" s="1">
        <v>41827</v>
      </c>
      <c r="E438">
        <v>19972</v>
      </c>
      <c r="F438" t="s">
        <v>368</v>
      </c>
      <c r="G438" t="s">
        <v>16</v>
      </c>
      <c r="H438" t="s">
        <v>4699</v>
      </c>
      <c r="I438">
        <v>2.2149000000000001</v>
      </c>
      <c r="J438">
        <v>24761.8</v>
      </c>
      <c r="K438">
        <v>11179.646936656283</v>
      </c>
    </row>
    <row r="439" spans="1:11" x14ac:dyDescent="0.25">
      <c r="A439" t="s">
        <v>1072</v>
      </c>
      <c r="B439" t="s">
        <v>1073</v>
      </c>
      <c r="C439" s="1">
        <v>41823</v>
      </c>
      <c r="D439" s="1">
        <v>41825</v>
      </c>
      <c r="E439">
        <v>19972</v>
      </c>
      <c r="F439" t="s">
        <v>368</v>
      </c>
      <c r="G439" t="s">
        <v>16</v>
      </c>
      <c r="H439" t="s">
        <v>1074</v>
      </c>
      <c r="I439">
        <v>2.2134</v>
      </c>
      <c r="J439">
        <v>33791.46</v>
      </c>
      <c r="K439">
        <v>15266.766061263215</v>
      </c>
    </row>
    <row r="440" spans="1:11" x14ac:dyDescent="0.25">
      <c r="A440" t="s">
        <v>2088</v>
      </c>
      <c r="B440" t="s">
        <v>2089</v>
      </c>
      <c r="C440" s="1">
        <v>41835</v>
      </c>
      <c r="D440" s="1">
        <v>41842</v>
      </c>
      <c r="E440">
        <v>19979</v>
      </c>
      <c r="F440" t="s">
        <v>301</v>
      </c>
      <c r="G440" t="s">
        <v>16</v>
      </c>
      <c r="H440" t="s">
        <v>4700</v>
      </c>
      <c r="I440">
        <v>2.2176</v>
      </c>
      <c r="J440">
        <v>57959.99</v>
      </c>
      <c r="K440">
        <v>26136.359126984127</v>
      </c>
    </row>
    <row r="441" spans="1:11" x14ac:dyDescent="0.25">
      <c r="A441" t="s">
        <v>1072</v>
      </c>
      <c r="B441" t="s">
        <v>1073</v>
      </c>
      <c r="C441" s="1">
        <v>41832</v>
      </c>
      <c r="D441" s="1">
        <v>41834</v>
      </c>
      <c r="E441">
        <v>19972</v>
      </c>
      <c r="F441" t="s">
        <v>368</v>
      </c>
      <c r="G441" t="s">
        <v>16</v>
      </c>
      <c r="H441" t="s">
        <v>4701</v>
      </c>
      <c r="I441">
        <v>2.2227999999999999</v>
      </c>
      <c r="J441">
        <v>24389.42</v>
      </c>
      <c r="K441">
        <v>10972.386179593306</v>
      </c>
    </row>
    <row r="442" spans="1:11" x14ac:dyDescent="0.25">
      <c r="A442" t="s">
        <v>1075</v>
      </c>
      <c r="B442" t="s">
        <v>1076</v>
      </c>
      <c r="C442" s="1">
        <v>41831</v>
      </c>
      <c r="D442" s="1">
        <v>41834</v>
      </c>
      <c r="E442">
        <v>19680</v>
      </c>
      <c r="F442" t="s">
        <v>368</v>
      </c>
      <c r="G442" t="s">
        <v>16</v>
      </c>
      <c r="H442" t="s">
        <v>1077</v>
      </c>
      <c r="I442">
        <v>2.2237</v>
      </c>
      <c r="J442">
        <v>24655.4</v>
      </c>
      <c r="K442">
        <v>11087.556774744795</v>
      </c>
    </row>
    <row r="443" spans="1:11" x14ac:dyDescent="0.25">
      <c r="A443" t="s">
        <v>1078</v>
      </c>
      <c r="C443" s="1">
        <v>41814</v>
      </c>
      <c r="D443" s="1">
        <v>41830</v>
      </c>
      <c r="E443">
        <v>19048</v>
      </c>
      <c r="F443" t="s">
        <v>447</v>
      </c>
      <c r="G443" t="s">
        <v>16</v>
      </c>
      <c r="H443" t="s">
        <v>1079</v>
      </c>
      <c r="I443">
        <v>2.2195</v>
      </c>
      <c r="J443">
        <v>190</v>
      </c>
      <c r="K443">
        <v>85.604865960801988</v>
      </c>
    </row>
    <row r="444" spans="1:11" x14ac:dyDescent="0.25">
      <c r="A444" t="s">
        <v>1072</v>
      </c>
      <c r="B444" t="s">
        <v>1073</v>
      </c>
      <c r="C444" s="1">
        <v>41826</v>
      </c>
      <c r="D444" s="1">
        <v>41829</v>
      </c>
      <c r="E444">
        <v>19972</v>
      </c>
      <c r="F444" t="s">
        <v>368</v>
      </c>
      <c r="G444" t="s">
        <v>16</v>
      </c>
      <c r="H444" t="s">
        <v>4702</v>
      </c>
      <c r="I444">
        <v>2.2149000000000001</v>
      </c>
      <c r="J444">
        <v>33445.69</v>
      </c>
      <c r="K444">
        <v>15100.316041356269</v>
      </c>
    </row>
    <row r="445" spans="1:11" x14ac:dyDescent="0.25">
      <c r="A445" t="s">
        <v>1072</v>
      </c>
      <c r="B445" t="s">
        <v>1073</v>
      </c>
      <c r="C445" s="1">
        <v>41827</v>
      </c>
      <c r="D445" s="1">
        <v>41830</v>
      </c>
      <c r="E445">
        <v>19972</v>
      </c>
      <c r="F445" t="s">
        <v>368</v>
      </c>
      <c r="G445" t="s">
        <v>16</v>
      </c>
      <c r="H445" t="s">
        <v>4703</v>
      </c>
      <c r="I445">
        <v>2.2149000000000001</v>
      </c>
      <c r="J445">
        <v>32820.67</v>
      </c>
      <c r="K445">
        <v>14818.127229220281</v>
      </c>
    </row>
    <row r="446" spans="1:11" x14ac:dyDescent="0.25">
      <c r="A446" t="s">
        <v>1072</v>
      </c>
      <c r="B446" t="s">
        <v>1073</v>
      </c>
      <c r="C446" s="1">
        <v>41828</v>
      </c>
      <c r="D446" s="1">
        <v>41830</v>
      </c>
      <c r="E446">
        <v>19972</v>
      </c>
      <c r="F446" t="s">
        <v>368</v>
      </c>
      <c r="G446" t="s">
        <v>16</v>
      </c>
      <c r="H446" t="s">
        <v>1080</v>
      </c>
      <c r="I446">
        <v>2.2201</v>
      </c>
      <c r="J446">
        <v>24469.23</v>
      </c>
      <c r="K446">
        <v>11021.679203639476</v>
      </c>
    </row>
    <row r="447" spans="1:11" x14ac:dyDescent="0.25">
      <c r="A447" t="s">
        <v>1072</v>
      </c>
      <c r="B447" t="s">
        <v>1073</v>
      </c>
      <c r="C447" s="1">
        <v>41827</v>
      </c>
      <c r="D447" s="1">
        <v>41830</v>
      </c>
      <c r="E447">
        <v>19972</v>
      </c>
      <c r="F447" t="s">
        <v>368</v>
      </c>
      <c r="G447" t="s">
        <v>16</v>
      </c>
      <c r="H447" t="s">
        <v>4704</v>
      </c>
      <c r="I447">
        <v>2.2149000000000001</v>
      </c>
      <c r="J447">
        <v>23923.99</v>
      </c>
      <c r="K447">
        <v>10801.386067091065</v>
      </c>
    </row>
    <row r="448" spans="1:11" x14ac:dyDescent="0.25">
      <c r="A448" t="s">
        <v>1075</v>
      </c>
      <c r="B448" t="s">
        <v>1076</v>
      </c>
      <c r="C448" s="1">
        <v>41832</v>
      </c>
      <c r="D448" s="1">
        <v>41837</v>
      </c>
      <c r="E448">
        <v>19680</v>
      </c>
      <c r="F448" t="s">
        <v>368</v>
      </c>
      <c r="G448" t="s">
        <v>16</v>
      </c>
      <c r="H448" t="s">
        <v>1081</v>
      </c>
      <c r="I448">
        <v>2.2227999999999999</v>
      </c>
      <c r="J448">
        <v>33645.19</v>
      </c>
      <c r="K448">
        <v>15136.400035990642</v>
      </c>
    </row>
    <row r="449" spans="1:11" x14ac:dyDescent="0.25">
      <c r="A449" t="s">
        <v>1075</v>
      </c>
      <c r="B449" t="s">
        <v>1076</v>
      </c>
      <c r="C449" s="1">
        <v>41834</v>
      </c>
      <c r="D449" s="1">
        <v>41837</v>
      </c>
      <c r="E449">
        <v>19680</v>
      </c>
      <c r="F449" t="s">
        <v>368</v>
      </c>
      <c r="G449" t="s">
        <v>16</v>
      </c>
      <c r="H449" t="s">
        <v>4705</v>
      </c>
      <c r="I449">
        <v>2.2227999999999999</v>
      </c>
      <c r="J449">
        <v>25027.759999999998</v>
      </c>
      <c r="K449">
        <v>11259.564513226562</v>
      </c>
    </row>
    <row r="450" spans="1:11" x14ac:dyDescent="0.25">
      <c r="A450" t="s">
        <v>1072</v>
      </c>
      <c r="B450" t="s">
        <v>1073</v>
      </c>
      <c r="C450" s="1">
        <v>41825</v>
      </c>
      <c r="D450" s="1">
        <v>41828</v>
      </c>
      <c r="E450">
        <v>19972</v>
      </c>
      <c r="F450" t="s">
        <v>368</v>
      </c>
      <c r="G450" t="s">
        <v>16</v>
      </c>
      <c r="H450" t="s">
        <v>4706</v>
      </c>
      <c r="I450">
        <v>2.2149000000000001</v>
      </c>
      <c r="J450">
        <v>25280.42</v>
      </c>
      <c r="K450">
        <v>11413.797462639397</v>
      </c>
    </row>
    <row r="451" spans="1:11" x14ac:dyDescent="0.25">
      <c r="A451" t="s">
        <v>2014</v>
      </c>
      <c r="B451" t="s">
        <v>2015</v>
      </c>
      <c r="C451" s="1">
        <v>41571</v>
      </c>
      <c r="D451" s="1">
        <v>41589</v>
      </c>
      <c r="E451">
        <v>6</v>
      </c>
      <c r="F451" t="s">
        <v>887</v>
      </c>
      <c r="G451" t="s">
        <v>16</v>
      </c>
      <c r="H451" t="s">
        <v>4707</v>
      </c>
      <c r="I451">
        <v>2.1825999999999999</v>
      </c>
      <c r="J451">
        <v>47394.03</v>
      </c>
      <c r="K451">
        <v>21714.482727022816</v>
      </c>
    </row>
    <row r="452" spans="1:11" x14ac:dyDescent="0.25">
      <c r="A452" t="s">
        <v>1072</v>
      </c>
      <c r="B452" t="s">
        <v>1073</v>
      </c>
      <c r="C452" s="1">
        <v>41827</v>
      </c>
      <c r="D452" s="1">
        <v>41829</v>
      </c>
      <c r="E452">
        <v>19972</v>
      </c>
      <c r="F452" t="s">
        <v>368</v>
      </c>
      <c r="G452" t="s">
        <v>16</v>
      </c>
      <c r="H452" t="s">
        <v>1082</v>
      </c>
      <c r="I452">
        <v>2.2149000000000001</v>
      </c>
      <c r="J452">
        <v>24908.07</v>
      </c>
      <c r="K452">
        <v>11245.68603548693</v>
      </c>
    </row>
    <row r="453" spans="1:11" x14ac:dyDescent="0.25">
      <c r="A453" t="s">
        <v>1083</v>
      </c>
      <c r="B453" t="s">
        <v>1084</v>
      </c>
      <c r="C453" s="1">
        <v>41850</v>
      </c>
      <c r="D453" s="1">
        <v>41853</v>
      </c>
      <c r="E453">
        <v>19679</v>
      </c>
      <c r="F453" t="s">
        <v>368</v>
      </c>
      <c r="G453" t="s">
        <v>16</v>
      </c>
      <c r="H453" t="s">
        <v>1085</v>
      </c>
      <c r="I453">
        <v>2.2277999999999998</v>
      </c>
      <c r="J453">
        <v>35956.75</v>
      </c>
      <c r="K453">
        <v>16140.026034653021</v>
      </c>
    </row>
    <row r="454" spans="1:11" x14ac:dyDescent="0.25">
      <c r="A454" t="s">
        <v>1072</v>
      </c>
      <c r="B454" t="s">
        <v>1073</v>
      </c>
      <c r="C454" s="1">
        <v>41870</v>
      </c>
      <c r="D454" s="1">
        <v>41872</v>
      </c>
      <c r="E454">
        <v>19972</v>
      </c>
      <c r="F454" t="s">
        <v>368</v>
      </c>
      <c r="G454" t="s">
        <v>16</v>
      </c>
      <c r="H454" t="s">
        <v>1086</v>
      </c>
      <c r="I454">
        <v>2.2595000000000001</v>
      </c>
      <c r="J454">
        <v>25174.03</v>
      </c>
      <c r="K454">
        <v>11141.416242531533</v>
      </c>
    </row>
    <row r="455" spans="1:11" x14ac:dyDescent="0.25">
      <c r="A455" t="s">
        <v>1072</v>
      </c>
      <c r="B455" t="s">
        <v>1073</v>
      </c>
      <c r="C455" s="1">
        <v>41870</v>
      </c>
      <c r="D455" s="1">
        <v>41873</v>
      </c>
      <c r="E455">
        <v>19972</v>
      </c>
      <c r="F455" t="s">
        <v>368</v>
      </c>
      <c r="G455" t="s">
        <v>16</v>
      </c>
      <c r="H455" t="s">
        <v>4708</v>
      </c>
      <c r="I455">
        <v>2.2595000000000001</v>
      </c>
      <c r="J455">
        <v>32900.46</v>
      </c>
      <c r="K455">
        <v>14560.947112192964</v>
      </c>
    </row>
    <row r="456" spans="1:11" x14ac:dyDescent="0.25">
      <c r="A456" t="s">
        <v>1072</v>
      </c>
      <c r="B456" t="s">
        <v>1073</v>
      </c>
      <c r="C456" s="1">
        <v>41859</v>
      </c>
      <c r="D456" s="1">
        <v>41863</v>
      </c>
      <c r="E456">
        <v>19972</v>
      </c>
      <c r="F456" t="s">
        <v>368</v>
      </c>
      <c r="G456" t="s">
        <v>16</v>
      </c>
      <c r="H456" t="s">
        <v>2275</v>
      </c>
      <c r="I456">
        <v>2.2801999999999998</v>
      </c>
      <c r="J456">
        <v>24801.68</v>
      </c>
      <c r="K456">
        <v>10876.975703885624</v>
      </c>
    </row>
    <row r="457" spans="1:11" x14ac:dyDescent="0.25">
      <c r="A457" t="s">
        <v>896</v>
      </c>
      <c r="B457" t="s">
        <v>897</v>
      </c>
      <c r="C457" s="1">
        <v>41563</v>
      </c>
      <c r="D457" s="1">
        <v>41571</v>
      </c>
      <c r="E457">
        <v>296</v>
      </c>
      <c r="F457" t="s">
        <v>887</v>
      </c>
      <c r="G457" t="s">
        <v>16</v>
      </c>
      <c r="H457" t="s">
        <v>1087</v>
      </c>
      <c r="I457">
        <v>2.1818</v>
      </c>
      <c r="J457">
        <v>49655.65</v>
      </c>
      <c r="K457">
        <v>22759.02924191035</v>
      </c>
    </row>
    <row r="458" spans="1:11" x14ac:dyDescent="0.25">
      <c r="A458" t="s">
        <v>2590</v>
      </c>
      <c r="B458" t="s">
        <v>2591</v>
      </c>
      <c r="C458" s="1">
        <v>41850</v>
      </c>
      <c r="D458" s="1">
        <v>41852</v>
      </c>
      <c r="E458">
        <v>1</v>
      </c>
      <c r="F458" t="s">
        <v>368</v>
      </c>
      <c r="G458" t="s">
        <v>16</v>
      </c>
      <c r="H458" t="s">
        <v>4709</v>
      </c>
      <c r="I458">
        <v>2.2277999999999998</v>
      </c>
      <c r="J458">
        <v>48327.040000000001</v>
      </c>
      <c r="K458">
        <v>21692.719274620704</v>
      </c>
    </row>
    <row r="459" spans="1:11" x14ac:dyDescent="0.25">
      <c r="A459" t="s">
        <v>2590</v>
      </c>
      <c r="B459" t="s">
        <v>2591</v>
      </c>
      <c r="C459" s="1">
        <v>41851</v>
      </c>
      <c r="D459" s="1">
        <v>41852</v>
      </c>
      <c r="E459">
        <v>1</v>
      </c>
      <c r="F459" t="s">
        <v>368</v>
      </c>
      <c r="G459" t="s">
        <v>16</v>
      </c>
      <c r="H459" t="s">
        <v>4710</v>
      </c>
      <c r="I459">
        <v>2.2446999999999999</v>
      </c>
      <c r="J459">
        <v>36665.99</v>
      </c>
      <c r="K459">
        <v>16334.472312558471</v>
      </c>
    </row>
    <row r="460" spans="1:11" x14ac:dyDescent="0.25">
      <c r="A460" t="s">
        <v>1088</v>
      </c>
      <c r="B460" t="s">
        <v>1089</v>
      </c>
      <c r="C460" s="1">
        <v>41864</v>
      </c>
      <c r="D460" s="1">
        <v>41866</v>
      </c>
      <c r="E460">
        <v>2</v>
      </c>
      <c r="F460" t="s">
        <v>368</v>
      </c>
      <c r="G460" t="s">
        <v>16</v>
      </c>
      <c r="H460" t="s">
        <v>1090</v>
      </c>
      <c r="I460">
        <v>2.2770000000000001</v>
      </c>
      <c r="J460">
        <v>38679.360000000001</v>
      </c>
      <c r="K460">
        <v>16986.982872200264</v>
      </c>
    </row>
    <row r="461" spans="1:11" x14ac:dyDescent="0.25">
      <c r="A461" t="s">
        <v>1072</v>
      </c>
      <c r="B461" t="s">
        <v>1073</v>
      </c>
      <c r="C461" s="1">
        <v>41859</v>
      </c>
      <c r="D461" s="1">
        <v>41864</v>
      </c>
      <c r="E461">
        <v>19972</v>
      </c>
      <c r="F461" t="s">
        <v>368</v>
      </c>
      <c r="G461" t="s">
        <v>16</v>
      </c>
      <c r="H461" t="s">
        <v>1091</v>
      </c>
      <c r="I461">
        <v>2.2801999999999998</v>
      </c>
      <c r="J461">
        <v>32674.400000000001</v>
      </c>
      <c r="K461">
        <v>14329.620208753618</v>
      </c>
    </row>
    <row r="462" spans="1:11" x14ac:dyDescent="0.25">
      <c r="A462" t="s">
        <v>3044</v>
      </c>
      <c r="B462" t="s">
        <v>3045</v>
      </c>
      <c r="C462" s="1">
        <v>41871</v>
      </c>
      <c r="D462" s="1">
        <v>41873</v>
      </c>
      <c r="E462">
        <v>2</v>
      </c>
      <c r="F462" t="s">
        <v>368</v>
      </c>
      <c r="G462" t="s">
        <v>16</v>
      </c>
      <c r="H462" t="s">
        <v>4711</v>
      </c>
      <c r="I462">
        <v>2.2587000000000002</v>
      </c>
      <c r="J462">
        <v>28948.880000000001</v>
      </c>
      <c r="K462">
        <v>12816.611325098507</v>
      </c>
    </row>
    <row r="463" spans="1:11" x14ac:dyDescent="0.25">
      <c r="A463" t="s">
        <v>4712</v>
      </c>
      <c r="B463" t="s">
        <v>4713</v>
      </c>
      <c r="C463" s="1">
        <v>41842</v>
      </c>
      <c r="D463" s="1">
        <v>41849</v>
      </c>
      <c r="E463">
        <v>23603</v>
      </c>
      <c r="F463" t="s">
        <v>311</v>
      </c>
      <c r="G463" t="s">
        <v>16</v>
      </c>
      <c r="H463" t="s">
        <v>4714</v>
      </c>
      <c r="I463">
        <v>2.2238000000000002</v>
      </c>
      <c r="J463">
        <v>140719.67000000001</v>
      </c>
      <c r="K463">
        <v>63278.923464340318</v>
      </c>
    </row>
    <row r="464" spans="1:11" x14ac:dyDescent="0.25">
      <c r="A464" t="s">
        <v>1075</v>
      </c>
      <c r="B464" t="s">
        <v>1076</v>
      </c>
      <c r="C464" s="1">
        <v>41859</v>
      </c>
      <c r="D464" s="1">
        <v>41862</v>
      </c>
      <c r="E464">
        <v>19680</v>
      </c>
      <c r="F464" t="s">
        <v>368</v>
      </c>
      <c r="G464" t="s">
        <v>16</v>
      </c>
      <c r="H464" t="s">
        <v>4715</v>
      </c>
      <c r="I464">
        <v>2.2801999999999998</v>
      </c>
      <c r="J464">
        <v>24349.54</v>
      </c>
      <c r="K464">
        <v>10678.686080168407</v>
      </c>
    </row>
    <row r="465" spans="1:11" x14ac:dyDescent="0.25">
      <c r="A465" t="s">
        <v>1075</v>
      </c>
      <c r="B465" t="s">
        <v>1076</v>
      </c>
      <c r="C465" s="1">
        <v>41859</v>
      </c>
      <c r="D465" s="1">
        <v>41862</v>
      </c>
      <c r="E465">
        <v>19680</v>
      </c>
      <c r="F465" t="s">
        <v>368</v>
      </c>
      <c r="G465" t="s">
        <v>16</v>
      </c>
      <c r="H465" t="s">
        <v>4716</v>
      </c>
      <c r="I465">
        <v>2.2801999999999998</v>
      </c>
      <c r="J465">
        <v>33857.949999999997</v>
      </c>
      <c r="K465">
        <v>14848.675554775897</v>
      </c>
    </row>
    <row r="466" spans="1:11" x14ac:dyDescent="0.25">
      <c r="A466" t="s">
        <v>1075</v>
      </c>
      <c r="B466" t="s">
        <v>1076</v>
      </c>
      <c r="C466" s="1">
        <v>41859</v>
      </c>
      <c r="D466" s="1">
        <v>41862</v>
      </c>
      <c r="E466">
        <v>19680</v>
      </c>
      <c r="F466" t="s">
        <v>368</v>
      </c>
      <c r="G466" t="s">
        <v>16</v>
      </c>
      <c r="H466" t="s">
        <v>4717</v>
      </c>
      <c r="I466">
        <v>2.2801999999999998</v>
      </c>
      <c r="J466">
        <v>24482.52</v>
      </c>
      <c r="K466">
        <v>10737.005525831068</v>
      </c>
    </row>
    <row r="467" spans="1:11" x14ac:dyDescent="0.25">
      <c r="A467" t="s">
        <v>1075</v>
      </c>
      <c r="B467" t="s">
        <v>1076</v>
      </c>
      <c r="C467" s="1">
        <v>41861</v>
      </c>
      <c r="D467" s="1">
        <v>41863</v>
      </c>
      <c r="E467">
        <v>19680</v>
      </c>
      <c r="F467" t="s">
        <v>368</v>
      </c>
      <c r="G467" t="s">
        <v>16</v>
      </c>
      <c r="H467" t="s">
        <v>4718</v>
      </c>
      <c r="I467">
        <v>2.2986</v>
      </c>
      <c r="J467">
        <v>24269.75</v>
      </c>
      <c r="K467">
        <v>10558.492125641695</v>
      </c>
    </row>
    <row r="468" spans="1:11" x14ac:dyDescent="0.25">
      <c r="A468" t="s">
        <v>1092</v>
      </c>
      <c r="C468" s="1">
        <v>41862</v>
      </c>
      <c r="D468" s="1">
        <v>41867</v>
      </c>
      <c r="E468">
        <v>27264</v>
      </c>
      <c r="F468" t="s">
        <v>344</v>
      </c>
      <c r="G468" t="s">
        <v>16</v>
      </c>
      <c r="H468" t="s">
        <v>1093</v>
      </c>
      <c r="I468">
        <v>2.2986</v>
      </c>
      <c r="J468">
        <v>1200</v>
      </c>
      <c r="K468">
        <v>522.05690420255803</v>
      </c>
    </row>
    <row r="469" spans="1:11" x14ac:dyDescent="0.25">
      <c r="A469" t="s">
        <v>1094</v>
      </c>
      <c r="B469" t="s">
        <v>1095</v>
      </c>
      <c r="C469" s="1">
        <v>41856</v>
      </c>
      <c r="D469" s="1">
        <v>41866</v>
      </c>
      <c r="E469">
        <v>2</v>
      </c>
      <c r="F469" t="s">
        <v>368</v>
      </c>
      <c r="G469" t="s">
        <v>16</v>
      </c>
      <c r="H469" t="s">
        <v>1096</v>
      </c>
      <c r="I469">
        <v>2.2576999999999998</v>
      </c>
      <c r="J469">
        <v>49653.51</v>
      </c>
      <c r="K469">
        <v>21992.961863843735</v>
      </c>
    </row>
    <row r="470" spans="1:11" x14ac:dyDescent="0.25">
      <c r="A470" t="s">
        <v>532</v>
      </c>
      <c r="B470" t="s">
        <v>1097</v>
      </c>
      <c r="C470" s="1">
        <v>41894</v>
      </c>
      <c r="D470" s="1">
        <v>41912</v>
      </c>
      <c r="E470">
        <v>7</v>
      </c>
      <c r="F470" t="s">
        <v>311</v>
      </c>
      <c r="G470" t="s">
        <v>16</v>
      </c>
      <c r="H470" t="s">
        <v>1098</v>
      </c>
      <c r="I470">
        <v>2.2879999999999998</v>
      </c>
      <c r="J470">
        <v>6731.68</v>
      </c>
      <c r="K470">
        <v>2942.1678321678323</v>
      </c>
    </row>
    <row r="471" spans="1:11" x14ac:dyDescent="0.25">
      <c r="A471" t="s">
        <v>618</v>
      </c>
      <c r="B471" t="s">
        <v>1099</v>
      </c>
      <c r="C471" s="1">
        <v>41899</v>
      </c>
      <c r="D471" s="1">
        <v>41906</v>
      </c>
      <c r="E471">
        <v>8</v>
      </c>
      <c r="F471" t="s">
        <v>280</v>
      </c>
      <c r="G471" t="s">
        <v>16</v>
      </c>
      <c r="H471" t="s">
        <v>1100</v>
      </c>
      <c r="I471">
        <v>2.3351000000000002</v>
      </c>
      <c r="J471">
        <v>3367.3</v>
      </c>
      <c r="K471">
        <v>1442.0367436084107</v>
      </c>
    </row>
    <row r="472" spans="1:11" x14ac:dyDescent="0.25">
      <c r="A472" t="s">
        <v>548</v>
      </c>
      <c r="B472" t="s">
        <v>1101</v>
      </c>
      <c r="C472" s="1">
        <v>41899</v>
      </c>
      <c r="D472" s="1">
        <v>41904</v>
      </c>
      <c r="E472">
        <v>7</v>
      </c>
      <c r="F472" t="s">
        <v>280</v>
      </c>
      <c r="G472" t="s">
        <v>16</v>
      </c>
      <c r="H472" t="s">
        <v>393</v>
      </c>
      <c r="I472">
        <v>2.3351000000000002</v>
      </c>
      <c r="J472">
        <v>3788.21</v>
      </c>
      <c r="K472">
        <v>1622.2902659415015</v>
      </c>
    </row>
    <row r="473" spans="1:11" x14ac:dyDescent="0.25">
      <c r="A473" t="s">
        <v>1102</v>
      </c>
      <c r="B473" t="s">
        <v>1103</v>
      </c>
      <c r="C473" s="1">
        <v>41906</v>
      </c>
      <c r="D473" s="1">
        <v>41911</v>
      </c>
      <c r="E473">
        <v>19980</v>
      </c>
      <c r="F473" t="s">
        <v>301</v>
      </c>
      <c r="G473" t="s">
        <v>16</v>
      </c>
      <c r="H473" t="s">
        <v>1104</v>
      </c>
      <c r="I473">
        <v>2.4026000000000001</v>
      </c>
      <c r="J473">
        <v>62370.01</v>
      </c>
      <c r="K473">
        <v>25959.381503371347</v>
      </c>
    </row>
    <row r="474" spans="1:11" x14ac:dyDescent="0.25">
      <c r="A474" t="s">
        <v>4719</v>
      </c>
      <c r="B474" t="s">
        <v>4720</v>
      </c>
      <c r="C474" s="1">
        <v>41907</v>
      </c>
      <c r="D474" s="1">
        <v>41911</v>
      </c>
      <c r="E474">
        <v>20306</v>
      </c>
      <c r="F474" t="s">
        <v>378</v>
      </c>
      <c r="G474" t="s">
        <v>16</v>
      </c>
      <c r="H474" t="s">
        <v>4721</v>
      </c>
      <c r="I474">
        <v>2.407</v>
      </c>
      <c r="J474">
        <v>17538.36</v>
      </c>
      <c r="K474">
        <v>7286.3980058163688</v>
      </c>
    </row>
    <row r="475" spans="1:11" x14ac:dyDescent="0.25">
      <c r="A475" t="s">
        <v>337</v>
      </c>
      <c r="B475" t="s">
        <v>1105</v>
      </c>
      <c r="C475" s="1">
        <v>41899</v>
      </c>
      <c r="D475" s="1">
        <v>41913</v>
      </c>
      <c r="E475">
        <v>20192</v>
      </c>
      <c r="F475" t="s">
        <v>311</v>
      </c>
      <c r="G475" t="s">
        <v>16</v>
      </c>
      <c r="H475" t="s">
        <v>1106</v>
      </c>
      <c r="I475">
        <v>2.3351000000000002</v>
      </c>
      <c r="J475">
        <v>81707.5</v>
      </c>
      <c r="K475">
        <v>34991.006809130231</v>
      </c>
    </row>
    <row r="476" spans="1:11" x14ac:dyDescent="0.25">
      <c r="A476" t="s">
        <v>1107</v>
      </c>
      <c r="B476" t="s">
        <v>1108</v>
      </c>
      <c r="C476" s="1">
        <v>41871</v>
      </c>
      <c r="D476" s="1">
        <v>41878</v>
      </c>
      <c r="E476">
        <v>2</v>
      </c>
      <c r="F476" t="s">
        <v>368</v>
      </c>
      <c r="G476" t="s">
        <v>16</v>
      </c>
      <c r="H476" t="s">
        <v>583</v>
      </c>
      <c r="I476">
        <v>2.2587000000000002</v>
      </c>
      <c r="J476">
        <v>28282</v>
      </c>
      <c r="K476">
        <v>12521.361845309249</v>
      </c>
    </row>
    <row r="477" spans="1:11" x14ac:dyDescent="0.25">
      <c r="A477" t="s">
        <v>4722</v>
      </c>
      <c r="B477" t="s">
        <v>4723</v>
      </c>
      <c r="C477" s="1">
        <v>41568</v>
      </c>
      <c r="D477" s="1">
        <v>41587</v>
      </c>
      <c r="E477">
        <v>18535</v>
      </c>
      <c r="F477" t="s">
        <v>318</v>
      </c>
      <c r="G477" t="s">
        <v>16</v>
      </c>
      <c r="H477" t="s">
        <v>4724</v>
      </c>
      <c r="I477">
        <v>2.1616</v>
      </c>
      <c r="J477">
        <v>59240.4</v>
      </c>
      <c r="K477">
        <v>27405.81051073279</v>
      </c>
    </row>
    <row r="478" spans="1:11" x14ac:dyDescent="0.25">
      <c r="A478" t="s">
        <v>1664</v>
      </c>
      <c r="B478" t="s">
        <v>1665</v>
      </c>
      <c r="C478" s="1">
        <v>41873</v>
      </c>
      <c r="D478" s="1">
        <v>41883</v>
      </c>
      <c r="E478">
        <v>2</v>
      </c>
      <c r="F478" t="s">
        <v>368</v>
      </c>
      <c r="G478" t="s">
        <v>16</v>
      </c>
      <c r="H478" t="s">
        <v>4725</v>
      </c>
      <c r="I478">
        <v>2.2582</v>
      </c>
      <c r="J478">
        <v>38194.35</v>
      </c>
      <c r="K478">
        <v>16913.625896731912</v>
      </c>
    </row>
    <row r="479" spans="1:11" x14ac:dyDescent="0.25">
      <c r="A479" t="s">
        <v>1140</v>
      </c>
      <c r="B479" t="s">
        <v>1141</v>
      </c>
      <c r="C479" s="1">
        <v>41874</v>
      </c>
      <c r="D479" s="1">
        <v>41883</v>
      </c>
      <c r="E479">
        <v>3</v>
      </c>
      <c r="F479" t="s">
        <v>368</v>
      </c>
      <c r="G479" t="s">
        <v>16</v>
      </c>
      <c r="H479" t="s">
        <v>4726</v>
      </c>
      <c r="I479">
        <v>2.2778</v>
      </c>
      <c r="J479">
        <v>38497.49</v>
      </c>
      <c r="K479">
        <v>16901.172183686012</v>
      </c>
    </row>
    <row r="480" spans="1:11" x14ac:dyDescent="0.25">
      <c r="A480" t="s">
        <v>1072</v>
      </c>
      <c r="B480" t="s">
        <v>1073</v>
      </c>
      <c r="C480" s="1">
        <v>41874</v>
      </c>
      <c r="D480" s="1">
        <v>41883</v>
      </c>
      <c r="E480">
        <v>19972</v>
      </c>
      <c r="F480" t="s">
        <v>368</v>
      </c>
      <c r="G480" t="s">
        <v>16</v>
      </c>
      <c r="H480" t="s">
        <v>4727</v>
      </c>
      <c r="I480">
        <v>2.2778</v>
      </c>
      <c r="J480">
        <v>28561.53</v>
      </c>
      <c r="K480">
        <v>12539.085960136974</v>
      </c>
    </row>
    <row r="481" spans="1:11" x14ac:dyDescent="0.25">
      <c r="A481" t="s">
        <v>1072</v>
      </c>
      <c r="B481" t="s">
        <v>1073</v>
      </c>
      <c r="C481" s="1">
        <v>41874</v>
      </c>
      <c r="D481" s="1">
        <v>41883</v>
      </c>
      <c r="E481">
        <v>19972</v>
      </c>
      <c r="F481" t="s">
        <v>368</v>
      </c>
      <c r="G481" t="s">
        <v>16</v>
      </c>
      <c r="H481" t="s">
        <v>4728</v>
      </c>
      <c r="I481">
        <v>2.2778</v>
      </c>
      <c r="J481">
        <v>38127.370000000003</v>
      </c>
      <c r="K481">
        <v>16738.682061638425</v>
      </c>
    </row>
    <row r="482" spans="1:11" x14ac:dyDescent="0.25">
      <c r="A482" t="s">
        <v>1072</v>
      </c>
      <c r="B482" t="s">
        <v>1073</v>
      </c>
      <c r="C482" s="1">
        <v>41873</v>
      </c>
      <c r="D482" s="1">
        <v>41883</v>
      </c>
      <c r="E482">
        <v>19972</v>
      </c>
      <c r="F482" t="s">
        <v>368</v>
      </c>
      <c r="G482" t="s">
        <v>16</v>
      </c>
      <c r="H482" t="s">
        <v>1109</v>
      </c>
      <c r="I482">
        <v>2.2582</v>
      </c>
      <c r="J482">
        <v>38882.980000000003</v>
      </c>
      <c r="K482">
        <v>17218.572314232573</v>
      </c>
    </row>
    <row r="483" spans="1:11" x14ac:dyDescent="0.25">
      <c r="A483" t="s">
        <v>1107</v>
      </c>
      <c r="B483" t="s">
        <v>1108</v>
      </c>
      <c r="C483" s="1">
        <v>41876</v>
      </c>
      <c r="D483" s="1">
        <v>41883</v>
      </c>
      <c r="E483">
        <v>2</v>
      </c>
      <c r="F483" t="s">
        <v>368</v>
      </c>
      <c r="G483" t="s">
        <v>16</v>
      </c>
      <c r="H483" t="s">
        <v>4729</v>
      </c>
      <c r="I483">
        <v>2.2778</v>
      </c>
      <c r="J483">
        <v>18118.900000000001</v>
      </c>
      <c r="K483">
        <v>7954.5614189129865</v>
      </c>
    </row>
    <row r="484" spans="1:11" x14ac:dyDescent="0.25">
      <c r="A484" t="s">
        <v>1111</v>
      </c>
      <c r="B484" t="s">
        <v>458</v>
      </c>
      <c r="C484" s="1">
        <v>41941</v>
      </c>
      <c r="D484" s="1">
        <v>41962</v>
      </c>
      <c r="E484">
        <v>20492</v>
      </c>
      <c r="F484" t="s">
        <v>301</v>
      </c>
      <c r="G484" t="s">
        <v>16</v>
      </c>
      <c r="H484" t="s">
        <v>4730</v>
      </c>
      <c r="I484">
        <v>2.4868999999999999</v>
      </c>
      <c r="J484">
        <v>12016</v>
      </c>
      <c r="K484">
        <v>4831.7182033857416</v>
      </c>
    </row>
    <row r="485" spans="1:11" x14ac:dyDescent="0.25">
      <c r="A485" t="s">
        <v>1111</v>
      </c>
      <c r="B485" t="s">
        <v>458</v>
      </c>
      <c r="C485" s="1">
        <v>41941</v>
      </c>
      <c r="D485" s="1">
        <v>41946</v>
      </c>
      <c r="E485">
        <v>20492</v>
      </c>
      <c r="F485" t="s">
        <v>301</v>
      </c>
      <c r="G485" t="s">
        <v>16</v>
      </c>
      <c r="H485" t="s">
        <v>4731</v>
      </c>
      <c r="I485">
        <v>2.4868999999999999</v>
      </c>
      <c r="J485">
        <v>143564.41</v>
      </c>
      <c r="K485">
        <v>57728.260082834051</v>
      </c>
    </row>
    <row r="486" spans="1:11" x14ac:dyDescent="0.25">
      <c r="A486" t="s">
        <v>563</v>
      </c>
      <c r="B486" t="s">
        <v>2603</v>
      </c>
      <c r="C486" s="1">
        <v>41932</v>
      </c>
      <c r="D486" s="1">
        <v>41947</v>
      </c>
      <c r="E486">
        <v>7</v>
      </c>
      <c r="F486" t="s">
        <v>311</v>
      </c>
      <c r="G486" t="s">
        <v>16</v>
      </c>
      <c r="H486" t="s">
        <v>4732</v>
      </c>
      <c r="I486">
        <v>2.4477000000000002</v>
      </c>
      <c r="J486">
        <v>3380.23</v>
      </c>
      <c r="K486">
        <v>1380.9821465048822</v>
      </c>
    </row>
    <row r="487" spans="1:11" x14ac:dyDescent="0.25">
      <c r="A487" t="s">
        <v>1102</v>
      </c>
      <c r="B487" t="s">
        <v>1103</v>
      </c>
      <c r="C487" s="1">
        <v>41929</v>
      </c>
      <c r="D487" s="1">
        <v>41935</v>
      </c>
      <c r="E487">
        <v>19980</v>
      </c>
      <c r="F487" t="s">
        <v>301</v>
      </c>
      <c r="G487" t="s">
        <v>16</v>
      </c>
      <c r="H487" t="s">
        <v>1110</v>
      </c>
      <c r="I487">
        <v>2.4769999999999999</v>
      </c>
      <c r="J487">
        <v>35725</v>
      </c>
      <c r="K487">
        <v>14422.688736374646</v>
      </c>
    </row>
    <row r="488" spans="1:11" x14ac:dyDescent="0.25">
      <c r="A488" t="s">
        <v>551</v>
      </c>
      <c r="B488" t="s">
        <v>3491</v>
      </c>
      <c r="C488" s="1">
        <v>41908</v>
      </c>
      <c r="D488" s="1">
        <v>41934</v>
      </c>
      <c r="E488">
        <v>6</v>
      </c>
      <c r="F488" t="s">
        <v>278</v>
      </c>
      <c r="G488" t="s">
        <v>16</v>
      </c>
      <c r="H488" t="s">
        <v>4733</v>
      </c>
      <c r="I488">
        <v>2.4085000000000001</v>
      </c>
      <c r="J488">
        <v>5820</v>
      </c>
      <c r="K488">
        <v>2416.4417687357277</v>
      </c>
    </row>
    <row r="489" spans="1:11" x14ac:dyDescent="0.25">
      <c r="A489" t="s">
        <v>4734</v>
      </c>
      <c r="B489" t="s">
        <v>4735</v>
      </c>
      <c r="C489" s="1">
        <v>41956</v>
      </c>
      <c r="D489" s="1">
        <v>41965</v>
      </c>
      <c r="E489">
        <v>20118</v>
      </c>
      <c r="F489" t="s">
        <v>3060</v>
      </c>
      <c r="G489" t="s">
        <v>16</v>
      </c>
      <c r="H489" t="s">
        <v>4736</v>
      </c>
      <c r="I489">
        <v>2.5550000000000002</v>
      </c>
      <c r="J489">
        <v>4856.54</v>
      </c>
      <c r="K489">
        <v>1900.79843444227</v>
      </c>
    </row>
    <row r="490" spans="1:11" x14ac:dyDescent="0.25">
      <c r="A490" t="s">
        <v>1111</v>
      </c>
      <c r="B490" t="s">
        <v>458</v>
      </c>
      <c r="C490" s="1">
        <v>41934</v>
      </c>
      <c r="D490" s="1">
        <v>41941</v>
      </c>
      <c r="E490">
        <v>20492</v>
      </c>
      <c r="F490" t="s">
        <v>301</v>
      </c>
      <c r="G490" t="s">
        <v>16</v>
      </c>
      <c r="H490" t="s">
        <v>1112</v>
      </c>
      <c r="I490">
        <v>2.4796999999999998</v>
      </c>
      <c r="J490">
        <v>63000</v>
      </c>
      <c r="K490">
        <v>25406.299149090617</v>
      </c>
    </row>
    <row r="491" spans="1:11" x14ac:dyDescent="0.25">
      <c r="A491" t="s">
        <v>1113</v>
      </c>
      <c r="B491" t="s">
        <v>1114</v>
      </c>
      <c r="C491" s="1">
        <v>41908</v>
      </c>
      <c r="D491" s="1">
        <v>41923</v>
      </c>
      <c r="E491">
        <v>19753</v>
      </c>
      <c r="F491" t="s">
        <v>338</v>
      </c>
      <c r="G491" t="s">
        <v>16</v>
      </c>
      <c r="H491" t="s">
        <v>1115</v>
      </c>
      <c r="I491">
        <v>2.4085000000000001</v>
      </c>
      <c r="J491">
        <v>24277.68</v>
      </c>
      <c r="K491">
        <v>10080</v>
      </c>
    </row>
    <row r="492" spans="1:11" x14ac:dyDescent="0.25">
      <c r="A492" t="s">
        <v>1116</v>
      </c>
      <c r="B492" t="s">
        <v>1117</v>
      </c>
      <c r="C492" s="1">
        <v>41985</v>
      </c>
      <c r="D492" s="1">
        <v>41990</v>
      </c>
      <c r="E492">
        <v>21004</v>
      </c>
      <c r="F492" t="s">
        <v>368</v>
      </c>
      <c r="G492" t="s">
        <v>16</v>
      </c>
      <c r="H492" t="s">
        <v>1118</v>
      </c>
      <c r="I492">
        <v>2.6271</v>
      </c>
      <c r="J492">
        <v>42448.56</v>
      </c>
      <c r="K492">
        <v>16157.953637090328</v>
      </c>
    </row>
    <row r="493" spans="1:11" x14ac:dyDescent="0.25">
      <c r="A493" t="s">
        <v>1143</v>
      </c>
      <c r="B493" t="s">
        <v>575</v>
      </c>
      <c r="C493" s="1">
        <v>41984</v>
      </c>
      <c r="D493" s="1">
        <v>42024</v>
      </c>
      <c r="E493">
        <v>13</v>
      </c>
      <c r="F493" t="s">
        <v>301</v>
      </c>
      <c r="G493" t="s">
        <v>16</v>
      </c>
      <c r="H493" t="s">
        <v>4737</v>
      </c>
      <c r="I493">
        <v>2.5931000000000002</v>
      </c>
      <c r="J493">
        <v>8294.99</v>
      </c>
      <c r="K493">
        <v>3198.8700782846786</v>
      </c>
    </row>
    <row r="494" spans="1:11" x14ac:dyDescent="0.25">
      <c r="A494" t="s">
        <v>1102</v>
      </c>
      <c r="B494" t="s">
        <v>1103</v>
      </c>
      <c r="C494" s="1">
        <v>41985</v>
      </c>
      <c r="D494" s="1">
        <v>41991</v>
      </c>
      <c r="E494">
        <v>19980</v>
      </c>
      <c r="F494" t="s">
        <v>301</v>
      </c>
      <c r="G494" t="s">
        <v>16</v>
      </c>
      <c r="H494" t="s">
        <v>4738</v>
      </c>
      <c r="I494">
        <v>2.6271</v>
      </c>
      <c r="J494">
        <v>45390.01</v>
      </c>
      <c r="K494">
        <v>17277.610292718207</v>
      </c>
    </row>
    <row r="495" spans="1:11" x14ac:dyDescent="0.25">
      <c r="A495" t="s">
        <v>1102</v>
      </c>
      <c r="B495" t="s">
        <v>1103</v>
      </c>
      <c r="C495" s="1">
        <v>41971</v>
      </c>
      <c r="D495" s="1">
        <v>41984</v>
      </c>
      <c r="E495">
        <v>19980</v>
      </c>
      <c r="F495" t="s">
        <v>301</v>
      </c>
      <c r="G495" t="s">
        <v>16</v>
      </c>
      <c r="H495" t="s">
        <v>1119</v>
      </c>
      <c r="I495">
        <v>2.5065</v>
      </c>
      <c r="J495">
        <v>7240.01</v>
      </c>
      <c r="K495">
        <v>2888.4939158188708</v>
      </c>
    </row>
    <row r="496" spans="1:11" x14ac:dyDescent="0.25">
      <c r="A496" t="s">
        <v>1120</v>
      </c>
      <c r="B496" t="s">
        <v>1121</v>
      </c>
      <c r="C496" s="1">
        <v>42004</v>
      </c>
      <c r="D496" s="1">
        <v>42013</v>
      </c>
      <c r="E496">
        <v>21633</v>
      </c>
      <c r="F496" t="s">
        <v>368</v>
      </c>
      <c r="G496" t="s">
        <v>16</v>
      </c>
      <c r="H496" t="s">
        <v>4739</v>
      </c>
      <c r="I496">
        <v>2.6562000000000001</v>
      </c>
      <c r="J496">
        <v>63716.1</v>
      </c>
      <c r="K496">
        <v>23987.689180031623</v>
      </c>
    </row>
    <row r="497" spans="1:11" x14ac:dyDescent="0.25">
      <c r="A497" t="s">
        <v>1120</v>
      </c>
      <c r="B497" t="s">
        <v>1121</v>
      </c>
      <c r="C497" s="1">
        <v>42011</v>
      </c>
      <c r="D497" s="1">
        <v>42013</v>
      </c>
      <c r="E497">
        <v>21633</v>
      </c>
      <c r="F497" t="s">
        <v>368</v>
      </c>
      <c r="G497" t="s">
        <v>16</v>
      </c>
      <c r="H497" t="s">
        <v>1122</v>
      </c>
      <c r="I497">
        <v>2.7023000000000001</v>
      </c>
      <c r="J497">
        <v>67787.78</v>
      </c>
      <c r="K497">
        <v>25085.216297228286</v>
      </c>
    </row>
    <row r="498" spans="1:11" x14ac:dyDescent="0.25">
      <c r="A498" t="s">
        <v>1123</v>
      </c>
      <c r="B498" t="s">
        <v>1124</v>
      </c>
      <c r="C498" s="1">
        <v>42010</v>
      </c>
      <c r="D498" s="1">
        <v>42012</v>
      </c>
      <c r="E498">
        <v>21159</v>
      </c>
      <c r="F498" t="s">
        <v>368</v>
      </c>
      <c r="G498" t="s">
        <v>16</v>
      </c>
      <c r="H498" t="s">
        <v>1125</v>
      </c>
      <c r="I498">
        <v>2.7107000000000001</v>
      </c>
      <c r="J498">
        <v>34769.550000000003</v>
      </c>
      <c r="K498">
        <v>12826.779060759214</v>
      </c>
    </row>
    <row r="499" spans="1:11" x14ac:dyDescent="0.25">
      <c r="A499" t="s">
        <v>1102</v>
      </c>
      <c r="B499" t="s">
        <v>1103</v>
      </c>
      <c r="C499" s="1">
        <v>41970</v>
      </c>
      <c r="D499" s="1">
        <v>41982</v>
      </c>
      <c r="E499">
        <v>19980</v>
      </c>
      <c r="F499" t="s">
        <v>301</v>
      </c>
      <c r="G499" t="s">
        <v>16</v>
      </c>
      <c r="H499" t="s">
        <v>1126</v>
      </c>
      <c r="I499">
        <v>2.5103</v>
      </c>
      <c r="J499">
        <v>65160.01</v>
      </c>
      <c r="K499">
        <v>25957.060909054693</v>
      </c>
    </row>
    <row r="500" spans="1:11" x14ac:dyDescent="0.25">
      <c r="A500" t="s">
        <v>4740</v>
      </c>
      <c r="B500" t="s">
        <v>4741</v>
      </c>
      <c r="C500" s="1">
        <v>41965</v>
      </c>
      <c r="D500" s="1">
        <v>41965</v>
      </c>
      <c r="E500">
        <v>96</v>
      </c>
      <c r="F500" t="s">
        <v>301</v>
      </c>
      <c r="G500" t="s">
        <v>16</v>
      </c>
      <c r="H500" t="s">
        <v>4742</v>
      </c>
      <c r="I500">
        <v>2.5390999999999999</v>
      </c>
      <c r="J500">
        <v>38400</v>
      </c>
      <c r="K500">
        <v>15123.468945689418</v>
      </c>
    </row>
    <row r="501" spans="1:11" x14ac:dyDescent="0.25">
      <c r="A501" t="s">
        <v>532</v>
      </c>
      <c r="B501" t="s">
        <v>1097</v>
      </c>
      <c r="C501" s="1">
        <v>41904</v>
      </c>
      <c r="D501" s="1">
        <v>41970</v>
      </c>
      <c r="E501">
        <v>7</v>
      </c>
      <c r="F501" t="s">
        <v>311</v>
      </c>
      <c r="G501" t="s">
        <v>16</v>
      </c>
      <c r="H501" t="s">
        <v>1127</v>
      </c>
      <c r="I501">
        <v>2.3656000000000001</v>
      </c>
      <c r="J501">
        <v>153024.95999999999</v>
      </c>
      <c r="K501">
        <v>64687.588772404466</v>
      </c>
    </row>
    <row r="502" spans="1:11" x14ac:dyDescent="0.25">
      <c r="A502" t="s">
        <v>1128</v>
      </c>
      <c r="B502" t="s">
        <v>1129</v>
      </c>
      <c r="C502" s="1">
        <v>41965</v>
      </c>
      <c r="D502" s="1">
        <v>41978</v>
      </c>
      <c r="E502">
        <v>19900</v>
      </c>
      <c r="F502" t="s">
        <v>301</v>
      </c>
      <c r="G502" t="s">
        <v>16</v>
      </c>
      <c r="H502" t="s">
        <v>1130</v>
      </c>
      <c r="I502">
        <v>2.5390999999999999</v>
      </c>
      <c r="J502">
        <v>75150</v>
      </c>
      <c r="K502">
        <v>29597.101335118743</v>
      </c>
    </row>
    <row r="503" spans="1:11" x14ac:dyDescent="0.25">
      <c r="A503" t="s">
        <v>1131</v>
      </c>
      <c r="B503" t="s">
        <v>1132</v>
      </c>
      <c r="C503" s="1">
        <v>42011</v>
      </c>
      <c r="D503" s="1">
        <v>42022</v>
      </c>
      <c r="E503">
        <v>20276</v>
      </c>
      <c r="F503" t="s">
        <v>368</v>
      </c>
      <c r="G503" t="s">
        <v>16</v>
      </c>
      <c r="H503" t="s">
        <v>1133</v>
      </c>
      <c r="I503">
        <v>2.7023000000000001</v>
      </c>
      <c r="J503">
        <v>66199</v>
      </c>
      <c r="K503">
        <v>24497.280094734117</v>
      </c>
    </row>
    <row r="504" spans="1:11" x14ac:dyDescent="0.25">
      <c r="A504" t="s">
        <v>1116</v>
      </c>
      <c r="B504" t="s">
        <v>1117</v>
      </c>
      <c r="C504" s="1">
        <v>41985</v>
      </c>
      <c r="D504" s="1">
        <v>41989</v>
      </c>
      <c r="E504">
        <v>21004</v>
      </c>
      <c r="F504" t="s">
        <v>368</v>
      </c>
      <c r="G504" t="s">
        <v>16</v>
      </c>
      <c r="H504" t="s">
        <v>386</v>
      </c>
      <c r="I504">
        <v>2.6271</v>
      </c>
      <c r="J504">
        <v>33721.410000000003</v>
      </c>
      <c r="K504">
        <v>12835.982642457462</v>
      </c>
    </row>
    <row r="505" spans="1:11" x14ac:dyDescent="0.25">
      <c r="A505" t="s">
        <v>398</v>
      </c>
      <c r="B505" t="s">
        <v>397</v>
      </c>
      <c r="C505" s="1">
        <v>42017</v>
      </c>
      <c r="D505" s="1">
        <v>42024</v>
      </c>
      <c r="E505">
        <v>22135</v>
      </c>
      <c r="F505" t="s">
        <v>370</v>
      </c>
      <c r="G505" t="s">
        <v>16</v>
      </c>
      <c r="H505" t="s">
        <v>4743</v>
      </c>
      <c r="I505">
        <v>2.6575000000000002</v>
      </c>
      <c r="J505">
        <v>142442</v>
      </c>
      <c r="K505">
        <v>53600</v>
      </c>
    </row>
    <row r="506" spans="1:11" x14ac:dyDescent="0.25">
      <c r="A506" t="s">
        <v>1102</v>
      </c>
      <c r="B506" t="s">
        <v>1103</v>
      </c>
      <c r="C506" s="1">
        <v>41985</v>
      </c>
      <c r="D506" s="1">
        <v>41988</v>
      </c>
      <c r="E506">
        <v>19980</v>
      </c>
      <c r="F506" t="s">
        <v>301</v>
      </c>
      <c r="G506" t="s">
        <v>16</v>
      </c>
      <c r="H506" t="s">
        <v>4744</v>
      </c>
      <c r="I506">
        <v>2.6271</v>
      </c>
      <c r="J506">
        <v>68085</v>
      </c>
      <c r="K506">
        <v>25916.40972935937</v>
      </c>
    </row>
    <row r="507" spans="1:11" x14ac:dyDescent="0.25">
      <c r="A507" t="s">
        <v>1102</v>
      </c>
      <c r="B507" t="s">
        <v>1103</v>
      </c>
      <c r="C507" s="1">
        <v>41985</v>
      </c>
      <c r="D507" s="1">
        <v>41988</v>
      </c>
      <c r="E507">
        <v>19980</v>
      </c>
      <c r="F507" t="s">
        <v>301</v>
      </c>
      <c r="G507" t="s">
        <v>16</v>
      </c>
      <c r="H507" t="s">
        <v>1134</v>
      </c>
      <c r="I507">
        <v>2.6271</v>
      </c>
      <c r="J507">
        <v>68085</v>
      </c>
      <c r="K507">
        <v>25916.40972935937</v>
      </c>
    </row>
    <row r="508" spans="1:11" x14ac:dyDescent="0.25">
      <c r="A508" t="s">
        <v>1116</v>
      </c>
      <c r="B508" t="s">
        <v>1117</v>
      </c>
      <c r="C508" s="1">
        <v>41985</v>
      </c>
      <c r="D508" s="1">
        <v>41988</v>
      </c>
      <c r="E508">
        <v>21004</v>
      </c>
      <c r="F508" t="s">
        <v>368</v>
      </c>
      <c r="G508" t="s">
        <v>16</v>
      </c>
      <c r="H508" t="s">
        <v>4745</v>
      </c>
      <c r="I508">
        <v>2.6271</v>
      </c>
      <c r="J508">
        <v>34944.85</v>
      </c>
      <c r="K508">
        <v>13301.682463552967</v>
      </c>
    </row>
    <row r="509" spans="1:11" x14ac:dyDescent="0.25">
      <c r="A509" t="s">
        <v>1116</v>
      </c>
      <c r="B509" t="s">
        <v>1117</v>
      </c>
      <c r="C509" s="1">
        <v>41985</v>
      </c>
      <c r="D509" s="1">
        <v>41988</v>
      </c>
      <c r="E509">
        <v>21004</v>
      </c>
      <c r="F509" t="s">
        <v>368</v>
      </c>
      <c r="G509" t="s">
        <v>16</v>
      </c>
      <c r="H509" t="s">
        <v>1135</v>
      </c>
      <c r="I509">
        <v>2.6271</v>
      </c>
      <c r="J509">
        <v>33549.230000000003</v>
      </c>
      <c r="K509">
        <v>12770.442693464276</v>
      </c>
    </row>
    <row r="510" spans="1:11" x14ac:dyDescent="0.25">
      <c r="A510" t="s">
        <v>1111</v>
      </c>
      <c r="B510" t="s">
        <v>458</v>
      </c>
      <c r="C510" s="1">
        <v>41965</v>
      </c>
      <c r="D510" s="1">
        <v>41974</v>
      </c>
      <c r="E510">
        <v>20492</v>
      </c>
      <c r="F510" t="s">
        <v>301</v>
      </c>
      <c r="G510" t="s">
        <v>16</v>
      </c>
      <c r="H510" t="s">
        <v>1136</v>
      </c>
      <c r="I510">
        <v>2.5390999999999999</v>
      </c>
      <c r="J510">
        <v>68530</v>
      </c>
      <c r="K510">
        <v>26989.878303335827</v>
      </c>
    </row>
    <row r="511" spans="1:11" x14ac:dyDescent="0.25">
      <c r="A511" t="s">
        <v>1111</v>
      </c>
      <c r="B511" t="s">
        <v>458</v>
      </c>
      <c r="C511" s="1">
        <v>41965</v>
      </c>
      <c r="D511" s="1">
        <v>41974</v>
      </c>
      <c r="E511">
        <v>20492</v>
      </c>
      <c r="F511" t="s">
        <v>301</v>
      </c>
      <c r="G511" t="s">
        <v>16</v>
      </c>
      <c r="H511" t="s">
        <v>4746</v>
      </c>
      <c r="I511">
        <v>2.5390999999999999</v>
      </c>
      <c r="J511">
        <v>222074.99</v>
      </c>
      <c r="K511">
        <v>87462.088929148129</v>
      </c>
    </row>
    <row r="512" spans="1:11" x14ac:dyDescent="0.25">
      <c r="A512" t="s">
        <v>1137</v>
      </c>
      <c r="B512" t="s">
        <v>1138</v>
      </c>
      <c r="C512" s="1">
        <v>41992</v>
      </c>
      <c r="D512" s="1">
        <v>41992</v>
      </c>
      <c r="E512">
        <v>20065</v>
      </c>
      <c r="F512" t="s">
        <v>368</v>
      </c>
      <c r="G512" t="s">
        <v>16</v>
      </c>
      <c r="H512" t="s">
        <v>1139</v>
      </c>
      <c r="I512">
        <v>2.6676000000000002</v>
      </c>
      <c r="J512">
        <v>34338.82</v>
      </c>
      <c r="K512">
        <v>12872.552106762632</v>
      </c>
    </row>
    <row r="513" spans="1:11" x14ac:dyDescent="0.25">
      <c r="A513" t="s">
        <v>2142</v>
      </c>
      <c r="B513" t="s">
        <v>592</v>
      </c>
      <c r="C513" s="1">
        <v>41984</v>
      </c>
      <c r="D513" s="1">
        <v>42011</v>
      </c>
      <c r="E513">
        <v>14</v>
      </c>
      <c r="F513" t="s">
        <v>301</v>
      </c>
      <c r="G513" t="s">
        <v>16</v>
      </c>
      <c r="H513" t="s">
        <v>4747</v>
      </c>
      <c r="I513">
        <v>2.5931000000000002</v>
      </c>
      <c r="J513">
        <v>25056.01</v>
      </c>
      <c r="K513">
        <v>9662.5698970344383</v>
      </c>
    </row>
    <row r="514" spans="1:11" x14ac:dyDescent="0.25">
      <c r="A514" t="s">
        <v>1116</v>
      </c>
      <c r="B514" t="s">
        <v>1117</v>
      </c>
      <c r="C514" s="1">
        <v>42023</v>
      </c>
      <c r="D514" s="1">
        <v>42024</v>
      </c>
      <c r="E514">
        <v>21004</v>
      </c>
      <c r="F514" t="s">
        <v>368</v>
      </c>
      <c r="G514" t="s">
        <v>16</v>
      </c>
      <c r="H514" t="s">
        <v>4748</v>
      </c>
      <c r="I514">
        <v>2.6193</v>
      </c>
      <c r="J514">
        <v>33738.74</v>
      </c>
      <c r="K514">
        <v>12880.823120681098</v>
      </c>
    </row>
    <row r="515" spans="1:11" x14ac:dyDescent="0.25">
      <c r="A515" t="s">
        <v>1140</v>
      </c>
      <c r="B515" t="s">
        <v>1141</v>
      </c>
      <c r="C515" s="1">
        <v>41992</v>
      </c>
      <c r="D515" s="1">
        <v>42016</v>
      </c>
      <c r="E515">
        <v>3</v>
      </c>
      <c r="F515" t="s">
        <v>368</v>
      </c>
      <c r="G515" t="s">
        <v>16</v>
      </c>
      <c r="H515" t="s">
        <v>1142</v>
      </c>
      <c r="I515">
        <v>2.6676000000000002</v>
      </c>
      <c r="J515">
        <v>15756.89</v>
      </c>
      <c r="K515">
        <v>5906.7663817663815</v>
      </c>
    </row>
    <row r="516" spans="1:11" x14ac:dyDescent="0.25">
      <c r="A516" t="s">
        <v>1143</v>
      </c>
      <c r="B516" t="s">
        <v>575</v>
      </c>
      <c r="C516" s="1">
        <v>41982</v>
      </c>
      <c r="D516" s="1">
        <v>41982</v>
      </c>
      <c r="E516">
        <v>13</v>
      </c>
      <c r="F516" t="s">
        <v>301</v>
      </c>
      <c r="G516" t="s">
        <v>16</v>
      </c>
      <c r="H516" t="s">
        <v>1144</v>
      </c>
      <c r="I516">
        <v>2.5922999999999998</v>
      </c>
      <c r="J516">
        <v>14218</v>
      </c>
      <c r="K516">
        <v>5484.7047023878413</v>
      </c>
    </row>
    <row r="517" spans="1:11" x14ac:dyDescent="0.25">
      <c r="A517" t="s">
        <v>1145</v>
      </c>
      <c r="B517" t="s">
        <v>1146</v>
      </c>
      <c r="C517" s="1">
        <v>42040</v>
      </c>
      <c r="D517" s="1">
        <v>42041</v>
      </c>
      <c r="E517">
        <v>21007</v>
      </c>
      <c r="F517" t="s">
        <v>368</v>
      </c>
      <c r="G517" t="s">
        <v>16</v>
      </c>
      <c r="H517" t="s">
        <v>1147</v>
      </c>
      <c r="I517">
        <v>2.7147999999999999</v>
      </c>
      <c r="J517">
        <v>36188.089999999997</v>
      </c>
      <c r="K517">
        <v>13329.928539855606</v>
      </c>
    </row>
    <row r="518" spans="1:11" x14ac:dyDescent="0.25">
      <c r="A518" t="s">
        <v>1145</v>
      </c>
      <c r="B518" t="s">
        <v>1146</v>
      </c>
      <c r="C518" s="1">
        <v>42042</v>
      </c>
      <c r="D518" s="1">
        <v>42044</v>
      </c>
      <c r="E518">
        <v>21007</v>
      </c>
      <c r="F518" t="s">
        <v>368</v>
      </c>
      <c r="G518" t="s">
        <v>16</v>
      </c>
      <c r="H518" t="s">
        <v>730</v>
      </c>
      <c r="I518">
        <v>2.7641</v>
      </c>
      <c r="J518">
        <v>43094.28</v>
      </c>
      <c r="K518">
        <v>15590.709453348287</v>
      </c>
    </row>
    <row r="519" spans="1:11" x14ac:dyDescent="0.25">
      <c r="A519" t="s">
        <v>4749</v>
      </c>
      <c r="C519" s="1">
        <v>42023</v>
      </c>
      <c r="D519" s="1">
        <v>42043</v>
      </c>
      <c r="E519">
        <v>781</v>
      </c>
      <c r="F519" t="s">
        <v>334</v>
      </c>
      <c r="G519" t="s">
        <v>16</v>
      </c>
      <c r="H519" t="s">
        <v>4750</v>
      </c>
      <c r="I519">
        <v>2.6193</v>
      </c>
      <c r="J519">
        <v>517.99</v>
      </c>
      <c r="K519">
        <v>197.75894322910702</v>
      </c>
    </row>
    <row r="520" spans="1:11" x14ac:dyDescent="0.25">
      <c r="A520" t="s">
        <v>1137</v>
      </c>
      <c r="B520" t="s">
        <v>1138</v>
      </c>
      <c r="C520" s="1">
        <v>42048</v>
      </c>
      <c r="D520" s="1">
        <v>42053</v>
      </c>
      <c r="E520">
        <v>20065</v>
      </c>
      <c r="F520" t="s">
        <v>368</v>
      </c>
      <c r="G520" t="s">
        <v>16</v>
      </c>
      <c r="H520" t="s">
        <v>1148</v>
      </c>
      <c r="I520">
        <v>2.8624999999999998</v>
      </c>
      <c r="J520">
        <v>36377.99</v>
      </c>
      <c r="K520">
        <v>12708.468122270742</v>
      </c>
    </row>
    <row r="521" spans="1:11" x14ac:dyDescent="0.25">
      <c r="A521" t="s">
        <v>1149</v>
      </c>
      <c r="C521" s="1">
        <v>42032</v>
      </c>
      <c r="D521" s="1">
        <v>42037</v>
      </c>
      <c r="E521">
        <v>209</v>
      </c>
      <c r="F521" t="s">
        <v>519</v>
      </c>
      <c r="G521" t="s">
        <v>16</v>
      </c>
      <c r="H521" t="s">
        <v>1150</v>
      </c>
      <c r="I521">
        <v>2.5809000000000002</v>
      </c>
      <c r="J521">
        <v>367.25</v>
      </c>
      <c r="K521">
        <v>142.2953233368205</v>
      </c>
    </row>
    <row r="522" spans="1:11" x14ac:dyDescent="0.25">
      <c r="A522" t="s">
        <v>1116</v>
      </c>
      <c r="B522" t="s">
        <v>1117</v>
      </c>
      <c r="C522" s="1">
        <v>42025</v>
      </c>
      <c r="D522" s="1">
        <v>42027</v>
      </c>
      <c r="E522">
        <v>21004</v>
      </c>
      <c r="F522" t="s">
        <v>368</v>
      </c>
      <c r="G522" t="s">
        <v>16</v>
      </c>
      <c r="H522" t="s">
        <v>1151</v>
      </c>
      <c r="I522">
        <v>2.6246999999999998</v>
      </c>
      <c r="J522">
        <v>42799.11</v>
      </c>
      <c r="K522">
        <v>16306.286432735169</v>
      </c>
    </row>
    <row r="523" spans="1:11" x14ac:dyDescent="0.25">
      <c r="A523" t="s">
        <v>1116</v>
      </c>
      <c r="B523" t="s">
        <v>1117</v>
      </c>
      <c r="C523" s="1">
        <v>42037</v>
      </c>
      <c r="D523" s="1">
        <v>42039</v>
      </c>
      <c r="E523">
        <v>21004</v>
      </c>
      <c r="F523" t="s">
        <v>368</v>
      </c>
      <c r="G523" t="s">
        <v>16</v>
      </c>
      <c r="H523" t="s">
        <v>1152</v>
      </c>
      <c r="I523">
        <v>2.6623000000000001</v>
      </c>
      <c r="J523">
        <v>42594.93</v>
      </c>
      <c r="K523">
        <v>15999.297599819705</v>
      </c>
    </row>
    <row r="524" spans="1:11" x14ac:dyDescent="0.25">
      <c r="A524" t="s">
        <v>1145</v>
      </c>
      <c r="B524" t="s">
        <v>1146</v>
      </c>
      <c r="C524" s="1">
        <v>42038</v>
      </c>
      <c r="D524" s="1">
        <v>42039</v>
      </c>
      <c r="E524">
        <v>21007</v>
      </c>
      <c r="F524" t="s">
        <v>368</v>
      </c>
      <c r="G524" t="s">
        <v>16</v>
      </c>
      <c r="H524" t="s">
        <v>4751</v>
      </c>
      <c r="I524">
        <v>2.6894</v>
      </c>
      <c r="J524">
        <v>44617.55</v>
      </c>
      <c r="K524">
        <v>16590.150219379786</v>
      </c>
    </row>
    <row r="525" spans="1:11" x14ac:dyDescent="0.25">
      <c r="A525" t="s">
        <v>423</v>
      </c>
      <c r="B525" t="s">
        <v>1160</v>
      </c>
      <c r="C525" s="1">
        <v>42048</v>
      </c>
      <c r="D525" s="1">
        <v>42050</v>
      </c>
      <c r="E525">
        <v>22776</v>
      </c>
      <c r="F525" t="s">
        <v>368</v>
      </c>
      <c r="G525" t="s">
        <v>16</v>
      </c>
      <c r="H525" t="s">
        <v>4752</v>
      </c>
      <c r="I525">
        <v>2.8624999999999998</v>
      </c>
      <c r="J525">
        <v>47637</v>
      </c>
      <c r="K525">
        <v>16641.746724890829</v>
      </c>
    </row>
    <row r="526" spans="1:11" x14ac:dyDescent="0.25">
      <c r="A526" t="s">
        <v>369</v>
      </c>
      <c r="B526" t="s">
        <v>1153</v>
      </c>
      <c r="C526" s="1">
        <v>42051</v>
      </c>
      <c r="D526" s="1">
        <v>42052</v>
      </c>
      <c r="E526">
        <v>22709</v>
      </c>
      <c r="F526" t="s">
        <v>368</v>
      </c>
      <c r="G526" t="s">
        <v>16</v>
      </c>
      <c r="H526" t="s">
        <v>1154</v>
      </c>
      <c r="I526">
        <v>2.8391999999999999</v>
      </c>
      <c r="J526">
        <v>49246.97</v>
      </c>
      <c r="K526">
        <v>17345.368413637643</v>
      </c>
    </row>
    <row r="527" spans="1:11" x14ac:dyDescent="0.25">
      <c r="A527" t="s">
        <v>369</v>
      </c>
      <c r="B527" t="s">
        <v>1153</v>
      </c>
      <c r="C527" s="1">
        <v>42051</v>
      </c>
      <c r="D527" s="1">
        <v>42054</v>
      </c>
      <c r="E527">
        <v>22709</v>
      </c>
      <c r="F527" t="s">
        <v>368</v>
      </c>
      <c r="G527" t="s">
        <v>16</v>
      </c>
      <c r="H527" t="s">
        <v>1155</v>
      </c>
      <c r="I527">
        <v>2.8391999999999999</v>
      </c>
      <c r="J527">
        <v>66730.05</v>
      </c>
      <c r="K527">
        <v>23503.117075232462</v>
      </c>
    </row>
    <row r="528" spans="1:11" x14ac:dyDescent="0.25">
      <c r="A528" t="s">
        <v>1156</v>
      </c>
      <c r="C528" s="1">
        <v>42033</v>
      </c>
      <c r="D528" s="1">
        <v>42041</v>
      </c>
      <c r="E528">
        <v>22471</v>
      </c>
      <c r="F528" t="s">
        <v>289</v>
      </c>
      <c r="G528" t="s">
        <v>16</v>
      </c>
      <c r="H528" t="s">
        <v>1157</v>
      </c>
      <c r="I528">
        <v>2.5796999999999999</v>
      </c>
      <c r="J528">
        <v>54.57</v>
      </c>
      <c r="K528">
        <v>21.153622514245843</v>
      </c>
    </row>
    <row r="529" spans="1:11" x14ac:dyDescent="0.25">
      <c r="A529" t="s">
        <v>4753</v>
      </c>
      <c r="C529" s="1">
        <v>42032</v>
      </c>
      <c r="D529" s="1">
        <v>42041</v>
      </c>
      <c r="E529">
        <v>22441</v>
      </c>
      <c r="F529" t="s">
        <v>289</v>
      </c>
      <c r="G529" t="s">
        <v>16</v>
      </c>
      <c r="H529" t="s">
        <v>4754</v>
      </c>
      <c r="I529">
        <v>2.5809000000000002</v>
      </c>
      <c r="J529">
        <v>29.8</v>
      </c>
      <c r="K529">
        <v>11.54635979697005</v>
      </c>
    </row>
    <row r="530" spans="1:11" x14ac:dyDescent="0.25">
      <c r="A530" t="s">
        <v>1158</v>
      </c>
      <c r="C530" s="1">
        <v>42032</v>
      </c>
      <c r="D530" s="1">
        <v>42041</v>
      </c>
      <c r="E530">
        <v>22442</v>
      </c>
      <c r="F530" t="s">
        <v>326</v>
      </c>
      <c r="G530" t="s">
        <v>16</v>
      </c>
      <c r="H530" t="s">
        <v>1159</v>
      </c>
      <c r="I530">
        <v>2.5809000000000002</v>
      </c>
      <c r="J530">
        <v>67.790000000000006</v>
      </c>
      <c r="K530">
        <v>26.266031229416097</v>
      </c>
    </row>
    <row r="531" spans="1:11" x14ac:dyDescent="0.25">
      <c r="A531" t="s">
        <v>423</v>
      </c>
      <c r="B531" t="s">
        <v>1160</v>
      </c>
      <c r="C531" s="1">
        <v>42055</v>
      </c>
      <c r="D531" s="1">
        <v>42056</v>
      </c>
      <c r="E531">
        <v>22776</v>
      </c>
      <c r="F531" t="s">
        <v>368</v>
      </c>
      <c r="G531" t="s">
        <v>16</v>
      </c>
      <c r="H531" t="s">
        <v>1161</v>
      </c>
      <c r="I531">
        <v>2.8544999999999998</v>
      </c>
      <c r="J531">
        <v>35887.480000000003</v>
      </c>
      <c r="K531">
        <v>12572.24732877912</v>
      </c>
    </row>
    <row r="532" spans="1:11" x14ac:dyDescent="0.25">
      <c r="A532" t="s">
        <v>4755</v>
      </c>
      <c r="C532" s="1">
        <v>42040</v>
      </c>
      <c r="D532" s="1">
        <v>42048</v>
      </c>
      <c r="E532">
        <v>22741</v>
      </c>
      <c r="F532" t="s">
        <v>306</v>
      </c>
      <c r="G532" t="s">
        <v>16</v>
      </c>
      <c r="H532" t="s">
        <v>4756</v>
      </c>
      <c r="I532">
        <v>2.7147999999999999</v>
      </c>
      <c r="J532">
        <v>140</v>
      </c>
      <c r="K532">
        <v>51.569176366583172</v>
      </c>
    </row>
    <row r="533" spans="1:11" x14ac:dyDescent="0.25">
      <c r="A533" t="s">
        <v>1116</v>
      </c>
      <c r="B533" t="s">
        <v>1117</v>
      </c>
      <c r="C533" s="1">
        <v>42023</v>
      </c>
      <c r="D533" s="1">
        <v>42025</v>
      </c>
      <c r="E533">
        <v>21004</v>
      </c>
      <c r="F533" t="s">
        <v>368</v>
      </c>
      <c r="G533" t="s">
        <v>16</v>
      </c>
      <c r="H533" t="s">
        <v>4757</v>
      </c>
      <c r="I533">
        <v>2.6193</v>
      </c>
      <c r="J533">
        <v>32753.87</v>
      </c>
      <c r="K533">
        <v>12504.818081166724</v>
      </c>
    </row>
    <row r="534" spans="1:11" x14ac:dyDescent="0.25">
      <c r="A534" t="s">
        <v>1116</v>
      </c>
      <c r="B534" t="s">
        <v>1117</v>
      </c>
      <c r="C534" s="1">
        <v>42025</v>
      </c>
      <c r="D534" s="1">
        <v>42026</v>
      </c>
      <c r="E534">
        <v>21004</v>
      </c>
      <c r="F534" t="s">
        <v>368</v>
      </c>
      <c r="G534" t="s">
        <v>16</v>
      </c>
      <c r="H534" t="s">
        <v>1162</v>
      </c>
      <c r="I534">
        <v>2.6246999999999998</v>
      </c>
      <c r="J534">
        <v>33889.800000000003</v>
      </c>
      <c r="K534">
        <v>12911.875642930621</v>
      </c>
    </row>
    <row r="535" spans="1:11" x14ac:dyDescent="0.25">
      <c r="A535" t="s">
        <v>1116</v>
      </c>
      <c r="B535" t="s">
        <v>1117</v>
      </c>
      <c r="C535" s="1">
        <v>42026</v>
      </c>
      <c r="D535" s="1">
        <v>42028</v>
      </c>
      <c r="E535">
        <v>21004</v>
      </c>
      <c r="F535" t="s">
        <v>368</v>
      </c>
      <c r="G535" t="s">
        <v>16</v>
      </c>
      <c r="H535" t="s">
        <v>4758</v>
      </c>
      <c r="I535">
        <v>2.5968</v>
      </c>
      <c r="J535">
        <v>35267.35</v>
      </c>
      <c r="K535">
        <v>13581.080560690079</v>
      </c>
    </row>
    <row r="536" spans="1:11" x14ac:dyDescent="0.25">
      <c r="A536" t="s">
        <v>1116</v>
      </c>
      <c r="B536" t="s">
        <v>1117</v>
      </c>
      <c r="C536" s="1">
        <v>42025</v>
      </c>
      <c r="D536" s="1">
        <v>42028</v>
      </c>
      <c r="E536">
        <v>21004</v>
      </c>
      <c r="F536" t="s">
        <v>368</v>
      </c>
      <c r="G536" t="s">
        <v>16</v>
      </c>
      <c r="H536" t="s">
        <v>1163</v>
      </c>
      <c r="I536">
        <v>2.6246999999999998</v>
      </c>
      <c r="J536">
        <v>45135.09</v>
      </c>
      <c r="K536">
        <v>17196.2852897474</v>
      </c>
    </row>
    <row r="537" spans="1:11" x14ac:dyDescent="0.25">
      <c r="A537" t="s">
        <v>1116</v>
      </c>
      <c r="B537" t="s">
        <v>1117</v>
      </c>
      <c r="C537" s="1">
        <v>42026</v>
      </c>
      <c r="D537" s="1">
        <v>42028</v>
      </c>
      <c r="E537">
        <v>21004</v>
      </c>
      <c r="F537" t="s">
        <v>368</v>
      </c>
      <c r="G537" t="s">
        <v>16</v>
      </c>
      <c r="H537" t="s">
        <v>4759</v>
      </c>
      <c r="I537">
        <v>2.5968</v>
      </c>
      <c r="J537">
        <v>45972.07</v>
      </c>
      <c r="K537">
        <v>17703.354128157731</v>
      </c>
    </row>
    <row r="538" spans="1:11" x14ac:dyDescent="0.25">
      <c r="A538" t="s">
        <v>363</v>
      </c>
      <c r="B538" t="s">
        <v>4760</v>
      </c>
      <c r="C538" s="1">
        <v>42027</v>
      </c>
      <c r="D538" s="1">
        <v>42034</v>
      </c>
      <c r="E538">
        <v>22207</v>
      </c>
      <c r="F538" t="s">
        <v>278</v>
      </c>
      <c r="G538" t="s">
        <v>16</v>
      </c>
      <c r="H538" t="s">
        <v>4761</v>
      </c>
      <c r="I538">
        <v>2.5754000000000001</v>
      </c>
      <c r="J538">
        <v>92316</v>
      </c>
      <c r="K538">
        <v>35845.305583598667</v>
      </c>
    </row>
    <row r="539" spans="1:11" x14ac:dyDescent="0.25">
      <c r="A539" t="s">
        <v>399</v>
      </c>
      <c r="B539" t="s">
        <v>1164</v>
      </c>
      <c r="C539" s="1">
        <v>42030</v>
      </c>
      <c r="D539" s="1">
        <v>42036</v>
      </c>
      <c r="E539">
        <v>22284</v>
      </c>
      <c r="F539" t="s">
        <v>301</v>
      </c>
      <c r="G539" t="s">
        <v>16</v>
      </c>
      <c r="H539" t="s">
        <v>1165</v>
      </c>
      <c r="I539">
        <v>2.5855999999999999</v>
      </c>
      <c r="J539">
        <v>74700</v>
      </c>
      <c r="K539">
        <v>28890.779702970296</v>
      </c>
    </row>
    <row r="540" spans="1:11" x14ac:dyDescent="0.25">
      <c r="A540" t="s">
        <v>1145</v>
      </c>
      <c r="B540" t="s">
        <v>1146</v>
      </c>
      <c r="C540" s="1">
        <v>42046</v>
      </c>
      <c r="D540" s="1">
        <v>42052</v>
      </c>
      <c r="E540">
        <v>21007</v>
      </c>
      <c r="F540" t="s">
        <v>368</v>
      </c>
      <c r="G540" t="s">
        <v>16</v>
      </c>
      <c r="H540" t="s">
        <v>1166</v>
      </c>
      <c r="I540">
        <v>2.8576000000000001</v>
      </c>
      <c r="J540">
        <v>35209.589999999997</v>
      </c>
      <c r="K540">
        <v>12321.385078387459</v>
      </c>
    </row>
    <row r="541" spans="1:11" x14ac:dyDescent="0.25">
      <c r="A541" t="s">
        <v>445</v>
      </c>
      <c r="B541" t="s">
        <v>1685</v>
      </c>
      <c r="C541" s="1">
        <v>42055</v>
      </c>
      <c r="D541" s="1">
        <v>42076</v>
      </c>
      <c r="E541">
        <v>22321</v>
      </c>
      <c r="F541" t="s">
        <v>309</v>
      </c>
      <c r="G541" t="s">
        <v>16</v>
      </c>
      <c r="H541" t="s">
        <v>4762</v>
      </c>
      <c r="I541">
        <v>2.8544999999999998</v>
      </c>
      <c r="J541">
        <v>25566.59</v>
      </c>
      <c r="K541">
        <v>8956.5913469959705</v>
      </c>
    </row>
    <row r="542" spans="1:11" x14ac:dyDescent="0.25">
      <c r="A542" t="s">
        <v>4763</v>
      </c>
      <c r="C542" s="1">
        <v>42072</v>
      </c>
      <c r="D542" s="1">
        <v>42074</v>
      </c>
      <c r="E542">
        <v>260</v>
      </c>
      <c r="F542" t="s">
        <v>519</v>
      </c>
      <c r="G542" t="s">
        <v>16</v>
      </c>
      <c r="H542" t="s">
        <v>4764</v>
      </c>
      <c r="I542">
        <v>3.0366</v>
      </c>
      <c r="J542">
        <v>374.47</v>
      </c>
      <c r="K542">
        <v>123.31884344332477</v>
      </c>
    </row>
    <row r="543" spans="1:11" x14ac:dyDescent="0.25">
      <c r="A543" t="s">
        <v>403</v>
      </c>
      <c r="B543" t="s">
        <v>1167</v>
      </c>
      <c r="C543" s="1">
        <v>42073</v>
      </c>
      <c r="D543" s="1">
        <v>42080</v>
      </c>
      <c r="E543">
        <v>23357</v>
      </c>
      <c r="F543" t="s">
        <v>402</v>
      </c>
      <c r="G543" t="s">
        <v>16</v>
      </c>
      <c r="H543" t="s">
        <v>1168</v>
      </c>
      <c r="I543">
        <v>3.1017999999999999</v>
      </c>
      <c r="J543">
        <v>209372</v>
      </c>
      <c r="K543">
        <v>67500.161196724483</v>
      </c>
    </row>
    <row r="544" spans="1:11" x14ac:dyDescent="0.25">
      <c r="A544" t="s">
        <v>342</v>
      </c>
      <c r="B544" t="s">
        <v>1169</v>
      </c>
      <c r="C544" s="1">
        <v>42090</v>
      </c>
      <c r="D544" s="1">
        <v>42095</v>
      </c>
      <c r="E544">
        <v>2</v>
      </c>
      <c r="F544" t="s">
        <v>301</v>
      </c>
      <c r="G544" t="s">
        <v>16</v>
      </c>
      <c r="H544" t="s">
        <v>1170</v>
      </c>
      <c r="I544">
        <v>3.1915</v>
      </c>
      <c r="J544">
        <v>79830.009999999995</v>
      </c>
      <c r="K544">
        <v>25013.319755600816</v>
      </c>
    </row>
    <row r="545" spans="1:11" x14ac:dyDescent="0.25">
      <c r="A545" t="s">
        <v>423</v>
      </c>
      <c r="B545" t="s">
        <v>1160</v>
      </c>
      <c r="C545" s="1">
        <v>42068</v>
      </c>
      <c r="D545" s="1">
        <v>42070</v>
      </c>
      <c r="E545">
        <v>22776</v>
      </c>
      <c r="F545" t="s">
        <v>368</v>
      </c>
      <c r="G545" t="s">
        <v>16</v>
      </c>
      <c r="H545" t="s">
        <v>1171</v>
      </c>
      <c r="I545">
        <v>2.9803999999999999</v>
      </c>
      <c r="J545">
        <v>47785.52</v>
      </c>
      <c r="K545">
        <v>16033.257280901893</v>
      </c>
    </row>
    <row r="546" spans="1:11" x14ac:dyDescent="0.25">
      <c r="A546" t="s">
        <v>492</v>
      </c>
      <c r="B546" t="s">
        <v>1172</v>
      </c>
      <c r="C546" s="1">
        <v>42054</v>
      </c>
      <c r="D546" s="1">
        <v>42054</v>
      </c>
      <c r="E546">
        <v>22290</v>
      </c>
      <c r="F546" t="s">
        <v>309</v>
      </c>
      <c r="G546" t="s">
        <v>16</v>
      </c>
      <c r="H546" t="s">
        <v>1173</v>
      </c>
      <c r="I546">
        <v>2.843</v>
      </c>
      <c r="J546">
        <v>60593.88</v>
      </c>
      <c r="K546">
        <v>21313.359127682026</v>
      </c>
    </row>
    <row r="547" spans="1:11" x14ac:dyDescent="0.25">
      <c r="A547" t="s">
        <v>367</v>
      </c>
      <c r="B547" t="s">
        <v>2647</v>
      </c>
      <c r="C547" s="1">
        <v>42069</v>
      </c>
      <c r="D547" s="1">
        <v>42076</v>
      </c>
      <c r="E547">
        <v>23071</v>
      </c>
      <c r="F547" t="s">
        <v>301</v>
      </c>
      <c r="G547" t="s">
        <v>16</v>
      </c>
      <c r="H547" t="s">
        <v>4765</v>
      </c>
      <c r="I547">
        <v>2.9931000000000001</v>
      </c>
      <c r="J547">
        <v>394480.01</v>
      </c>
      <c r="K547">
        <v>131796.4685443186</v>
      </c>
    </row>
    <row r="548" spans="1:11" x14ac:dyDescent="0.25">
      <c r="A548" t="s">
        <v>1137</v>
      </c>
      <c r="B548" t="s">
        <v>1138</v>
      </c>
      <c r="C548" s="1">
        <v>42082</v>
      </c>
      <c r="D548" s="1">
        <v>42087</v>
      </c>
      <c r="E548">
        <v>20065</v>
      </c>
      <c r="F548" t="s">
        <v>368</v>
      </c>
      <c r="G548" t="s">
        <v>16</v>
      </c>
      <c r="H548" t="s">
        <v>1365</v>
      </c>
      <c r="I548">
        <v>3.2517999999999998</v>
      </c>
      <c r="J548">
        <v>41505.4</v>
      </c>
      <c r="K548">
        <v>12763.823113352604</v>
      </c>
    </row>
    <row r="549" spans="1:11" x14ac:dyDescent="0.25">
      <c r="A549" t="s">
        <v>1174</v>
      </c>
      <c r="C549" s="1">
        <v>42068</v>
      </c>
      <c r="D549" s="1">
        <v>42072</v>
      </c>
      <c r="E549">
        <v>245</v>
      </c>
      <c r="F549" t="s">
        <v>519</v>
      </c>
      <c r="G549" t="s">
        <v>16</v>
      </c>
      <c r="H549" t="s">
        <v>440</v>
      </c>
      <c r="I549">
        <v>2.9803999999999999</v>
      </c>
      <c r="J549">
        <v>184</v>
      </c>
      <c r="K549">
        <v>61.736679640316737</v>
      </c>
    </row>
    <row r="550" spans="1:11" x14ac:dyDescent="0.25">
      <c r="A550" t="s">
        <v>1137</v>
      </c>
      <c r="B550" t="s">
        <v>1138</v>
      </c>
      <c r="C550" s="1">
        <v>42059</v>
      </c>
      <c r="D550" s="1">
        <v>42076</v>
      </c>
      <c r="E550">
        <v>20065</v>
      </c>
      <c r="F550" t="s">
        <v>368</v>
      </c>
      <c r="G550" t="s">
        <v>16</v>
      </c>
      <c r="H550" t="s">
        <v>4766</v>
      </c>
      <c r="I550">
        <v>2.8811</v>
      </c>
      <c r="J550">
        <v>36723.72</v>
      </c>
      <c r="K550">
        <v>12746.423241123182</v>
      </c>
    </row>
    <row r="551" spans="1:11" x14ac:dyDescent="0.25">
      <c r="A551" t="s">
        <v>1175</v>
      </c>
      <c r="B551" t="s">
        <v>1176</v>
      </c>
      <c r="C551" s="1">
        <v>42069</v>
      </c>
      <c r="D551" s="1">
        <v>42076</v>
      </c>
      <c r="E551">
        <v>20066</v>
      </c>
      <c r="F551" t="s">
        <v>368</v>
      </c>
      <c r="G551" t="s">
        <v>16</v>
      </c>
      <c r="H551" t="s">
        <v>1177</v>
      </c>
      <c r="I551">
        <v>2.9931000000000001</v>
      </c>
      <c r="J551">
        <v>51864.63</v>
      </c>
      <c r="K551">
        <v>17328.064548461462</v>
      </c>
    </row>
    <row r="552" spans="1:11" x14ac:dyDescent="0.25">
      <c r="A552" t="s">
        <v>1175</v>
      </c>
      <c r="B552" t="s">
        <v>1176</v>
      </c>
      <c r="C552" s="1">
        <v>42068</v>
      </c>
      <c r="D552" s="1">
        <v>42076</v>
      </c>
      <c r="E552">
        <v>20066</v>
      </c>
      <c r="F552" t="s">
        <v>368</v>
      </c>
      <c r="G552" t="s">
        <v>16</v>
      </c>
      <c r="H552" t="s">
        <v>1178</v>
      </c>
      <c r="I552">
        <v>2.9803999999999999</v>
      </c>
      <c r="J552">
        <v>37489.660000000003</v>
      </c>
      <c r="K552">
        <v>12578.734398067374</v>
      </c>
    </row>
    <row r="553" spans="1:11" x14ac:dyDescent="0.25">
      <c r="A553" t="s">
        <v>445</v>
      </c>
      <c r="B553" t="s">
        <v>1685</v>
      </c>
      <c r="C553" s="1">
        <v>42073</v>
      </c>
      <c r="D553" s="1">
        <v>42076</v>
      </c>
      <c r="E553">
        <v>22321</v>
      </c>
      <c r="F553" t="s">
        <v>309</v>
      </c>
      <c r="G553" t="s">
        <v>16</v>
      </c>
      <c r="H553" t="s">
        <v>4767</v>
      </c>
      <c r="I553">
        <v>3.1017999999999999</v>
      </c>
      <c r="J553">
        <v>26201.37</v>
      </c>
      <c r="K553">
        <v>8447.1500419111489</v>
      </c>
    </row>
    <row r="554" spans="1:11" x14ac:dyDescent="0.25">
      <c r="A554" t="s">
        <v>1102</v>
      </c>
      <c r="B554" t="s">
        <v>1103</v>
      </c>
      <c r="C554" s="1">
        <v>42060</v>
      </c>
      <c r="D554" s="1">
        <v>42074</v>
      </c>
      <c r="E554">
        <v>19980</v>
      </c>
      <c r="F554" t="s">
        <v>301</v>
      </c>
      <c r="G554" t="s">
        <v>16</v>
      </c>
      <c r="H554" t="s">
        <v>1179</v>
      </c>
      <c r="I554">
        <v>2.8649</v>
      </c>
      <c r="J554">
        <v>33060</v>
      </c>
      <c r="K554">
        <v>11539.669796502496</v>
      </c>
    </row>
    <row r="555" spans="1:11" x14ac:dyDescent="0.25">
      <c r="A555" t="s">
        <v>302</v>
      </c>
      <c r="B555" t="s">
        <v>1180</v>
      </c>
      <c r="C555" s="1">
        <v>42060</v>
      </c>
      <c r="D555" s="1">
        <v>42074</v>
      </c>
      <c r="E555">
        <v>23070</v>
      </c>
      <c r="F555" t="s">
        <v>301</v>
      </c>
      <c r="G555" t="s">
        <v>16</v>
      </c>
      <c r="H555" t="s">
        <v>1181</v>
      </c>
      <c r="I555">
        <v>2.8649</v>
      </c>
      <c r="J555">
        <v>25227.99</v>
      </c>
      <c r="K555">
        <v>8805.8885126880523</v>
      </c>
    </row>
    <row r="556" spans="1:11" x14ac:dyDescent="0.25">
      <c r="A556" t="s">
        <v>4768</v>
      </c>
      <c r="C556" s="1">
        <v>42132</v>
      </c>
      <c r="D556" s="1">
        <v>42137</v>
      </c>
      <c r="E556">
        <v>22554</v>
      </c>
      <c r="F556" t="s">
        <v>519</v>
      </c>
      <c r="G556" t="s">
        <v>16</v>
      </c>
      <c r="H556" t="s">
        <v>4769</v>
      </c>
      <c r="I556">
        <v>3.0421</v>
      </c>
      <c r="J556">
        <v>712.92</v>
      </c>
      <c r="K556">
        <v>234.35127050392822</v>
      </c>
    </row>
    <row r="557" spans="1:11" x14ac:dyDescent="0.25">
      <c r="A557" t="s">
        <v>1182</v>
      </c>
      <c r="C557" s="1">
        <v>42132</v>
      </c>
      <c r="D557" s="1">
        <v>42137</v>
      </c>
      <c r="E557">
        <v>22556</v>
      </c>
      <c r="F557" t="s">
        <v>519</v>
      </c>
      <c r="G557" t="s">
        <v>16</v>
      </c>
      <c r="H557" t="s">
        <v>574</v>
      </c>
      <c r="I557">
        <v>3.0421</v>
      </c>
      <c r="J557">
        <v>86.11</v>
      </c>
      <c r="K557">
        <v>28.306104335820649</v>
      </c>
    </row>
    <row r="558" spans="1:11" x14ac:dyDescent="0.25">
      <c r="A558" t="s">
        <v>626</v>
      </c>
      <c r="B558" t="s">
        <v>2162</v>
      </c>
      <c r="C558" s="1">
        <v>42136</v>
      </c>
      <c r="D558" s="1">
        <v>42144</v>
      </c>
      <c r="E558">
        <v>2</v>
      </c>
      <c r="F558" t="s">
        <v>301</v>
      </c>
      <c r="G558" t="s">
        <v>16</v>
      </c>
      <c r="H558" t="s">
        <v>4770</v>
      </c>
      <c r="I558">
        <v>3.0175000000000001</v>
      </c>
      <c r="J558">
        <v>16840</v>
      </c>
      <c r="K558">
        <v>5580.778790389395</v>
      </c>
    </row>
    <row r="559" spans="1:11" x14ac:dyDescent="0.25">
      <c r="A559" t="s">
        <v>611</v>
      </c>
      <c r="B559" t="s">
        <v>2164</v>
      </c>
      <c r="C559" s="1">
        <v>42152</v>
      </c>
      <c r="D559" s="1">
        <v>42166</v>
      </c>
      <c r="E559">
        <v>3</v>
      </c>
      <c r="F559" t="s">
        <v>301</v>
      </c>
      <c r="G559" t="s">
        <v>16</v>
      </c>
      <c r="H559" t="s">
        <v>4771</v>
      </c>
      <c r="I559">
        <v>3.1739999999999999</v>
      </c>
      <c r="J559">
        <v>78120.009999999995</v>
      </c>
      <c r="K559">
        <v>24612.47952110901</v>
      </c>
    </row>
    <row r="560" spans="1:11" x14ac:dyDescent="0.25">
      <c r="A560" t="s">
        <v>454</v>
      </c>
      <c r="B560" t="s">
        <v>1183</v>
      </c>
      <c r="C560" s="1">
        <v>42180</v>
      </c>
      <c r="D560" s="1">
        <v>42184</v>
      </c>
      <c r="E560">
        <v>3</v>
      </c>
      <c r="F560" t="s">
        <v>368</v>
      </c>
      <c r="G560" t="s">
        <v>16</v>
      </c>
      <c r="H560" t="s">
        <v>1184</v>
      </c>
      <c r="I560">
        <v>3.0851999999999999</v>
      </c>
      <c r="J560">
        <v>45437.8</v>
      </c>
      <c r="K560">
        <v>14727.667574225334</v>
      </c>
    </row>
    <row r="561" spans="1:11" x14ac:dyDescent="0.25">
      <c r="A561" t="s">
        <v>463</v>
      </c>
      <c r="B561" t="s">
        <v>1185</v>
      </c>
      <c r="C561" s="1">
        <v>42090</v>
      </c>
      <c r="D561" s="1">
        <v>42095</v>
      </c>
      <c r="E561">
        <v>2</v>
      </c>
      <c r="F561" t="s">
        <v>301</v>
      </c>
      <c r="G561" t="s">
        <v>16</v>
      </c>
      <c r="H561" t="s">
        <v>1186</v>
      </c>
      <c r="I561">
        <v>3.1915</v>
      </c>
      <c r="J561">
        <v>79830.009999999995</v>
      </c>
      <c r="K561">
        <v>25013.319755600816</v>
      </c>
    </row>
    <row r="562" spans="1:11" x14ac:dyDescent="0.25">
      <c r="A562" t="s">
        <v>454</v>
      </c>
      <c r="B562" t="s">
        <v>1183</v>
      </c>
      <c r="C562" s="1">
        <v>42178</v>
      </c>
      <c r="D562" s="1">
        <v>42180</v>
      </c>
      <c r="E562">
        <v>3</v>
      </c>
      <c r="F562" t="s">
        <v>368</v>
      </c>
      <c r="G562" t="s">
        <v>16</v>
      </c>
      <c r="H562" t="s">
        <v>1187</v>
      </c>
      <c r="I562">
        <v>3.0756999999999999</v>
      </c>
      <c r="J562">
        <v>45717.05</v>
      </c>
      <c r="K562">
        <v>14863.949669993823</v>
      </c>
    </row>
    <row r="563" spans="1:11" x14ac:dyDescent="0.25">
      <c r="A563" t="s">
        <v>485</v>
      </c>
      <c r="B563" t="s">
        <v>1188</v>
      </c>
      <c r="C563" s="1">
        <v>42174</v>
      </c>
      <c r="D563" s="1">
        <v>42185</v>
      </c>
      <c r="E563">
        <v>3</v>
      </c>
      <c r="F563" t="s">
        <v>368</v>
      </c>
      <c r="G563" t="s">
        <v>16</v>
      </c>
      <c r="H563" t="s">
        <v>1189</v>
      </c>
      <c r="I563">
        <v>3.0472000000000001</v>
      </c>
      <c r="J563">
        <v>44224.23</v>
      </c>
      <c r="K563">
        <v>14513.071016014703</v>
      </c>
    </row>
    <row r="564" spans="1:11" x14ac:dyDescent="0.25">
      <c r="A564" t="s">
        <v>4772</v>
      </c>
      <c r="C564" s="1">
        <v>42152</v>
      </c>
      <c r="D564" s="1">
        <v>42153</v>
      </c>
      <c r="E564">
        <v>22611</v>
      </c>
      <c r="F564" t="s">
        <v>519</v>
      </c>
      <c r="G564" t="s">
        <v>16</v>
      </c>
      <c r="H564" t="s">
        <v>4773</v>
      </c>
      <c r="I564">
        <v>3.1739999999999999</v>
      </c>
      <c r="J564">
        <v>14.97</v>
      </c>
      <c r="K564">
        <v>4.7164461247637055</v>
      </c>
    </row>
    <row r="565" spans="1:11" x14ac:dyDescent="0.25">
      <c r="A565" t="s">
        <v>405</v>
      </c>
      <c r="B565" t="s">
        <v>1703</v>
      </c>
      <c r="C565" s="1">
        <v>42175</v>
      </c>
      <c r="D565" s="1">
        <v>42178</v>
      </c>
      <c r="E565">
        <v>4</v>
      </c>
      <c r="F565" t="s">
        <v>368</v>
      </c>
      <c r="G565" t="s">
        <v>16</v>
      </c>
      <c r="H565" t="s">
        <v>4774</v>
      </c>
      <c r="I565">
        <v>3.0788000000000002</v>
      </c>
      <c r="J565">
        <v>44343.64</v>
      </c>
      <c r="K565">
        <v>14402.897232688059</v>
      </c>
    </row>
    <row r="566" spans="1:11" x14ac:dyDescent="0.25">
      <c r="A566" t="s">
        <v>345</v>
      </c>
      <c r="B566" t="s">
        <v>1190</v>
      </c>
      <c r="C566" s="1">
        <v>42164</v>
      </c>
      <c r="D566" s="1">
        <v>42166</v>
      </c>
      <c r="E566">
        <v>3</v>
      </c>
      <c r="F566" t="s">
        <v>309</v>
      </c>
      <c r="G566" t="s">
        <v>16</v>
      </c>
      <c r="H566" t="s">
        <v>1191</v>
      </c>
      <c r="I566">
        <v>3.1190000000000002</v>
      </c>
      <c r="J566">
        <v>117658</v>
      </c>
      <c r="K566">
        <v>37722.988137223467</v>
      </c>
    </row>
    <row r="567" spans="1:11" x14ac:dyDescent="0.25">
      <c r="A567" t="s">
        <v>610</v>
      </c>
      <c r="B567" t="s">
        <v>1192</v>
      </c>
      <c r="C567" s="1">
        <v>42181</v>
      </c>
      <c r="D567" s="1">
        <v>42192</v>
      </c>
      <c r="E567">
        <v>5</v>
      </c>
      <c r="F567" t="s">
        <v>368</v>
      </c>
      <c r="G567" t="s">
        <v>16</v>
      </c>
      <c r="H567" t="s">
        <v>1193</v>
      </c>
      <c r="I567">
        <v>3.1015000000000001</v>
      </c>
      <c r="J567">
        <v>32178.67</v>
      </c>
      <c r="K567">
        <v>10375.195872964694</v>
      </c>
    </row>
    <row r="568" spans="1:11" x14ac:dyDescent="0.25">
      <c r="A568" t="s">
        <v>610</v>
      </c>
      <c r="B568" t="s">
        <v>1192</v>
      </c>
      <c r="C568" s="1">
        <v>42181</v>
      </c>
      <c r="D568" s="1">
        <v>42192</v>
      </c>
      <c r="E568">
        <v>5</v>
      </c>
      <c r="F568" t="s">
        <v>368</v>
      </c>
      <c r="G568" t="s">
        <v>16</v>
      </c>
      <c r="H568" t="s">
        <v>1194</v>
      </c>
      <c r="I568">
        <v>3.1015000000000001</v>
      </c>
      <c r="J568">
        <v>33968.370000000003</v>
      </c>
      <c r="K568">
        <v>10952.239239077866</v>
      </c>
    </row>
    <row r="569" spans="1:11" x14ac:dyDescent="0.25">
      <c r="A569" t="s">
        <v>610</v>
      </c>
      <c r="B569" t="s">
        <v>1192</v>
      </c>
      <c r="C569" s="1">
        <v>42191</v>
      </c>
      <c r="D569" s="1">
        <v>42192</v>
      </c>
      <c r="E569">
        <v>5</v>
      </c>
      <c r="F569" t="s">
        <v>368</v>
      </c>
      <c r="G569" t="s">
        <v>16</v>
      </c>
      <c r="H569" t="s">
        <v>4775</v>
      </c>
      <c r="I569">
        <v>3.1271</v>
      </c>
      <c r="J569">
        <v>45293.26</v>
      </c>
      <c r="K569">
        <v>14484.109878161875</v>
      </c>
    </row>
    <row r="570" spans="1:11" x14ac:dyDescent="0.25">
      <c r="A570" t="s">
        <v>610</v>
      </c>
      <c r="B570" t="s">
        <v>1192</v>
      </c>
      <c r="C570" s="1">
        <v>42180</v>
      </c>
      <c r="D570" s="1">
        <v>42192</v>
      </c>
      <c r="E570">
        <v>5</v>
      </c>
      <c r="F570" t="s">
        <v>368</v>
      </c>
      <c r="G570" t="s">
        <v>16</v>
      </c>
      <c r="H570" t="s">
        <v>1195</v>
      </c>
      <c r="I570">
        <v>3.0851999999999999</v>
      </c>
      <c r="J570">
        <v>44489.5</v>
      </c>
      <c r="K570">
        <v>14420.296901335409</v>
      </c>
    </row>
    <row r="571" spans="1:11" x14ac:dyDescent="0.25">
      <c r="A571" t="s">
        <v>610</v>
      </c>
      <c r="B571" t="s">
        <v>1192</v>
      </c>
      <c r="C571" s="1">
        <v>42192</v>
      </c>
      <c r="D571" s="1">
        <v>42192</v>
      </c>
      <c r="E571">
        <v>5</v>
      </c>
      <c r="F571" t="s">
        <v>368</v>
      </c>
      <c r="G571" t="s">
        <v>16</v>
      </c>
      <c r="H571" t="s">
        <v>4501</v>
      </c>
      <c r="I571">
        <v>3.1431</v>
      </c>
      <c r="J571">
        <v>46454.67</v>
      </c>
      <c r="K571">
        <v>14779.889281282811</v>
      </c>
    </row>
    <row r="572" spans="1:11" x14ac:dyDescent="0.25">
      <c r="A572" t="s">
        <v>413</v>
      </c>
      <c r="B572" t="s">
        <v>1196</v>
      </c>
      <c r="C572" s="1">
        <v>42220</v>
      </c>
      <c r="D572" s="1">
        <v>42222</v>
      </c>
      <c r="E572">
        <v>1</v>
      </c>
      <c r="F572" t="s">
        <v>368</v>
      </c>
      <c r="G572" t="s">
        <v>16</v>
      </c>
      <c r="H572" t="s">
        <v>1197</v>
      </c>
      <c r="I572">
        <v>3.4424999999999999</v>
      </c>
      <c r="J572">
        <v>80437.63</v>
      </c>
      <c r="K572">
        <v>23366.050835148875</v>
      </c>
    </row>
    <row r="573" spans="1:11" x14ac:dyDescent="0.25">
      <c r="A573" t="s">
        <v>571</v>
      </c>
      <c r="B573" t="s">
        <v>1198</v>
      </c>
      <c r="C573" s="1">
        <v>42188</v>
      </c>
      <c r="D573" s="1">
        <v>42198</v>
      </c>
      <c r="E573">
        <v>3</v>
      </c>
      <c r="F573" t="s">
        <v>368</v>
      </c>
      <c r="G573" t="s">
        <v>16</v>
      </c>
      <c r="H573" t="s">
        <v>1199</v>
      </c>
      <c r="I573">
        <v>3.1173000000000002</v>
      </c>
      <c r="J573">
        <v>46118.51</v>
      </c>
      <c r="K573">
        <v>14794.376543803934</v>
      </c>
    </row>
    <row r="574" spans="1:11" x14ac:dyDescent="0.25">
      <c r="A574" t="s">
        <v>627</v>
      </c>
      <c r="B574" t="s">
        <v>1200</v>
      </c>
      <c r="C574" s="1">
        <v>42210</v>
      </c>
      <c r="D574" s="1">
        <v>42216</v>
      </c>
      <c r="E574">
        <v>1</v>
      </c>
      <c r="F574" t="s">
        <v>368</v>
      </c>
      <c r="G574" t="s">
        <v>16</v>
      </c>
      <c r="H574" t="s">
        <v>1201</v>
      </c>
      <c r="I574">
        <v>3.3254000000000001</v>
      </c>
      <c r="J574">
        <v>77308.58</v>
      </c>
      <c r="K574">
        <v>23247.904011547482</v>
      </c>
    </row>
    <row r="575" spans="1:11" x14ac:dyDescent="0.25">
      <c r="A575" t="s">
        <v>413</v>
      </c>
      <c r="B575" t="s">
        <v>1196</v>
      </c>
      <c r="C575" s="1">
        <v>42219</v>
      </c>
      <c r="D575" s="1">
        <v>42221</v>
      </c>
      <c r="E575">
        <v>1</v>
      </c>
      <c r="F575" t="s">
        <v>368</v>
      </c>
      <c r="G575" t="s">
        <v>16</v>
      </c>
      <c r="H575" t="s">
        <v>4776</v>
      </c>
      <c r="I575">
        <v>3.3940000000000001</v>
      </c>
      <c r="J575">
        <v>59055.08</v>
      </c>
      <c r="K575">
        <v>17399.846788450206</v>
      </c>
    </row>
    <row r="576" spans="1:11" x14ac:dyDescent="0.25">
      <c r="A576" t="s">
        <v>502</v>
      </c>
      <c r="B576" t="s">
        <v>2671</v>
      </c>
      <c r="C576" s="1">
        <v>42208</v>
      </c>
      <c r="D576" s="1">
        <v>42212</v>
      </c>
      <c r="E576">
        <v>1</v>
      </c>
      <c r="F576" t="s">
        <v>368</v>
      </c>
      <c r="G576" t="s">
        <v>16</v>
      </c>
      <c r="H576" t="s">
        <v>513</v>
      </c>
      <c r="I576">
        <v>3.2094</v>
      </c>
      <c r="J576">
        <v>75725.45</v>
      </c>
      <c r="K576">
        <v>23594.893126441078</v>
      </c>
    </row>
    <row r="577" spans="1:11" x14ac:dyDescent="0.25">
      <c r="A577" t="s">
        <v>502</v>
      </c>
      <c r="B577" t="s">
        <v>2671</v>
      </c>
      <c r="C577" s="1">
        <v>42210</v>
      </c>
      <c r="D577" s="1">
        <v>42212</v>
      </c>
      <c r="E577">
        <v>1</v>
      </c>
      <c r="F577" t="s">
        <v>368</v>
      </c>
      <c r="G577" t="s">
        <v>16</v>
      </c>
      <c r="H577" t="s">
        <v>4519</v>
      </c>
      <c r="I577">
        <v>3.3254000000000001</v>
      </c>
      <c r="J577">
        <v>56255.11</v>
      </c>
      <c r="K577">
        <v>16916.79497203344</v>
      </c>
    </row>
    <row r="578" spans="1:11" x14ac:dyDescent="0.25">
      <c r="A578" t="s">
        <v>610</v>
      </c>
      <c r="B578" t="s">
        <v>1192</v>
      </c>
      <c r="C578" s="1">
        <v>42192</v>
      </c>
      <c r="D578" s="1">
        <v>42196</v>
      </c>
      <c r="E578">
        <v>5</v>
      </c>
      <c r="F578" t="s">
        <v>368</v>
      </c>
      <c r="G578" t="s">
        <v>16</v>
      </c>
      <c r="H578" t="s">
        <v>4777</v>
      </c>
      <c r="I578">
        <v>3.1431</v>
      </c>
      <c r="J578">
        <v>46254.16</v>
      </c>
      <c r="K578">
        <v>14716.095574432884</v>
      </c>
    </row>
    <row r="579" spans="1:11" x14ac:dyDescent="0.25">
      <c r="A579" t="s">
        <v>610</v>
      </c>
      <c r="B579" t="s">
        <v>1192</v>
      </c>
      <c r="C579" s="1">
        <v>42192</v>
      </c>
      <c r="D579" s="1">
        <v>42196</v>
      </c>
      <c r="E579">
        <v>5</v>
      </c>
      <c r="F579" t="s">
        <v>368</v>
      </c>
      <c r="G579" t="s">
        <v>16</v>
      </c>
      <c r="H579" t="s">
        <v>4778</v>
      </c>
      <c r="I579">
        <v>3.1431</v>
      </c>
      <c r="J579">
        <v>32063.47</v>
      </c>
      <c r="K579">
        <v>10201.224905348223</v>
      </c>
    </row>
    <row r="580" spans="1:11" x14ac:dyDescent="0.25">
      <c r="A580" t="s">
        <v>610</v>
      </c>
      <c r="B580" t="s">
        <v>1192</v>
      </c>
      <c r="C580" s="1">
        <v>42192</v>
      </c>
      <c r="D580" s="1">
        <v>42196</v>
      </c>
      <c r="E580">
        <v>5</v>
      </c>
      <c r="F580" t="s">
        <v>368</v>
      </c>
      <c r="G580" t="s">
        <v>16</v>
      </c>
      <c r="H580" t="s">
        <v>4779</v>
      </c>
      <c r="I580">
        <v>3.1431</v>
      </c>
      <c r="J580">
        <v>32072.59</v>
      </c>
      <c r="K580">
        <v>10204.126499315962</v>
      </c>
    </row>
    <row r="581" spans="1:11" x14ac:dyDescent="0.25">
      <c r="A581" t="s">
        <v>610</v>
      </c>
      <c r="B581" t="s">
        <v>1192</v>
      </c>
      <c r="C581" s="1">
        <v>42191</v>
      </c>
      <c r="D581" s="1">
        <v>42192</v>
      </c>
      <c r="E581">
        <v>5</v>
      </c>
      <c r="F581" t="s">
        <v>368</v>
      </c>
      <c r="G581" t="s">
        <v>16</v>
      </c>
      <c r="H581" t="s">
        <v>4780</v>
      </c>
      <c r="I581">
        <v>3.1271</v>
      </c>
      <c r="J581">
        <v>45592.5</v>
      </c>
      <c r="K581">
        <v>14579.802372805474</v>
      </c>
    </row>
    <row r="582" spans="1:11" x14ac:dyDescent="0.25">
      <c r="A582" t="s">
        <v>413</v>
      </c>
      <c r="B582" t="s">
        <v>1196</v>
      </c>
      <c r="C582" s="1">
        <v>42217</v>
      </c>
      <c r="D582" s="1">
        <v>42219</v>
      </c>
      <c r="E582">
        <v>1</v>
      </c>
      <c r="F582" t="s">
        <v>368</v>
      </c>
      <c r="G582" t="s">
        <v>16</v>
      </c>
      <c r="H582" t="s">
        <v>1202</v>
      </c>
      <c r="I582">
        <v>3.3940000000000001</v>
      </c>
      <c r="J582">
        <v>81027.98</v>
      </c>
      <c r="K582">
        <v>23873.889216263997</v>
      </c>
    </row>
    <row r="583" spans="1:11" x14ac:dyDescent="0.25">
      <c r="A583" t="s">
        <v>571</v>
      </c>
      <c r="B583" t="s">
        <v>1198</v>
      </c>
      <c r="C583" s="1">
        <v>42188</v>
      </c>
      <c r="D583" s="1">
        <v>42198</v>
      </c>
      <c r="E583">
        <v>3</v>
      </c>
      <c r="F583" t="s">
        <v>368</v>
      </c>
      <c r="G583" t="s">
        <v>16</v>
      </c>
      <c r="H583" t="s">
        <v>4781</v>
      </c>
      <c r="I583">
        <v>3.1173000000000002</v>
      </c>
      <c r="J583">
        <v>43433.84</v>
      </c>
      <c r="K583">
        <v>13933.160106502422</v>
      </c>
    </row>
    <row r="584" spans="1:11" x14ac:dyDescent="0.25">
      <c r="A584" t="s">
        <v>324</v>
      </c>
      <c r="B584" t="s">
        <v>1705</v>
      </c>
      <c r="C584" s="1">
        <v>42195</v>
      </c>
      <c r="D584" s="1">
        <v>42201</v>
      </c>
      <c r="E584">
        <v>25430</v>
      </c>
      <c r="F584" t="s">
        <v>311</v>
      </c>
      <c r="G584" t="s">
        <v>16</v>
      </c>
      <c r="H584" t="s">
        <v>4782</v>
      </c>
      <c r="I584">
        <v>3.2162999999999999</v>
      </c>
      <c r="J584">
        <v>186803.12</v>
      </c>
      <c r="K584">
        <v>58080.129341168424</v>
      </c>
    </row>
    <row r="585" spans="1:11" x14ac:dyDescent="0.25">
      <c r="A585" t="s">
        <v>467</v>
      </c>
      <c r="B585" t="s">
        <v>3122</v>
      </c>
      <c r="C585" s="1">
        <v>42240</v>
      </c>
      <c r="D585" s="1">
        <v>42245</v>
      </c>
      <c r="E585">
        <v>5</v>
      </c>
      <c r="F585" t="s">
        <v>301</v>
      </c>
      <c r="G585" t="s">
        <v>16</v>
      </c>
      <c r="H585" t="s">
        <v>4783</v>
      </c>
      <c r="I585">
        <v>3.4895999999999998</v>
      </c>
      <c r="J585">
        <v>42411.59</v>
      </c>
      <c r="K585">
        <v>12153.711027051811</v>
      </c>
    </row>
    <row r="586" spans="1:11" x14ac:dyDescent="0.25">
      <c r="A586" t="s">
        <v>468</v>
      </c>
      <c r="B586" t="s">
        <v>1203</v>
      </c>
      <c r="C586" s="1">
        <v>42226</v>
      </c>
      <c r="D586" s="1">
        <v>42230</v>
      </c>
      <c r="E586">
        <v>1</v>
      </c>
      <c r="F586" t="s">
        <v>368</v>
      </c>
      <c r="G586" t="s">
        <v>16</v>
      </c>
      <c r="H586" t="s">
        <v>4784</v>
      </c>
      <c r="I586">
        <v>3.5181</v>
      </c>
      <c r="J586">
        <v>81404.7</v>
      </c>
      <c r="K586">
        <v>23138.824933913191</v>
      </c>
    </row>
    <row r="587" spans="1:11" x14ac:dyDescent="0.25">
      <c r="A587" t="s">
        <v>4785</v>
      </c>
      <c r="C587" s="1">
        <v>42230</v>
      </c>
      <c r="D587" s="1">
        <v>42255</v>
      </c>
      <c r="E587">
        <v>27849</v>
      </c>
      <c r="F587" t="s">
        <v>327</v>
      </c>
      <c r="G587" t="s">
        <v>16</v>
      </c>
      <c r="H587" t="s">
        <v>4786</v>
      </c>
      <c r="I587">
        <v>3.5074000000000001</v>
      </c>
      <c r="J587">
        <v>25</v>
      </c>
      <c r="K587">
        <v>7.1277869647031986</v>
      </c>
    </row>
    <row r="588" spans="1:11" x14ac:dyDescent="0.25">
      <c r="A588" t="s">
        <v>534</v>
      </c>
      <c r="B588" t="s">
        <v>3990</v>
      </c>
      <c r="C588" s="1">
        <v>42213</v>
      </c>
      <c r="D588" s="1">
        <v>42242</v>
      </c>
      <c r="E588">
        <v>1</v>
      </c>
      <c r="F588" t="s">
        <v>368</v>
      </c>
      <c r="G588" t="s">
        <v>16</v>
      </c>
      <c r="H588" t="s">
        <v>4787</v>
      </c>
      <c r="I588">
        <v>3.3557000000000001</v>
      </c>
      <c r="J588">
        <v>79690.75</v>
      </c>
      <c r="K588">
        <v>23747.876747027447</v>
      </c>
    </row>
    <row r="589" spans="1:11" x14ac:dyDescent="0.25">
      <c r="A589" t="s">
        <v>534</v>
      </c>
      <c r="B589" t="s">
        <v>3990</v>
      </c>
      <c r="C589" s="1">
        <v>42213</v>
      </c>
      <c r="D589" s="1">
        <v>42242</v>
      </c>
      <c r="E589">
        <v>1</v>
      </c>
      <c r="F589" t="s">
        <v>368</v>
      </c>
      <c r="G589" t="s">
        <v>16</v>
      </c>
      <c r="H589" t="s">
        <v>4788</v>
      </c>
      <c r="I589">
        <v>3.3557000000000001</v>
      </c>
      <c r="J589">
        <v>79690.75</v>
      </c>
      <c r="K589">
        <v>23747.876747027447</v>
      </c>
    </row>
    <row r="590" spans="1:11" x14ac:dyDescent="0.25">
      <c r="A590" t="s">
        <v>468</v>
      </c>
      <c r="B590" t="s">
        <v>1203</v>
      </c>
      <c r="C590" s="1">
        <v>42222</v>
      </c>
      <c r="D590" s="1">
        <v>42224</v>
      </c>
      <c r="E590">
        <v>1</v>
      </c>
      <c r="F590" t="s">
        <v>368</v>
      </c>
      <c r="G590" t="s">
        <v>16</v>
      </c>
      <c r="H590" t="s">
        <v>1204</v>
      </c>
      <c r="I590">
        <v>3.4851000000000001</v>
      </c>
      <c r="J590">
        <v>59801.37</v>
      </c>
      <c r="K590">
        <v>17159.154687096496</v>
      </c>
    </row>
    <row r="591" spans="1:11" x14ac:dyDescent="0.25">
      <c r="A591" t="s">
        <v>413</v>
      </c>
      <c r="B591" t="s">
        <v>1196</v>
      </c>
      <c r="C591" s="1">
        <v>42222</v>
      </c>
      <c r="D591" s="1">
        <v>42223</v>
      </c>
      <c r="E591">
        <v>1</v>
      </c>
      <c r="F591" t="s">
        <v>368</v>
      </c>
      <c r="G591" t="s">
        <v>16</v>
      </c>
      <c r="H591" t="s">
        <v>4789</v>
      </c>
      <c r="I591">
        <v>3.4851000000000001</v>
      </c>
      <c r="J591">
        <v>80374.37</v>
      </c>
      <c r="K591">
        <v>23062.28515681042</v>
      </c>
    </row>
    <row r="592" spans="1:11" x14ac:dyDescent="0.25">
      <c r="A592" t="s">
        <v>4790</v>
      </c>
      <c r="C592" s="1">
        <v>42219</v>
      </c>
      <c r="D592" s="1">
        <v>42229</v>
      </c>
      <c r="E592">
        <v>966</v>
      </c>
      <c r="F592" t="s">
        <v>519</v>
      </c>
      <c r="G592" t="s">
        <v>16</v>
      </c>
      <c r="H592" t="s">
        <v>4791</v>
      </c>
      <c r="I592">
        <v>3.3940000000000001</v>
      </c>
      <c r="J592">
        <v>219.3</v>
      </c>
      <c r="K592">
        <v>64.614024749558041</v>
      </c>
    </row>
    <row r="593" spans="1:11" x14ac:dyDescent="0.25">
      <c r="A593" t="s">
        <v>534</v>
      </c>
      <c r="B593" t="s">
        <v>3990</v>
      </c>
      <c r="C593" s="1">
        <v>42213</v>
      </c>
      <c r="D593" s="1">
        <v>42220</v>
      </c>
      <c r="E593">
        <v>1</v>
      </c>
      <c r="F593" t="s">
        <v>368</v>
      </c>
      <c r="G593" t="s">
        <v>16</v>
      </c>
      <c r="H593" t="s">
        <v>4792</v>
      </c>
      <c r="I593">
        <v>3.3557000000000001</v>
      </c>
      <c r="J593">
        <v>59768.06</v>
      </c>
      <c r="K593">
        <v>17810.90681526954</v>
      </c>
    </row>
    <row r="594" spans="1:11" x14ac:dyDescent="0.25">
      <c r="A594" t="s">
        <v>606</v>
      </c>
      <c r="B594" t="s">
        <v>1205</v>
      </c>
      <c r="C594" s="1">
        <v>42258</v>
      </c>
      <c r="D594" s="1">
        <v>42286</v>
      </c>
      <c r="E594">
        <v>6</v>
      </c>
      <c r="F594" t="s">
        <v>301</v>
      </c>
      <c r="G594" t="s">
        <v>16</v>
      </c>
      <c r="H594" t="s">
        <v>1206</v>
      </c>
      <c r="I594">
        <v>3.8698000000000001</v>
      </c>
      <c r="J594">
        <v>317047.45</v>
      </c>
      <c r="K594">
        <v>81928.639722983105</v>
      </c>
    </row>
    <row r="595" spans="1:11" x14ac:dyDescent="0.25">
      <c r="A595" t="s">
        <v>474</v>
      </c>
      <c r="B595" t="s">
        <v>2692</v>
      </c>
      <c r="C595" s="1">
        <v>42268</v>
      </c>
      <c r="D595" s="1">
        <v>42283</v>
      </c>
      <c r="E595">
        <v>32</v>
      </c>
      <c r="F595" t="s">
        <v>311</v>
      </c>
      <c r="G595" t="s">
        <v>16</v>
      </c>
      <c r="H595" t="s">
        <v>4793</v>
      </c>
      <c r="I595">
        <v>3.9020999999999999</v>
      </c>
      <c r="J595">
        <v>593683.44999999995</v>
      </c>
      <c r="K595">
        <v>152144.60162476616</v>
      </c>
    </row>
    <row r="596" spans="1:11" x14ac:dyDescent="0.25">
      <c r="A596" t="s">
        <v>467</v>
      </c>
      <c r="B596" t="s">
        <v>3122</v>
      </c>
      <c r="C596" s="1">
        <v>42275</v>
      </c>
      <c r="D596" s="1">
        <v>42283</v>
      </c>
      <c r="E596">
        <v>5</v>
      </c>
      <c r="F596" t="s">
        <v>675</v>
      </c>
      <c r="G596" t="s">
        <v>16</v>
      </c>
      <c r="H596" t="s">
        <v>1497</v>
      </c>
      <c r="I596">
        <v>3.9479000000000002</v>
      </c>
      <c r="J596">
        <v>87229.9</v>
      </c>
      <c r="K596">
        <v>22095.26583753388</v>
      </c>
    </row>
    <row r="597" spans="1:11" x14ac:dyDescent="0.25">
      <c r="A597" t="s">
        <v>350</v>
      </c>
      <c r="B597" t="s">
        <v>1733</v>
      </c>
      <c r="C597" s="1">
        <v>42293</v>
      </c>
      <c r="D597" s="1">
        <v>42297</v>
      </c>
      <c r="E597">
        <v>21</v>
      </c>
      <c r="F597" t="s">
        <v>331</v>
      </c>
      <c r="G597" t="s">
        <v>16</v>
      </c>
      <c r="H597" t="s">
        <v>4794</v>
      </c>
      <c r="I597">
        <v>3.8344</v>
      </c>
      <c r="J597">
        <v>88868.45</v>
      </c>
      <c r="K597">
        <v>23176.624765282704</v>
      </c>
    </row>
    <row r="598" spans="1:11" x14ac:dyDescent="0.25">
      <c r="A598" t="s">
        <v>1207</v>
      </c>
      <c r="B598" t="s">
        <v>1208</v>
      </c>
      <c r="C598" s="1">
        <v>42256</v>
      </c>
      <c r="D598" s="1">
        <v>42276</v>
      </c>
      <c r="E598">
        <v>263</v>
      </c>
      <c r="F598" t="s">
        <v>278</v>
      </c>
      <c r="G598" t="s">
        <v>16</v>
      </c>
      <c r="H598" t="s">
        <v>1209</v>
      </c>
      <c r="I598">
        <v>3.8028</v>
      </c>
      <c r="J598">
        <v>44309.2</v>
      </c>
      <c r="K598">
        <v>11651.730303986536</v>
      </c>
    </row>
    <row r="599" spans="1:11" x14ac:dyDescent="0.25">
      <c r="A599" t="s">
        <v>342</v>
      </c>
      <c r="B599" t="s">
        <v>1169</v>
      </c>
      <c r="C599" s="1">
        <v>42260</v>
      </c>
      <c r="D599" s="1">
        <v>42268</v>
      </c>
      <c r="E599">
        <v>2</v>
      </c>
      <c r="F599" t="s">
        <v>675</v>
      </c>
      <c r="G599" t="s">
        <v>16</v>
      </c>
      <c r="H599" t="s">
        <v>1210</v>
      </c>
      <c r="I599">
        <v>3.8698000000000001</v>
      </c>
      <c r="J599">
        <v>79830</v>
      </c>
      <c r="K599">
        <v>20628.973073543853</v>
      </c>
    </row>
    <row r="600" spans="1:11" x14ac:dyDescent="0.25">
      <c r="A600" t="s">
        <v>3110</v>
      </c>
      <c r="B600" t="s">
        <v>3111</v>
      </c>
      <c r="C600" s="1">
        <v>42262</v>
      </c>
      <c r="D600" s="1">
        <v>42268</v>
      </c>
      <c r="E600">
        <v>13</v>
      </c>
      <c r="F600" t="s">
        <v>278</v>
      </c>
      <c r="G600" t="s">
        <v>16</v>
      </c>
      <c r="H600" t="s">
        <v>4795</v>
      </c>
      <c r="I600">
        <v>3.8653</v>
      </c>
      <c r="J600">
        <v>591300</v>
      </c>
      <c r="K600">
        <v>152976.48306729103</v>
      </c>
    </row>
    <row r="601" spans="1:11" x14ac:dyDescent="0.25">
      <c r="A601" t="s">
        <v>628</v>
      </c>
      <c r="B601" t="s">
        <v>4796</v>
      </c>
      <c r="C601" s="1">
        <v>42262</v>
      </c>
      <c r="D601" s="1">
        <v>42277</v>
      </c>
      <c r="E601">
        <v>18</v>
      </c>
      <c r="F601" t="s">
        <v>311</v>
      </c>
      <c r="G601" t="s">
        <v>16</v>
      </c>
      <c r="H601" t="s">
        <v>4797</v>
      </c>
      <c r="I601">
        <v>3.8653</v>
      </c>
      <c r="J601">
        <v>8765.14</v>
      </c>
      <c r="K601">
        <v>2267.6480480169716</v>
      </c>
    </row>
    <row r="602" spans="1:11" x14ac:dyDescent="0.25">
      <c r="A602" t="s">
        <v>1211</v>
      </c>
      <c r="B602" t="s">
        <v>1212</v>
      </c>
      <c r="C602" s="1">
        <v>42299</v>
      </c>
      <c r="D602" s="1">
        <v>42305</v>
      </c>
      <c r="E602">
        <v>16</v>
      </c>
      <c r="F602" t="s">
        <v>278</v>
      </c>
      <c r="G602" t="s">
        <v>16</v>
      </c>
      <c r="H602" t="s">
        <v>1213</v>
      </c>
      <c r="I602">
        <v>3.9386000000000001</v>
      </c>
      <c r="J602">
        <v>39210.300000000003</v>
      </c>
      <c r="K602">
        <v>9955.3902401868691</v>
      </c>
    </row>
    <row r="603" spans="1:11" x14ac:dyDescent="0.25">
      <c r="A603" t="s">
        <v>351</v>
      </c>
      <c r="B603" t="s">
        <v>1214</v>
      </c>
      <c r="C603" s="1">
        <v>42268</v>
      </c>
      <c r="D603" s="1">
        <v>42297</v>
      </c>
      <c r="E603">
        <v>17</v>
      </c>
      <c r="F603" t="s">
        <v>311</v>
      </c>
      <c r="G603" t="s">
        <v>16</v>
      </c>
      <c r="H603" t="s">
        <v>1215</v>
      </c>
      <c r="I603">
        <v>3.9020999999999999</v>
      </c>
      <c r="J603">
        <v>712413.9</v>
      </c>
      <c r="K603">
        <v>182571.92281079417</v>
      </c>
    </row>
    <row r="604" spans="1:11" x14ac:dyDescent="0.25">
      <c r="A604" t="s">
        <v>350</v>
      </c>
      <c r="B604" t="s">
        <v>1733</v>
      </c>
      <c r="C604" s="1">
        <v>42300</v>
      </c>
      <c r="D604" s="1">
        <v>42308</v>
      </c>
      <c r="E604">
        <v>21</v>
      </c>
      <c r="F604" t="s">
        <v>331</v>
      </c>
      <c r="G604" t="s">
        <v>16</v>
      </c>
      <c r="H604" t="s">
        <v>4798</v>
      </c>
      <c r="I604">
        <v>3.9359999999999999</v>
      </c>
      <c r="J604">
        <v>91042.03</v>
      </c>
      <c r="K604">
        <v>23130.597052845529</v>
      </c>
    </row>
    <row r="605" spans="1:11" x14ac:dyDescent="0.25">
      <c r="A605" t="s">
        <v>350</v>
      </c>
      <c r="B605" t="s">
        <v>1733</v>
      </c>
      <c r="C605" s="1">
        <v>42304</v>
      </c>
      <c r="D605" s="1">
        <v>42308</v>
      </c>
      <c r="E605">
        <v>21</v>
      </c>
      <c r="F605" t="s">
        <v>331</v>
      </c>
      <c r="G605" t="s">
        <v>16</v>
      </c>
      <c r="H605" t="s">
        <v>4799</v>
      </c>
      <c r="I605">
        <v>3.8582000000000001</v>
      </c>
      <c r="J605">
        <v>91243.79</v>
      </c>
      <c r="K605">
        <v>23649.315743092633</v>
      </c>
    </row>
    <row r="606" spans="1:11" x14ac:dyDescent="0.25">
      <c r="A606" t="s">
        <v>540</v>
      </c>
      <c r="B606" t="s">
        <v>2222</v>
      </c>
      <c r="C606" s="1">
        <v>42268</v>
      </c>
      <c r="D606" s="1">
        <v>42278</v>
      </c>
      <c r="E606">
        <v>8</v>
      </c>
      <c r="F606" t="s">
        <v>311</v>
      </c>
      <c r="G606" t="s">
        <v>16</v>
      </c>
      <c r="H606" t="s">
        <v>4800</v>
      </c>
      <c r="I606">
        <v>3.9020999999999999</v>
      </c>
      <c r="J606">
        <v>4703.8</v>
      </c>
      <c r="K606">
        <v>1205.4534737705337</v>
      </c>
    </row>
    <row r="607" spans="1:11" x14ac:dyDescent="0.25">
      <c r="A607" t="s">
        <v>429</v>
      </c>
      <c r="B607" t="s">
        <v>1216</v>
      </c>
      <c r="C607" s="1">
        <v>42279</v>
      </c>
      <c r="D607" s="1">
        <v>42280</v>
      </c>
      <c r="E607">
        <v>5</v>
      </c>
      <c r="F607" t="s">
        <v>675</v>
      </c>
      <c r="G607" t="s">
        <v>16</v>
      </c>
      <c r="H607" t="s">
        <v>1217</v>
      </c>
      <c r="I607">
        <v>3.9794</v>
      </c>
      <c r="J607">
        <v>142379.20000000001</v>
      </c>
      <c r="K607">
        <v>35779.06217017641</v>
      </c>
    </row>
    <row r="608" spans="1:11" x14ac:dyDescent="0.25">
      <c r="A608" t="s">
        <v>342</v>
      </c>
      <c r="B608" t="s">
        <v>1169</v>
      </c>
      <c r="C608" s="1">
        <v>42350</v>
      </c>
      <c r="D608" s="1">
        <v>42355</v>
      </c>
      <c r="E608">
        <v>2</v>
      </c>
      <c r="F608" t="s">
        <v>675</v>
      </c>
      <c r="G608" t="s">
        <v>16</v>
      </c>
      <c r="H608" t="s">
        <v>4801</v>
      </c>
      <c r="I608">
        <v>3.8548</v>
      </c>
      <c r="J608">
        <v>79830</v>
      </c>
      <c r="K608">
        <v>20709.245615855558</v>
      </c>
    </row>
    <row r="609" spans="1:11" x14ac:dyDescent="0.25">
      <c r="A609" t="s">
        <v>4802</v>
      </c>
      <c r="C609" s="1">
        <v>42305</v>
      </c>
      <c r="D609" s="1">
        <v>42346</v>
      </c>
      <c r="E609">
        <v>922</v>
      </c>
      <c r="F609" t="s">
        <v>292</v>
      </c>
      <c r="G609" t="s">
        <v>16</v>
      </c>
      <c r="H609" t="s">
        <v>4803</v>
      </c>
      <c r="I609">
        <v>3.9114</v>
      </c>
      <c r="J609">
        <v>120</v>
      </c>
      <c r="K609">
        <v>30.679552078539654</v>
      </c>
    </row>
    <row r="610" spans="1:11" x14ac:dyDescent="0.25">
      <c r="A610" t="s">
        <v>467</v>
      </c>
      <c r="B610" t="s">
        <v>3122</v>
      </c>
      <c r="C610" s="1">
        <v>42325</v>
      </c>
      <c r="D610" s="1">
        <v>42332</v>
      </c>
      <c r="E610">
        <v>5</v>
      </c>
      <c r="F610" t="s">
        <v>675</v>
      </c>
      <c r="G610" t="s">
        <v>16</v>
      </c>
      <c r="H610" t="s">
        <v>4804</v>
      </c>
      <c r="I610">
        <v>3.8336000000000001</v>
      </c>
      <c r="J610">
        <v>48760</v>
      </c>
      <c r="K610">
        <v>12719.115191986644</v>
      </c>
    </row>
    <row r="611" spans="1:11" x14ac:dyDescent="0.25">
      <c r="A611" t="s">
        <v>467</v>
      </c>
      <c r="B611" t="s">
        <v>3122</v>
      </c>
      <c r="C611" s="1">
        <v>42328</v>
      </c>
      <c r="D611" s="1">
        <v>42333</v>
      </c>
      <c r="E611">
        <v>5</v>
      </c>
      <c r="F611" t="s">
        <v>675</v>
      </c>
      <c r="G611" t="s">
        <v>16</v>
      </c>
      <c r="H611" t="s">
        <v>4805</v>
      </c>
      <c r="I611">
        <v>3.7442000000000002</v>
      </c>
      <c r="J611">
        <v>48003.1</v>
      </c>
      <c r="K611">
        <v>12820.655947866033</v>
      </c>
    </row>
    <row r="612" spans="1:11" x14ac:dyDescent="0.25">
      <c r="A612" t="s">
        <v>484</v>
      </c>
      <c r="B612" t="s">
        <v>1218</v>
      </c>
      <c r="C612" s="1">
        <v>42304</v>
      </c>
      <c r="D612" s="1">
        <v>42318</v>
      </c>
      <c r="E612">
        <v>44</v>
      </c>
      <c r="F612" t="s">
        <v>311</v>
      </c>
      <c r="G612" t="s">
        <v>16</v>
      </c>
      <c r="H612" t="s">
        <v>1219</v>
      </c>
      <c r="I612">
        <v>3.8582000000000001</v>
      </c>
      <c r="J612">
        <v>15430</v>
      </c>
      <c r="K612">
        <v>3999.2742729770357</v>
      </c>
    </row>
    <row r="613" spans="1:11" x14ac:dyDescent="0.25">
      <c r="A613" t="s">
        <v>1220</v>
      </c>
      <c r="B613" t="s">
        <v>1221</v>
      </c>
      <c r="C613" s="1">
        <v>42335</v>
      </c>
      <c r="D613" s="1">
        <v>42342</v>
      </c>
      <c r="E613">
        <v>20</v>
      </c>
      <c r="F613" t="s">
        <v>331</v>
      </c>
      <c r="G613" t="s">
        <v>16</v>
      </c>
      <c r="H613" t="s">
        <v>1222</v>
      </c>
      <c r="I613">
        <v>3.7606000000000002</v>
      </c>
      <c r="J613">
        <v>59996.98</v>
      </c>
      <c r="K613">
        <v>15954.097750358986</v>
      </c>
    </row>
    <row r="614" spans="1:11" x14ac:dyDescent="0.25">
      <c r="A614" t="s">
        <v>1220</v>
      </c>
      <c r="B614" t="s">
        <v>1221</v>
      </c>
      <c r="C614" s="1">
        <v>42335</v>
      </c>
      <c r="D614" s="1">
        <v>42341</v>
      </c>
      <c r="E614">
        <v>20</v>
      </c>
      <c r="F614" t="s">
        <v>331</v>
      </c>
      <c r="G614" t="s">
        <v>16</v>
      </c>
      <c r="H614" t="s">
        <v>4806</v>
      </c>
      <c r="I614">
        <v>3.7606000000000002</v>
      </c>
      <c r="J614">
        <v>60256.43</v>
      </c>
      <c r="K614">
        <v>16023.089400627559</v>
      </c>
    </row>
    <row r="615" spans="1:11" x14ac:dyDescent="0.25">
      <c r="A615" t="s">
        <v>562</v>
      </c>
      <c r="B615" t="s">
        <v>1223</v>
      </c>
      <c r="C615" s="1">
        <v>42304</v>
      </c>
      <c r="D615" s="1">
        <v>42314</v>
      </c>
      <c r="E615">
        <v>8</v>
      </c>
      <c r="F615" t="s">
        <v>311</v>
      </c>
      <c r="G615" t="s">
        <v>16</v>
      </c>
      <c r="H615" t="s">
        <v>1224</v>
      </c>
      <c r="I615">
        <v>3.8582000000000001</v>
      </c>
      <c r="J615">
        <v>6172</v>
      </c>
      <c r="K615">
        <v>1599.7097091908145</v>
      </c>
    </row>
    <row r="616" spans="1:11" x14ac:dyDescent="0.25">
      <c r="A616" t="s">
        <v>1220</v>
      </c>
      <c r="B616" t="s">
        <v>1221</v>
      </c>
      <c r="C616" s="1">
        <v>42334</v>
      </c>
      <c r="D616" s="1">
        <v>42343</v>
      </c>
      <c r="E616">
        <v>20</v>
      </c>
      <c r="F616" t="s">
        <v>331</v>
      </c>
      <c r="G616" t="s">
        <v>16</v>
      </c>
      <c r="H616" t="s">
        <v>4807</v>
      </c>
      <c r="I616">
        <v>3.7688000000000001</v>
      </c>
      <c r="J616">
        <v>59429.440000000002</v>
      </c>
      <c r="K616">
        <v>15768.796433878157</v>
      </c>
    </row>
    <row r="617" spans="1:11" x14ac:dyDescent="0.25">
      <c r="A617" t="s">
        <v>1220</v>
      </c>
      <c r="B617" t="s">
        <v>1221</v>
      </c>
      <c r="C617" s="1">
        <v>42336</v>
      </c>
      <c r="D617" s="1">
        <v>42343</v>
      </c>
      <c r="E617">
        <v>20</v>
      </c>
      <c r="F617" t="s">
        <v>331</v>
      </c>
      <c r="G617" t="s">
        <v>16</v>
      </c>
      <c r="H617" t="s">
        <v>4808</v>
      </c>
      <c r="I617">
        <v>3.7399</v>
      </c>
      <c r="J617">
        <v>59267.29</v>
      </c>
      <c r="K617">
        <v>15847.292708361187</v>
      </c>
    </row>
    <row r="618" spans="1:11" x14ac:dyDescent="0.25">
      <c r="A618" t="s">
        <v>429</v>
      </c>
      <c r="B618" t="s">
        <v>1216</v>
      </c>
      <c r="C618" s="1">
        <v>42313</v>
      </c>
      <c r="D618" s="1">
        <v>42315</v>
      </c>
      <c r="E618">
        <v>5</v>
      </c>
      <c r="F618" t="s">
        <v>675</v>
      </c>
      <c r="G618" t="s">
        <v>16</v>
      </c>
      <c r="H618" t="s">
        <v>1225</v>
      </c>
      <c r="I618">
        <v>3.7686999999999999</v>
      </c>
      <c r="J618">
        <v>5902.41</v>
      </c>
      <c r="K618">
        <v>1566.1660519542547</v>
      </c>
    </row>
    <row r="619" spans="1:11" x14ac:dyDescent="0.25">
      <c r="A619" t="s">
        <v>429</v>
      </c>
      <c r="B619" t="s">
        <v>1216</v>
      </c>
      <c r="C619" s="1">
        <v>42313</v>
      </c>
      <c r="D619" s="1">
        <v>42315</v>
      </c>
      <c r="E619">
        <v>5</v>
      </c>
      <c r="F619" t="s">
        <v>675</v>
      </c>
      <c r="G619" t="s">
        <v>16</v>
      </c>
      <c r="H619" t="s">
        <v>1226</v>
      </c>
      <c r="I619">
        <v>3.7686999999999999</v>
      </c>
      <c r="J619">
        <v>102701.93</v>
      </c>
      <c r="K619">
        <v>27251.288242630086</v>
      </c>
    </row>
    <row r="620" spans="1:11" x14ac:dyDescent="0.25">
      <c r="A620" t="s">
        <v>429</v>
      </c>
      <c r="B620" t="s">
        <v>1216</v>
      </c>
      <c r="C620" s="1">
        <v>42306</v>
      </c>
      <c r="D620" s="1">
        <v>42311</v>
      </c>
      <c r="E620">
        <v>5</v>
      </c>
      <c r="F620" t="s">
        <v>675</v>
      </c>
      <c r="G620" t="s">
        <v>16</v>
      </c>
      <c r="H620" t="s">
        <v>1227</v>
      </c>
      <c r="I620">
        <v>3.8797000000000001</v>
      </c>
      <c r="J620">
        <v>213583.73</v>
      </c>
      <c r="K620">
        <v>55051.609660540766</v>
      </c>
    </row>
    <row r="621" spans="1:11" x14ac:dyDescent="0.25">
      <c r="A621" t="s">
        <v>429</v>
      </c>
      <c r="B621" t="s">
        <v>1216</v>
      </c>
      <c r="C621" s="1">
        <v>42307</v>
      </c>
      <c r="D621" s="1">
        <v>42311</v>
      </c>
      <c r="E621">
        <v>5</v>
      </c>
      <c r="F621" t="s">
        <v>675</v>
      </c>
      <c r="G621" t="s">
        <v>16</v>
      </c>
      <c r="H621" t="s">
        <v>1228</v>
      </c>
      <c r="I621">
        <v>3.9327999999999999</v>
      </c>
      <c r="J621">
        <v>479940</v>
      </c>
      <c r="K621">
        <v>122035.19121236778</v>
      </c>
    </row>
    <row r="622" spans="1:11" x14ac:dyDescent="0.25">
      <c r="A622" t="s">
        <v>429</v>
      </c>
      <c r="B622" t="s">
        <v>1216</v>
      </c>
      <c r="C622" s="1">
        <v>42307</v>
      </c>
      <c r="D622" s="1">
        <v>42311</v>
      </c>
      <c r="E622">
        <v>5</v>
      </c>
      <c r="F622" t="s">
        <v>675</v>
      </c>
      <c r="G622" t="s">
        <v>16</v>
      </c>
      <c r="H622" t="s">
        <v>1229</v>
      </c>
      <c r="I622">
        <v>3.9327999999999999</v>
      </c>
      <c r="J622">
        <v>174067.6</v>
      </c>
      <c r="K622">
        <v>44260.475996745321</v>
      </c>
    </row>
    <row r="623" spans="1:11" x14ac:dyDescent="0.25">
      <c r="A623" t="s">
        <v>1220</v>
      </c>
      <c r="B623" t="s">
        <v>1221</v>
      </c>
      <c r="C623" s="1">
        <v>42335</v>
      </c>
      <c r="D623" s="1">
        <v>42340</v>
      </c>
      <c r="E623">
        <v>20</v>
      </c>
      <c r="F623" t="s">
        <v>331</v>
      </c>
      <c r="G623" t="s">
        <v>16</v>
      </c>
      <c r="H623" t="s">
        <v>4809</v>
      </c>
      <c r="I623">
        <v>3.7606000000000002</v>
      </c>
      <c r="J623">
        <v>60061.84</v>
      </c>
      <c r="K623">
        <v>15971.344998138595</v>
      </c>
    </row>
    <row r="624" spans="1:11" x14ac:dyDescent="0.25">
      <c r="A624" t="s">
        <v>353</v>
      </c>
      <c r="B624" t="s">
        <v>352</v>
      </c>
      <c r="C624" s="1">
        <v>42313</v>
      </c>
      <c r="D624" s="1">
        <v>42338</v>
      </c>
      <c r="E624">
        <v>981</v>
      </c>
      <c r="F624" t="s">
        <v>675</v>
      </c>
      <c r="G624" t="s">
        <v>16</v>
      </c>
      <c r="H624" t="s">
        <v>1230</v>
      </c>
      <c r="I624">
        <v>3.7686999999999999</v>
      </c>
      <c r="J624">
        <v>103779</v>
      </c>
      <c r="K624">
        <v>27537.081752328388</v>
      </c>
    </row>
    <row r="625" spans="1:11" x14ac:dyDescent="0.25">
      <c r="A625" t="s">
        <v>428</v>
      </c>
      <c r="B625" t="s">
        <v>1231</v>
      </c>
      <c r="C625" s="1">
        <v>42360</v>
      </c>
      <c r="D625" s="1">
        <v>42373</v>
      </c>
      <c r="E625">
        <v>22</v>
      </c>
      <c r="F625" t="s">
        <v>331</v>
      </c>
      <c r="G625" t="s">
        <v>16</v>
      </c>
      <c r="H625" t="s">
        <v>4810</v>
      </c>
      <c r="I625">
        <v>3.9830999999999999</v>
      </c>
      <c r="J625">
        <v>65256.92</v>
      </c>
      <c r="K625">
        <v>16383.450076573523</v>
      </c>
    </row>
    <row r="626" spans="1:11" x14ac:dyDescent="0.25">
      <c r="A626" t="s">
        <v>428</v>
      </c>
      <c r="B626" t="s">
        <v>1231</v>
      </c>
      <c r="C626" s="1">
        <v>42357</v>
      </c>
      <c r="D626" s="1">
        <v>42360</v>
      </c>
      <c r="E626">
        <v>22</v>
      </c>
      <c r="F626" t="s">
        <v>331</v>
      </c>
      <c r="G626" t="s">
        <v>16</v>
      </c>
      <c r="H626" t="s">
        <v>1232</v>
      </c>
      <c r="I626">
        <v>3.9062000000000001</v>
      </c>
      <c r="J626">
        <v>64842.84</v>
      </c>
      <c r="K626">
        <v>16599.979519737852</v>
      </c>
    </row>
    <row r="627" spans="1:11" x14ac:dyDescent="0.25">
      <c r="A627" t="s">
        <v>512</v>
      </c>
      <c r="B627" t="s">
        <v>1233</v>
      </c>
      <c r="C627" s="1">
        <v>42360</v>
      </c>
      <c r="D627" s="1">
        <v>42374</v>
      </c>
      <c r="E627">
        <v>387</v>
      </c>
      <c r="F627" t="s">
        <v>389</v>
      </c>
      <c r="G627" t="s">
        <v>16</v>
      </c>
      <c r="H627" t="s">
        <v>1234</v>
      </c>
      <c r="I627">
        <v>3.9830999999999999</v>
      </c>
      <c r="J627">
        <v>84544.4</v>
      </c>
      <c r="K627">
        <v>21225.77891591976</v>
      </c>
    </row>
    <row r="628" spans="1:11" x14ac:dyDescent="0.25">
      <c r="A628" t="s">
        <v>1235</v>
      </c>
      <c r="C628" s="1">
        <v>42335</v>
      </c>
      <c r="D628" s="1">
        <v>42360</v>
      </c>
      <c r="E628">
        <v>1029</v>
      </c>
      <c r="F628" t="s">
        <v>355</v>
      </c>
      <c r="G628" t="s">
        <v>16</v>
      </c>
      <c r="H628" t="s">
        <v>595</v>
      </c>
      <c r="I628">
        <v>3.7606000000000002</v>
      </c>
      <c r="J628">
        <v>12.37</v>
      </c>
      <c r="K628">
        <v>3.2893687177578048</v>
      </c>
    </row>
    <row r="629" spans="1:11" x14ac:dyDescent="0.25">
      <c r="A629" t="s">
        <v>428</v>
      </c>
      <c r="B629" t="s">
        <v>1231</v>
      </c>
      <c r="C629" s="1">
        <v>42359</v>
      </c>
      <c r="D629" s="1">
        <v>42376</v>
      </c>
      <c r="E629">
        <v>22</v>
      </c>
      <c r="F629" t="s">
        <v>331</v>
      </c>
      <c r="G629" t="s">
        <v>16</v>
      </c>
      <c r="H629" t="s">
        <v>1236</v>
      </c>
      <c r="I629">
        <v>3.9062000000000001</v>
      </c>
      <c r="J629">
        <v>48111.29</v>
      </c>
      <c r="K629">
        <v>12316.647893093032</v>
      </c>
    </row>
    <row r="630" spans="1:11" x14ac:dyDescent="0.25">
      <c r="A630" t="s">
        <v>428</v>
      </c>
      <c r="B630" t="s">
        <v>1231</v>
      </c>
      <c r="C630" s="1">
        <v>42361</v>
      </c>
      <c r="D630" s="1">
        <v>42368</v>
      </c>
      <c r="E630">
        <v>22</v>
      </c>
      <c r="F630" t="s">
        <v>331</v>
      </c>
      <c r="G630" t="s">
        <v>16</v>
      </c>
      <c r="H630" t="s">
        <v>4811</v>
      </c>
      <c r="I630">
        <v>3.9769999999999999</v>
      </c>
      <c r="J630">
        <v>40709.550000000003</v>
      </c>
      <c r="K630">
        <v>10236.245914005533</v>
      </c>
    </row>
    <row r="631" spans="1:11" x14ac:dyDescent="0.25">
      <c r="A631" t="s">
        <v>428</v>
      </c>
      <c r="B631" t="s">
        <v>1231</v>
      </c>
      <c r="C631" s="1">
        <v>42359</v>
      </c>
      <c r="D631" s="1">
        <v>42377</v>
      </c>
      <c r="E631">
        <v>22</v>
      </c>
      <c r="F631" t="s">
        <v>331</v>
      </c>
      <c r="G631" t="s">
        <v>16</v>
      </c>
      <c r="H631" t="s">
        <v>4812</v>
      </c>
      <c r="I631">
        <v>3.9062000000000001</v>
      </c>
      <c r="J631">
        <v>64765.2</v>
      </c>
      <c r="K631">
        <v>16580.103425323843</v>
      </c>
    </row>
    <row r="632" spans="1:11" x14ac:dyDescent="0.25">
      <c r="A632" t="s">
        <v>428</v>
      </c>
      <c r="B632" t="s">
        <v>1231</v>
      </c>
      <c r="C632" s="1">
        <v>42357</v>
      </c>
      <c r="D632" s="1">
        <v>42377</v>
      </c>
      <c r="E632">
        <v>22</v>
      </c>
      <c r="F632" t="s">
        <v>331</v>
      </c>
      <c r="G632" t="s">
        <v>16</v>
      </c>
      <c r="H632" t="s">
        <v>4813</v>
      </c>
      <c r="I632">
        <v>3.9062000000000001</v>
      </c>
      <c r="J632">
        <v>40942.480000000003</v>
      </c>
      <c r="K632">
        <v>10481.409042035739</v>
      </c>
    </row>
    <row r="633" spans="1:11" x14ac:dyDescent="0.25">
      <c r="A633" t="s">
        <v>2229</v>
      </c>
      <c r="B633" t="s">
        <v>2230</v>
      </c>
      <c r="C633" s="1">
        <v>42356</v>
      </c>
      <c r="D633" s="1">
        <v>42398</v>
      </c>
      <c r="E633">
        <v>2326</v>
      </c>
      <c r="F633" t="s">
        <v>370</v>
      </c>
      <c r="G633" t="s">
        <v>16</v>
      </c>
      <c r="H633" t="s">
        <v>4814</v>
      </c>
      <c r="I633">
        <v>3.8929</v>
      </c>
      <c r="J633">
        <v>250387.44</v>
      </c>
      <c r="K633">
        <v>64319.001258701741</v>
      </c>
    </row>
    <row r="634" spans="1:11" x14ac:dyDescent="0.25">
      <c r="A634" t="s">
        <v>342</v>
      </c>
      <c r="B634" t="s">
        <v>1169</v>
      </c>
      <c r="C634" s="1">
        <v>41999</v>
      </c>
      <c r="D634" s="1">
        <v>42367</v>
      </c>
      <c r="E634">
        <v>2</v>
      </c>
      <c r="F634" t="s">
        <v>675</v>
      </c>
      <c r="G634" t="s">
        <v>16</v>
      </c>
      <c r="H634" t="s">
        <v>1237</v>
      </c>
      <c r="I634">
        <v>2.6831999999999998</v>
      </c>
      <c r="J634">
        <v>62090</v>
      </c>
      <c r="K634">
        <v>23140.280262373286</v>
      </c>
    </row>
    <row r="635" spans="1:11" x14ac:dyDescent="0.25">
      <c r="A635" t="s">
        <v>429</v>
      </c>
      <c r="B635" t="s">
        <v>1216</v>
      </c>
      <c r="C635" s="1">
        <v>42391</v>
      </c>
      <c r="D635" s="1">
        <v>42404</v>
      </c>
      <c r="E635">
        <v>5</v>
      </c>
      <c r="F635" t="s">
        <v>301</v>
      </c>
      <c r="G635" t="s">
        <v>16</v>
      </c>
      <c r="H635" t="s">
        <v>1238</v>
      </c>
      <c r="I635">
        <v>4.1558000000000002</v>
      </c>
      <c r="J635">
        <v>62436.53</v>
      </c>
      <c r="K635">
        <v>15023.949660715145</v>
      </c>
    </row>
    <row r="636" spans="1:11" x14ac:dyDescent="0.25">
      <c r="A636" t="s">
        <v>489</v>
      </c>
      <c r="B636" t="s">
        <v>1767</v>
      </c>
      <c r="C636" s="1">
        <v>42399</v>
      </c>
      <c r="D636" s="1">
        <v>42402</v>
      </c>
      <c r="E636">
        <v>570</v>
      </c>
      <c r="F636" t="s">
        <v>331</v>
      </c>
      <c r="G636" t="s">
        <v>16</v>
      </c>
      <c r="H636" t="s">
        <v>4815</v>
      </c>
      <c r="I636">
        <v>4.0427999999999997</v>
      </c>
      <c r="J636">
        <v>69045.429999999993</v>
      </c>
      <c r="K636">
        <v>17078.616305530821</v>
      </c>
    </row>
    <row r="637" spans="1:11" x14ac:dyDescent="0.25">
      <c r="A637" t="s">
        <v>62</v>
      </c>
      <c r="B637" t="s">
        <v>63</v>
      </c>
      <c r="C637" s="1">
        <v>42398</v>
      </c>
      <c r="D637" s="1">
        <v>42410</v>
      </c>
      <c r="E637">
        <v>1</v>
      </c>
      <c r="F637" t="s">
        <v>368</v>
      </c>
      <c r="G637" t="s">
        <v>16</v>
      </c>
      <c r="H637" t="s">
        <v>1239</v>
      </c>
      <c r="I637">
        <v>4.0838000000000001</v>
      </c>
      <c r="J637">
        <v>73227.73</v>
      </c>
      <c r="K637">
        <v>17931.272344385132</v>
      </c>
    </row>
    <row r="638" spans="1:11" x14ac:dyDescent="0.25">
      <c r="A638" t="s">
        <v>118</v>
      </c>
      <c r="B638" t="s">
        <v>119</v>
      </c>
      <c r="C638" s="1">
        <v>42423</v>
      </c>
      <c r="D638" s="1">
        <v>42431</v>
      </c>
      <c r="E638">
        <v>2</v>
      </c>
      <c r="F638" t="s">
        <v>301</v>
      </c>
      <c r="G638" t="s">
        <v>16</v>
      </c>
      <c r="H638" t="s">
        <v>1240</v>
      </c>
      <c r="I638">
        <v>3.9618000000000002</v>
      </c>
      <c r="J638">
        <v>67230</v>
      </c>
      <c r="K638">
        <v>16969.559291231257</v>
      </c>
    </row>
    <row r="639" spans="1:11" x14ac:dyDescent="0.25">
      <c r="A639" t="s">
        <v>472</v>
      </c>
      <c r="B639" t="s">
        <v>1769</v>
      </c>
      <c r="C639" s="1">
        <v>42405</v>
      </c>
      <c r="D639" s="1">
        <v>42420</v>
      </c>
      <c r="E639">
        <v>782</v>
      </c>
      <c r="F639" t="s">
        <v>301</v>
      </c>
      <c r="G639" t="s">
        <v>16</v>
      </c>
      <c r="H639" t="s">
        <v>4816</v>
      </c>
      <c r="I639">
        <v>3.8653</v>
      </c>
      <c r="J639">
        <v>68601.61</v>
      </c>
      <c r="K639">
        <v>17748.068713941997</v>
      </c>
    </row>
    <row r="640" spans="1:11" x14ac:dyDescent="0.25">
      <c r="A640" t="s">
        <v>332</v>
      </c>
      <c r="B640" t="s">
        <v>1241</v>
      </c>
      <c r="C640" s="1">
        <v>42420</v>
      </c>
      <c r="D640" s="1">
        <v>42424</v>
      </c>
      <c r="E640">
        <v>2758</v>
      </c>
      <c r="F640" t="s">
        <v>331</v>
      </c>
      <c r="G640" t="s">
        <v>16</v>
      </c>
      <c r="H640" t="s">
        <v>1242</v>
      </c>
      <c r="I640">
        <v>4.0491999999999999</v>
      </c>
      <c r="J640">
        <v>68683.679999999993</v>
      </c>
      <c r="K640">
        <v>16962.283907932429</v>
      </c>
    </row>
    <row r="641" spans="1:11" x14ac:dyDescent="0.25">
      <c r="A641" t="s">
        <v>1243</v>
      </c>
      <c r="B641" t="s">
        <v>1244</v>
      </c>
      <c r="C641" s="1">
        <v>42414</v>
      </c>
      <c r="D641" s="1">
        <v>42416</v>
      </c>
      <c r="E641">
        <v>2461</v>
      </c>
      <c r="F641" t="s">
        <v>368</v>
      </c>
      <c r="G641" t="s">
        <v>16</v>
      </c>
      <c r="H641" t="s">
        <v>1245</v>
      </c>
      <c r="I641">
        <v>3.9891000000000001</v>
      </c>
      <c r="J641">
        <v>56211.77</v>
      </c>
      <c r="K641">
        <v>14091.341405329524</v>
      </c>
    </row>
    <row r="642" spans="1:11" x14ac:dyDescent="0.25">
      <c r="A642" t="s">
        <v>354</v>
      </c>
      <c r="B642" t="s">
        <v>1246</v>
      </c>
      <c r="C642" s="1">
        <v>42423</v>
      </c>
      <c r="D642" s="1">
        <v>42431</v>
      </c>
      <c r="E642">
        <v>1922</v>
      </c>
      <c r="F642" t="s">
        <v>301</v>
      </c>
      <c r="G642" t="s">
        <v>16</v>
      </c>
      <c r="H642" t="s">
        <v>1247</v>
      </c>
      <c r="I642">
        <v>3.9618000000000002</v>
      </c>
      <c r="J642">
        <v>5348.43</v>
      </c>
      <c r="K642">
        <v>1350</v>
      </c>
    </row>
    <row r="643" spans="1:11" x14ac:dyDescent="0.25">
      <c r="A643" t="s">
        <v>218</v>
      </c>
      <c r="B643" t="s">
        <v>219</v>
      </c>
      <c r="C643" s="1">
        <v>42423</v>
      </c>
      <c r="D643" s="1">
        <v>42431</v>
      </c>
      <c r="E643">
        <v>2</v>
      </c>
      <c r="F643" t="s">
        <v>301</v>
      </c>
      <c r="G643" t="s">
        <v>16</v>
      </c>
      <c r="H643" t="s">
        <v>4817</v>
      </c>
      <c r="I643">
        <v>3.9618000000000002</v>
      </c>
      <c r="J643">
        <v>67230</v>
      </c>
      <c r="K643">
        <v>16969.559291231257</v>
      </c>
    </row>
    <row r="644" spans="1:11" x14ac:dyDescent="0.25">
      <c r="A644" t="s">
        <v>473</v>
      </c>
      <c r="B644" t="s">
        <v>1248</v>
      </c>
      <c r="C644" s="1">
        <v>42408</v>
      </c>
      <c r="D644" s="1">
        <v>42417</v>
      </c>
      <c r="E644">
        <v>641</v>
      </c>
      <c r="F644" t="s">
        <v>409</v>
      </c>
      <c r="G644" t="s">
        <v>16</v>
      </c>
      <c r="H644" t="s">
        <v>1249</v>
      </c>
      <c r="I644">
        <v>3.8975</v>
      </c>
      <c r="J644">
        <v>64222.080000000002</v>
      </c>
      <c r="K644">
        <v>16477.762668377163</v>
      </c>
    </row>
    <row r="645" spans="1:11" x14ac:dyDescent="0.25">
      <c r="A645" t="s">
        <v>2238</v>
      </c>
      <c r="B645" t="s">
        <v>2239</v>
      </c>
      <c r="C645" s="1">
        <v>42416</v>
      </c>
      <c r="D645" s="1">
        <v>42418</v>
      </c>
      <c r="E645">
        <v>724</v>
      </c>
      <c r="F645" t="s">
        <v>368</v>
      </c>
      <c r="G645" t="s">
        <v>16</v>
      </c>
      <c r="H645" t="s">
        <v>4818</v>
      </c>
      <c r="I645">
        <v>3.9885000000000002</v>
      </c>
      <c r="J645">
        <v>43579.1</v>
      </c>
      <c r="K645">
        <v>10926.18778989595</v>
      </c>
    </row>
    <row r="646" spans="1:11" x14ac:dyDescent="0.25">
      <c r="A646" t="s">
        <v>179</v>
      </c>
      <c r="B646" t="s">
        <v>180</v>
      </c>
      <c r="C646" s="1">
        <v>42398</v>
      </c>
      <c r="D646" s="1">
        <v>42402</v>
      </c>
      <c r="E646">
        <v>1</v>
      </c>
      <c r="F646" t="s">
        <v>368</v>
      </c>
      <c r="G646" t="s">
        <v>16</v>
      </c>
      <c r="H646" t="s">
        <v>4819</v>
      </c>
      <c r="I646">
        <v>4.0838000000000001</v>
      </c>
      <c r="J646">
        <v>73554.86</v>
      </c>
      <c r="K646">
        <v>18011.376658994075</v>
      </c>
    </row>
    <row r="647" spans="1:11" x14ac:dyDescent="0.25">
      <c r="A647" t="s">
        <v>179</v>
      </c>
      <c r="B647" t="s">
        <v>180</v>
      </c>
      <c r="C647" s="1">
        <v>42399</v>
      </c>
      <c r="D647" s="1">
        <v>42402</v>
      </c>
      <c r="E647">
        <v>1</v>
      </c>
      <c r="F647" t="s">
        <v>368</v>
      </c>
      <c r="G647" t="s">
        <v>16</v>
      </c>
      <c r="H647" t="s">
        <v>4820</v>
      </c>
      <c r="I647">
        <v>4.0427999999999997</v>
      </c>
      <c r="J647">
        <v>54777.29</v>
      </c>
      <c r="K647">
        <v>13549.344513703374</v>
      </c>
    </row>
    <row r="648" spans="1:11" x14ac:dyDescent="0.25">
      <c r="A648" t="s">
        <v>332</v>
      </c>
      <c r="B648" t="s">
        <v>1241</v>
      </c>
      <c r="C648" s="1">
        <v>42420</v>
      </c>
      <c r="D648" s="1">
        <v>42427</v>
      </c>
      <c r="E648">
        <v>2758</v>
      </c>
      <c r="F648" t="s">
        <v>331</v>
      </c>
      <c r="G648" t="s">
        <v>16</v>
      </c>
      <c r="H648" t="s">
        <v>4821</v>
      </c>
      <c r="I648">
        <v>4.0491999999999999</v>
      </c>
      <c r="J648">
        <v>68402.880000000005</v>
      </c>
      <c r="K648">
        <v>16892.936876420034</v>
      </c>
    </row>
    <row r="649" spans="1:11" x14ac:dyDescent="0.25">
      <c r="A649" t="s">
        <v>410</v>
      </c>
      <c r="B649" t="s">
        <v>1250</v>
      </c>
      <c r="C649" s="1">
        <v>42429</v>
      </c>
      <c r="D649" s="1">
        <v>42436</v>
      </c>
      <c r="E649">
        <v>2108</v>
      </c>
      <c r="F649" t="s">
        <v>409</v>
      </c>
      <c r="G649" t="s">
        <v>16</v>
      </c>
      <c r="H649" t="s">
        <v>1251</v>
      </c>
      <c r="I649">
        <v>3.9578000000000002</v>
      </c>
      <c r="J649">
        <v>48758.97</v>
      </c>
      <c r="K649">
        <v>12319.715498509273</v>
      </c>
    </row>
    <row r="650" spans="1:11" x14ac:dyDescent="0.25">
      <c r="A650" t="s">
        <v>1243</v>
      </c>
      <c r="B650" t="s">
        <v>1244</v>
      </c>
      <c r="C650" s="1">
        <v>42434</v>
      </c>
      <c r="D650" s="1">
        <v>42436</v>
      </c>
      <c r="E650">
        <v>2461</v>
      </c>
      <c r="F650" t="s">
        <v>368</v>
      </c>
      <c r="G650" t="s">
        <v>16</v>
      </c>
      <c r="H650" t="s">
        <v>4822</v>
      </c>
      <c r="I650">
        <v>3.7187999999999999</v>
      </c>
      <c r="J650">
        <v>51957.41</v>
      </c>
      <c r="K650">
        <v>13971.552651392922</v>
      </c>
    </row>
    <row r="651" spans="1:11" x14ac:dyDescent="0.25">
      <c r="A651" t="s">
        <v>1243</v>
      </c>
      <c r="B651" t="s">
        <v>1244</v>
      </c>
      <c r="C651" s="1">
        <v>42443</v>
      </c>
      <c r="D651" s="1">
        <v>42446</v>
      </c>
      <c r="E651">
        <v>2461</v>
      </c>
      <c r="F651" t="s">
        <v>368</v>
      </c>
      <c r="G651" t="s">
        <v>16</v>
      </c>
      <c r="H651" t="s">
        <v>1252</v>
      </c>
      <c r="I651">
        <v>3.6271</v>
      </c>
      <c r="J651">
        <v>40985.71</v>
      </c>
      <c r="K651">
        <v>11299.856634777094</v>
      </c>
    </row>
    <row r="652" spans="1:11" x14ac:dyDescent="0.25">
      <c r="A652" t="s">
        <v>1243</v>
      </c>
      <c r="B652" t="s">
        <v>1244</v>
      </c>
      <c r="C652" s="1">
        <v>42438</v>
      </c>
      <c r="D652" s="1">
        <v>42439</v>
      </c>
      <c r="E652">
        <v>2461</v>
      </c>
      <c r="F652" t="s">
        <v>368</v>
      </c>
      <c r="G652" t="s">
        <v>16</v>
      </c>
      <c r="H652" t="s">
        <v>4823</v>
      </c>
      <c r="I652">
        <v>3.7812999999999999</v>
      </c>
      <c r="J652">
        <v>42231.43</v>
      </c>
      <c r="K652">
        <v>11168.494962050088</v>
      </c>
    </row>
    <row r="653" spans="1:11" x14ac:dyDescent="0.25">
      <c r="A653" t="s">
        <v>1253</v>
      </c>
      <c r="B653" t="s">
        <v>1254</v>
      </c>
      <c r="C653" s="1">
        <v>42436</v>
      </c>
      <c r="D653" s="1">
        <v>42440</v>
      </c>
      <c r="E653">
        <v>2359</v>
      </c>
      <c r="F653" t="s">
        <v>1255</v>
      </c>
      <c r="G653" t="s">
        <v>16</v>
      </c>
      <c r="H653" t="s">
        <v>1256</v>
      </c>
      <c r="I653">
        <v>3.7187999999999999</v>
      </c>
      <c r="J653">
        <v>237809.46</v>
      </c>
      <c r="K653">
        <v>63947.902549209422</v>
      </c>
    </row>
    <row r="654" spans="1:11" x14ac:dyDescent="0.25">
      <c r="A654" t="s">
        <v>147</v>
      </c>
      <c r="B654" t="s">
        <v>148</v>
      </c>
      <c r="C654" s="1">
        <v>42452</v>
      </c>
      <c r="D654" s="1">
        <v>42458</v>
      </c>
      <c r="E654">
        <v>3</v>
      </c>
      <c r="F654" t="s">
        <v>331</v>
      </c>
      <c r="G654" t="s">
        <v>16</v>
      </c>
      <c r="H654" t="s">
        <v>1257</v>
      </c>
      <c r="I654">
        <v>3.6073</v>
      </c>
      <c r="J654">
        <v>69693</v>
      </c>
      <c r="K654">
        <v>19319.990020236743</v>
      </c>
    </row>
    <row r="655" spans="1:11" x14ac:dyDescent="0.25">
      <c r="A655" t="s">
        <v>149</v>
      </c>
      <c r="B655" t="s">
        <v>150</v>
      </c>
      <c r="C655" s="1">
        <v>42453</v>
      </c>
      <c r="D655" s="1">
        <v>42460</v>
      </c>
      <c r="E655">
        <v>2</v>
      </c>
      <c r="F655" t="s">
        <v>331</v>
      </c>
      <c r="G655" t="s">
        <v>16</v>
      </c>
      <c r="H655" t="s">
        <v>1258</v>
      </c>
      <c r="I655">
        <v>3.6530999999999998</v>
      </c>
      <c r="J655">
        <v>101861.75999999999</v>
      </c>
      <c r="K655">
        <v>27883.649503161698</v>
      </c>
    </row>
    <row r="656" spans="1:11" x14ac:dyDescent="0.25">
      <c r="A656" t="s">
        <v>149</v>
      </c>
      <c r="B656" t="s">
        <v>150</v>
      </c>
      <c r="C656" s="1">
        <v>42453</v>
      </c>
      <c r="D656" s="1">
        <v>42460</v>
      </c>
      <c r="E656">
        <v>2</v>
      </c>
      <c r="F656" t="s">
        <v>331</v>
      </c>
      <c r="G656" t="s">
        <v>16</v>
      </c>
      <c r="H656" t="s">
        <v>1259</v>
      </c>
      <c r="I656">
        <v>3.6530999999999998</v>
      </c>
      <c r="J656">
        <v>77574.509999999995</v>
      </c>
      <c r="K656">
        <v>21235.254988913526</v>
      </c>
    </row>
    <row r="657" spans="1:11" x14ac:dyDescent="0.25">
      <c r="A657" t="s">
        <v>224</v>
      </c>
      <c r="B657" t="s">
        <v>225</v>
      </c>
      <c r="C657" s="1">
        <v>42453</v>
      </c>
      <c r="D657" s="1">
        <v>42460</v>
      </c>
      <c r="E657">
        <v>2</v>
      </c>
      <c r="F657" t="s">
        <v>331</v>
      </c>
      <c r="G657" t="s">
        <v>16</v>
      </c>
      <c r="H657" t="s">
        <v>1260</v>
      </c>
      <c r="I657">
        <v>3.6530999999999998</v>
      </c>
      <c r="J657">
        <v>73771.23</v>
      </c>
      <c r="K657">
        <v>20194.144699022749</v>
      </c>
    </row>
    <row r="658" spans="1:11" x14ac:dyDescent="0.25">
      <c r="A658" t="s">
        <v>104</v>
      </c>
      <c r="B658" t="s">
        <v>105</v>
      </c>
      <c r="C658" s="1">
        <v>42452</v>
      </c>
      <c r="D658" s="1">
        <v>42458</v>
      </c>
      <c r="E658">
        <v>3</v>
      </c>
      <c r="F658" t="s">
        <v>331</v>
      </c>
      <c r="G658" t="s">
        <v>16</v>
      </c>
      <c r="H658" t="s">
        <v>1261</v>
      </c>
      <c r="I658">
        <v>3.6073</v>
      </c>
      <c r="J658">
        <v>72910.89</v>
      </c>
      <c r="K658">
        <v>20212.039475507998</v>
      </c>
    </row>
    <row r="659" spans="1:11" x14ac:dyDescent="0.25">
      <c r="A659" t="s">
        <v>104</v>
      </c>
      <c r="B659" t="s">
        <v>105</v>
      </c>
      <c r="C659" s="1">
        <v>42453</v>
      </c>
      <c r="D659" s="1">
        <v>42458</v>
      </c>
      <c r="E659">
        <v>3</v>
      </c>
      <c r="F659" t="s">
        <v>331</v>
      </c>
      <c r="G659" t="s">
        <v>16</v>
      </c>
      <c r="H659" t="s">
        <v>1262</v>
      </c>
      <c r="I659">
        <v>3.6530999999999998</v>
      </c>
      <c r="J659">
        <v>69129.45</v>
      </c>
      <c r="K659">
        <v>18923.503325942351</v>
      </c>
    </row>
    <row r="660" spans="1:11" x14ac:dyDescent="0.25">
      <c r="A660" t="s">
        <v>104</v>
      </c>
      <c r="B660" t="s">
        <v>105</v>
      </c>
      <c r="C660" s="1">
        <v>42453</v>
      </c>
      <c r="D660" s="1">
        <v>42458</v>
      </c>
      <c r="E660">
        <v>3</v>
      </c>
      <c r="F660" t="s">
        <v>331</v>
      </c>
      <c r="G660" t="s">
        <v>16</v>
      </c>
      <c r="H660" t="s">
        <v>4824</v>
      </c>
      <c r="I660">
        <v>3.6530999999999998</v>
      </c>
      <c r="J660">
        <v>70232.37</v>
      </c>
      <c r="K660">
        <v>19225.416769319207</v>
      </c>
    </row>
    <row r="661" spans="1:11" x14ac:dyDescent="0.25">
      <c r="A661" t="s">
        <v>104</v>
      </c>
      <c r="B661" t="s">
        <v>105</v>
      </c>
      <c r="C661" s="1">
        <v>42454</v>
      </c>
      <c r="D661" s="1">
        <v>42458</v>
      </c>
      <c r="E661">
        <v>3</v>
      </c>
      <c r="F661" t="s">
        <v>331</v>
      </c>
      <c r="G661" t="s">
        <v>16</v>
      </c>
      <c r="H661" t="s">
        <v>4825</v>
      </c>
      <c r="I661">
        <v>3.6947999999999999</v>
      </c>
      <c r="J661">
        <v>69208.23</v>
      </c>
      <c r="K661">
        <v>18731.25202987983</v>
      </c>
    </row>
    <row r="662" spans="1:11" x14ac:dyDescent="0.25">
      <c r="A662" t="s">
        <v>147</v>
      </c>
      <c r="B662" t="s">
        <v>148</v>
      </c>
      <c r="C662" s="1">
        <v>42453</v>
      </c>
      <c r="D662" s="1">
        <v>42459</v>
      </c>
      <c r="E662">
        <v>3</v>
      </c>
      <c r="F662" t="s">
        <v>331</v>
      </c>
      <c r="G662" t="s">
        <v>16</v>
      </c>
      <c r="H662" t="s">
        <v>1263</v>
      </c>
      <c r="I662">
        <v>3.6530999999999998</v>
      </c>
      <c r="J662">
        <v>90207</v>
      </c>
      <c r="K662">
        <v>24693.274205469326</v>
      </c>
    </row>
    <row r="663" spans="1:11" x14ac:dyDescent="0.25">
      <c r="A663" t="s">
        <v>1243</v>
      </c>
      <c r="B663" t="s">
        <v>1244</v>
      </c>
      <c r="C663" s="1">
        <v>42455</v>
      </c>
      <c r="D663" s="1">
        <v>42459</v>
      </c>
      <c r="E663">
        <v>2461</v>
      </c>
      <c r="F663" t="s">
        <v>368</v>
      </c>
      <c r="G663" t="s">
        <v>16</v>
      </c>
      <c r="H663" t="s">
        <v>1264</v>
      </c>
      <c r="I663">
        <v>3.6947999999999999</v>
      </c>
      <c r="J663">
        <v>26442.16</v>
      </c>
      <c r="K663">
        <v>7156.5876366785751</v>
      </c>
    </row>
    <row r="664" spans="1:11" x14ac:dyDescent="0.25">
      <c r="A664" t="s">
        <v>1265</v>
      </c>
      <c r="B664" t="s">
        <v>1266</v>
      </c>
      <c r="C664" s="1">
        <v>42467</v>
      </c>
      <c r="D664" s="1">
        <v>42472</v>
      </c>
      <c r="E664">
        <v>4070</v>
      </c>
      <c r="F664" t="s">
        <v>331</v>
      </c>
      <c r="G664" t="s">
        <v>16</v>
      </c>
      <c r="H664" t="s">
        <v>4826</v>
      </c>
      <c r="I664">
        <v>3.6749000000000001</v>
      </c>
      <c r="J664">
        <v>41893.86</v>
      </c>
      <c r="K664">
        <v>11400</v>
      </c>
    </row>
    <row r="665" spans="1:11" x14ac:dyDescent="0.25">
      <c r="A665" t="s">
        <v>1265</v>
      </c>
      <c r="B665" t="s">
        <v>1266</v>
      </c>
      <c r="C665" s="1">
        <v>42467</v>
      </c>
      <c r="D665" s="1">
        <v>42474</v>
      </c>
      <c r="E665">
        <v>4070</v>
      </c>
      <c r="F665" t="s">
        <v>331</v>
      </c>
      <c r="G665" t="s">
        <v>16</v>
      </c>
      <c r="H665" t="s">
        <v>1267</v>
      </c>
      <c r="I665">
        <v>3.6749000000000001</v>
      </c>
      <c r="J665">
        <v>43249.9</v>
      </c>
      <c r="K665">
        <v>11769.000517020871</v>
      </c>
    </row>
    <row r="666" spans="1:11" x14ac:dyDescent="0.25">
      <c r="A666" t="s">
        <v>1265</v>
      </c>
      <c r="B666" t="s">
        <v>1266</v>
      </c>
      <c r="C666" s="1">
        <v>42467</v>
      </c>
      <c r="D666" s="1">
        <v>42472</v>
      </c>
      <c r="E666">
        <v>4070</v>
      </c>
      <c r="F666" t="s">
        <v>331</v>
      </c>
      <c r="G666" t="s">
        <v>16</v>
      </c>
      <c r="H666" t="s">
        <v>1268</v>
      </c>
      <c r="I666">
        <v>3.6749000000000001</v>
      </c>
      <c r="J666">
        <v>45212.29</v>
      </c>
      <c r="K666">
        <v>12302.998721053635</v>
      </c>
    </row>
    <row r="667" spans="1:11" x14ac:dyDescent="0.25">
      <c r="A667" t="s">
        <v>1269</v>
      </c>
      <c r="B667" t="s">
        <v>1270</v>
      </c>
      <c r="C667" s="1">
        <v>42408</v>
      </c>
      <c r="D667" s="1">
        <v>42462</v>
      </c>
      <c r="E667">
        <v>3859</v>
      </c>
      <c r="F667" t="s">
        <v>675</v>
      </c>
      <c r="G667" t="s">
        <v>16</v>
      </c>
      <c r="H667" t="s">
        <v>1271</v>
      </c>
      <c r="I667">
        <v>3.8975</v>
      </c>
      <c r="J667">
        <v>28199.599999999999</v>
      </c>
      <c r="K667">
        <v>7235.3046824887751</v>
      </c>
    </row>
    <row r="668" spans="1:11" x14ac:dyDescent="0.25">
      <c r="A668" t="s">
        <v>1272</v>
      </c>
      <c r="B668" t="s">
        <v>1273</v>
      </c>
      <c r="C668" s="1">
        <v>42451</v>
      </c>
      <c r="D668" s="1">
        <v>42462</v>
      </c>
      <c r="E668">
        <v>3639</v>
      </c>
      <c r="F668" t="s">
        <v>311</v>
      </c>
      <c r="G668" t="s">
        <v>16</v>
      </c>
      <c r="H668" t="s">
        <v>1274</v>
      </c>
      <c r="I668">
        <v>3.6229</v>
      </c>
      <c r="J668">
        <v>199226.5</v>
      </c>
      <c r="K668">
        <v>54990.891274945483</v>
      </c>
    </row>
    <row r="669" spans="1:11" x14ac:dyDescent="0.25">
      <c r="A669" t="s">
        <v>128</v>
      </c>
      <c r="B669" t="s">
        <v>129</v>
      </c>
      <c r="C669" s="1">
        <v>42452</v>
      </c>
      <c r="D669" s="1">
        <v>42464</v>
      </c>
      <c r="E669">
        <v>2</v>
      </c>
      <c r="F669" t="s">
        <v>331</v>
      </c>
      <c r="G669" t="s">
        <v>16</v>
      </c>
      <c r="H669" t="s">
        <v>4827</v>
      </c>
      <c r="I669">
        <v>3.6073</v>
      </c>
      <c r="J669">
        <v>105458.34</v>
      </c>
      <c r="K669">
        <v>29234.701854572671</v>
      </c>
    </row>
    <row r="670" spans="1:11" x14ac:dyDescent="0.25">
      <c r="A670" t="s">
        <v>1275</v>
      </c>
      <c r="B670" t="s">
        <v>1276</v>
      </c>
      <c r="C670" s="1">
        <v>42436</v>
      </c>
      <c r="D670" s="1">
        <v>42440</v>
      </c>
      <c r="E670">
        <v>1444</v>
      </c>
      <c r="F670" t="s">
        <v>368</v>
      </c>
      <c r="G670" t="s">
        <v>16</v>
      </c>
      <c r="H670" t="s">
        <v>1277</v>
      </c>
      <c r="I670">
        <v>3.7187999999999999</v>
      </c>
      <c r="J670">
        <v>68298.62</v>
      </c>
      <c r="K670">
        <v>18365.768527481985</v>
      </c>
    </row>
    <row r="671" spans="1:11" x14ac:dyDescent="0.25">
      <c r="A671" t="s">
        <v>1243</v>
      </c>
      <c r="B671" t="s">
        <v>1244</v>
      </c>
      <c r="C671" s="1">
        <v>42440</v>
      </c>
      <c r="D671" s="1">
        <v>42441</v>
      </c>
      <c r="E671">
        <v>2461</v>
      </c>
      <c r="F671" t="s">
        <v>368</v>
      </c>
      <c r="G671" t="s">
        <v>16</v>
      </c>
      <c r="H671" t="s">
        <v>4828</v>
      </c>
      <c r="I671">
        <v>3.67</v>
      </c>
      <c r="J671">
        <v>40195.33</v>
      </c>
      <c r="K671">
        <v>10952.405994550409</v>
      </c>
    </row>
    <row r="672" spans="1:11" x14ac:dyDescent="0.25">
      <c r="A672" t="s">
        <v>1243</v>
      </c>
      <c r="B672" t="s">
        <v>1244</v>
      </c>
      <c r="C672" s="1">
        <v>42443</v>
      </c>
      <c r="D672" s="1">
        <v>42445</v>
      </c>
      <c r="E672">
        <v>2461</v>
      </c>
      <c r="F672" t="s">
        <v>368</v>
      </c>
      <c r="G672" t="s">
        <v>16</v>
      </c>
      <c r="H672" t="s">
        <v>1278</v>
      </c>
      <c r="I672">
        <v>3.6271</v>
      </c>
      <c r="J672">
        <v>40731.5</v>
      </c>
      <c r="K672">
        <v>11229.770339941</v>
      </c>
    </row>
    <row r="673" spans="1:11" x14ac:dyDescent="0.25">
      <c r="A673" t="s">
        <v>353</v>
      </c>
      <c r="B673" t="s">
        <v>352</v>
      </c>
      <c r="C673" s="1">
        <v>42444</v>
      </c>
      <c r="D673" s="1">
        <v>42448</v>
      </c>
      <c r="E673">
        <v>981</v>
      </c>
      <c r="F673" t="s">
        <v>675</v>
      </c>
      <c r="G673" t="s">
        <v>16</v>
      </c>
      <c r="H673" t="s">
        <v>4829</v>
      </c>
      <c r="I673">
        <v>3.6238999999999999</v>
      </c>
      <c r="J673">
        <v>113958</v>
      </c>
      <c r="K673">
        <v>31446.231960043049</v>
      </c>
    </row>
    <row r="674" spans="1:11" x14ac:dyDescent="0.25">
      <c r="A674" t="s">
        <v>104</v>
      </c>
      <c r="B674" t="s">
        <v>105</v>
      </c>
      <c r="C674" s="1">
        <v>42452</v>
      </c>
      <c r="D674" s="1">
        <v>42461</v>
      </c>
      <c r="E674">
        <v>3</v>
      </c>
      <c r="F674" t="s">
        <v>331</v>
      </c>
      <c r="G674" t="s">
        <v>16</v>
      </c>
      <c r="H674" t="s">
        <v>4830</v>
      </c>
      <c r="I674">
        <v>3.6073</v>
      </c>
      <c r="J674">
        <v>90321.27</v>
      </c>
      <c r="K674">
        <v>25038.469215202505</v>
      </c>
    </row>
    <row r="675" spans="1:11" x14ac:dyDescent="0.25">
      <c r="A675" t="s">
        <v>104</v>
      </c>
      <c r="B675" t="s">
        <v>105</v>
      </c>
      <c r="C675" s="1">
        <v>42457</v>
      </c>
      <c r="D675" s="1">
        <v>42461</v>
      </c>
      <c r="E675">
        <v>3</v>
      </c>
      <c r="F675" t="s">
        <v>331</v>
      </c>
      <c r="G675" t="s">
        <v>16</v>
      </c>
      <c r="H675" t="s">
        <v>1279</v>
      </c>
      <c r="I675">
        <v>3.6947999999999999</v>
      </c>
      <c r="J675">
        <v>73462.350000000006</v>
      </c>
      <c r="K675">
        <v>19882.632348164989</v>
      </c>
    </row>
    <row r="676" spans="1:11" x14ac:dyDescent="0.25">
      <c r="A676" t="s">
        <v>147</v>
      </c>
      <c r="B676" t="s">
        <v>148</v>
      </c>
      <c r="C676" s="1">
        <v>42457</v>
      </c>
      <c r="D676" s="1">
        <v>42461</v>
      </c>
      <c r="E676">
        <v>3</v>
      </c>
      <c r="F676" t="s">
        <v>331</v>
      </c>
      <c r="G676" t="s">
        <v>16</v>
      </c>
      <c r="H676" t="s">
        <v>1280</v>
      </c>
      <c r="I676">
        <v>3.6947999999999999</v>
      </c>
      <c r="J676">
        <v>89544</v>
      </c>
      <c r="K676">
        <v>24235.141279636246</v>
      </c>
    </row>
    <row r="677" spans="1:11" x14ac:dyDescent="0.25">
      <c r="A677" t="s">
        <v>629</v>
      </c>
      <c r="B677" t="s">
        <v>1281</v>
      </c>
      <c r="C677" s="1">
        <v>42447</v>
      </c>
      <c r="D677" s="1">
        <v>42464</v>
      </c>
      <c r="E677">
        <v>19</v>
      </c>
      <c r="F677" t="s">
        <v>1255</v>
      </c>
      <c r="G677" t="s">
        <v>16</v>
      </c>
      <c r="H677" t="s">
        <v>1282</v>
      </c>
      <c r="I677">
        <v>3.6444999999999999</v>
      </c>
      <c r="J677">
        <v>37935.730000000003</v>
      </c>
      <c r="K677">
        <v>10409.035532994923</v>
      </c>
    </row>
    <row r="678" spans="1:11" x14ac:dyDescent="0.25">
      <c r="A678" t="s">
        <v>488</v>
      </c>
      <c r="B678" t="s">
        <v>1283</v>
      </c>
      <c r="C678" s="1">
        <v>42430</v>
      </c>
      <c r="D678" s="1">
        <v>42443</v>
      </c>
      <c r="E678">
        <v>530</v>
      </c>
      <c r="F678" t="s">
        <v>409</v>
      </c>
      <c r="G678" t="s">
        <v>16</v>
      </c>
      <c r="H678" t="s">
        <v>1284</v>
      </c>
      <c r="I678">
        <v>3.9796</v>
      </c>
      <c r="J678">
        <v>67704</v>
      </c>
      <c r="K678">
        <v>17012.765102020305</v>
      </c>
    </row>
    <row r="679" spans="1:11" x14ac:dyDescent="0.25">
      <c r="A679" t="s">
        <v>147</v>
      </c>
      <c r="B679" t="s">
        <v>148</v>
      </c>
      <c r="C679" s="1">
        <v>42458</v>
      </c>
      <c r="D679" s="1">
        <v>42464</v>
      </c>
      <c r="E679">
        <v>3</v>
      </c>
      <c r="F679" t="s">
        <v>331</v>
      </c>
      <c r="G679" t="s">
        <v>16</v>
      </c>
      <c r="H679" t="s">
        <v>1285</v>
      </c>
      <c r="I679">
        <v>3.6408</v>
      </c>
      <c r="J679">
        <v>91260</v>
      </c>
      <c r="K679">
        <v>25065.919578114699</v>
      </c>
    </row>
    <row r="680" spans="1:11" x14ac:dyDescent="0.25">
      <c r="A680" t="s">
        <v>128</v>
      </c>
      <c r="B680" t="s">
        <v>129</v>
      </c>
      <c r="C680" s="1">
        <v>42452</v>
      </c>
      <c r="D680" s="1">
        <v>42460</v>
      </c>
      <c r="E680">
        <v>2</v>
      </c>
      <c r="F680" t="s">
        <v>331</v>
      </c>
      <c r="G680" t="s">
        <v>16</v>
      </c>
      <c r="H680" t="s">
        <v>4831</v>
      </c>
      <c r="I680">
        <v>3.6073</v>
      </c>
      <c r="J680">
        <v>104796.9</v>
      </c>
      <c r="K680">
        <v>29051.340337648657</v>
      </c>
    </row>
    <row r="681" spans="1:11" x14ac:dyDescent="0.25">
      <c r="A681" t="s">
        <v>147</v>
      </c>
      <c r="B681" t="s">
        <v>148</v>
      </c>
      <c r="C681" s="1">
        <v>42451</v>
      </c>
      <c r="D681" s="1">
        <v>42460</v>
      </c>
      <c r="E681">
        <v>3</v>
      </c>
      <c r="F681" t="s">
        <v>331</v>
      </c>
      <c r="G681" t="s">
        <v>16</v>
      </c>
      <c r="H681" t="s">
        <v>4832</v>
      </c>
      <c r="I681">
        <v>3.6229</v>
      </c>
      <c r="J681">
        <v>70044</v>
      </c>
      <c r="K681">
        <v>19333.682961163708</v>
      </c>
    </row>
    <row r="682" spans="1:11" x14ac:dyDescent="0.25">
      <c r="A682" t="s">
        <v>147</v>
      </c>
      <c r="B682" t="s">
        <v>148</v>
      </c>
      <c r="C682" s="1">
        <v>42452</v>
      </c>
      <c r="D682" s="1">
        <v>42460</v>
      </c>
      <c r="E682">
        <v>3</v>
      </c>
      <c r="F682" t="s">
        <v>331</v>
      </c>
      <c r="G682" t="s">
        <v>16</v>
      </c>
      <c r="H682" t="s">
        <v>573</v>
      </c>
      <c r="I682">
        <v>3.6073</v>
      </c>
      <c r="J682">
        <v>59709</v>
      </c>
      <c r="K682">
        <v>16552.26901006293</v>
      </c>
    </row>
    <row r="683" spans="1:11" x14ac:dyDescent="0.25">
      <c r="A683" t="s">
        <v>147</v>
      </c>
      <c r="B683" t="s">
        <v>148</v>
      </c>
      <c r="C683" s="1">
        <v>42454</v>
      </c>
      <c r="D683" s="1">
        <v>42460</v>
      </c>
      <c r="E683">
        <v>3</v>
      </c>
      <c r="F683" t="s">
        <v>331</v>
      </c>
      <c r="G683" t="s">
        <v>16</v>
      </c>
      <c r="H683" t="s">
        <v>1286</v>
      </c>
      <c r="I683">
        <v>3.6947999999999999</v>
      </c>
      <c r="J683">
        <v>91650</v>
      </c>
      <c r="K683">
        <v>24805.131536213055</v>
      </c>
    </row>
    <row r="684" spans="1:11" x14ac:dyDescent="0.25">
      <c r="A684" t="s">
        <v>147</v>
      </c>
      <c r="B684" t="s">
        <v>148</v>
      </c>
      <c r="C684" s="1">
        <v>42453</v>
      </c>
      <c r="D684" s="1">
        <v>42460</v>
      </c>
      <c r="E684">
        <v>3</v>
      </c>
      <c r="F684" t="s">
        <v>331</v>
      </c>
      <c r="G684" t="s">
        <v>16</v>
      </c>
      <c r="H684" t="s">
        <v>4833</v>
      </c>
      <c r="I684">
        <v>3.6530999999999998</v>
      </c>
      <c r="J684">
        <v>92430</v>
      </c>
      <c r="K684">
        <v>25301.798472530179</v>
      </c>
    </row>
    <row r="685" spans="1:11" x14ac:dyDescent="0.25">
      <c r="A685" t="s">
        <v>147</v>
      </c>
      <c r="B685" t="s">
        <v>148</v>
      </c>
      <c r="C685" s="1">
        <v>42452</v>
      </c>
      <c r="D685" s="1">
        <v>42460</v>
      </c>
      <c r="E685">
        <v>3</v>
      </c>
      <c r="F685" t="s">
        <v>331</v>
      </c>
      <c r="G685" t="s">
        <v>16</v>
      </c>
      <c r="H685" t="s">
        <v>4834</v>
      </c>
      <c r="I685">
        <v>3.6073</v>
      </c>
      <c r="J685">
        <v>91884</v>
      </c>
      <c r="K685">
        <v>25471.682421755882</v>
      </c>
    </row>
    <row r="686" spans="1:11" x14ac:dyDescent="0.25">
      <c r="A686" t="s">
        <v>179</v>
      </c>
      <c r="B686" t="s">
        <v>180</v>
      </c>
      <c r="C686" s="1">
        <v>42453</v>
      </c>
      <c r="D686" s="1">
        <v>42460</v>
      </c>
      <c r="E686">
        <v>1</v>
      </c>
      <c r="F686" t="s">
        <v>368</v>
      </c>
      <c r="G686" t="s">
        <v>16</v>
      </c>
      <c r="H686" t="s">
        <v>1287</v>
      </c>
      <c r="I686">
        <v>3.6530999999999998</v>
      </c>
      <c r="J686">
        <v>49250.34</v>
      </c>
      <c r="K686">
        <v>13481.79354520818</v>
      </c>
    </row>
    <row r="687" spans="1:11" x14ac:dyDescent="0.25">
      <c r="A687" t="s">
        <v>147</v>
      </c>
      <c r="B687" t="s">
        <v>148</v>
      </c>
      <c r="C687" s="1">
        <v>42453</v>
      </c>
      <c r="D687" s="1">
        <v>42460</v>
      </c>
      <c r="E687">
        <v>3</v>
      </c>
      <c r="F687" t="s">
        <v>331</v>
      </c>
      <c r="G687" t="s">
        <v>16</v>
      </c>
      <c r="H687" t="s">
        <v>1288</v>
      </c>
      <c r="I687">
        <v>3.6530999999999998</v>
      </c>
      <c r="J687">
        <v>91377</v>
      </c>
      <c r="K687">
        <v>25013.550135501355</v>
      </c>
    </row>
    <row r="688" spans="1:11" x14ac:dyDescent="0.25">
      <c r="A688" t="s">
        <v>1265</v>
      </c>
      <c r="B688" t="s">
        <v>1266</v>
      </c>
      <c r="C688" s="1">
        <v>42467</v>
      </c>
      <c r="D688" s="1">
        <v>42472</v>
      </c>
      <c r="E688">
        <v>4070</v>
      </c>
      <c r="F688" t="s">
        <v>331</v>
      </c>
      <c r="G688" t="s">
        <v>16</v>
      </c>
      <c r="H688" t="s">
        <v>1289</v>
      </c>
      <c r="I688">
        <v>3.6749000000000001</v>
      </c>
      <c r="J688">
        <v>43999.58</v>
      </c>
      <c r="K688">
        <v>11973.000625867371</v>
      </c>
    </row>
    <row r="689" spans="1:11" x14ac:dyDescent="0.25">
      <c r="A689" t="s">
        <v>1265</v>
      </c>
      <c r="B689" t="s">
        <v>1266</v>
      </c>
      <c r="C689" s="1">
        <v>42467</v>
      </c>
      <c r="D689" s="1">
        <v>42473</v>
      </c>
      <c r="E689">
        <v>4070</v>
      </c>
      <c r="F689" t="s">
        <v>331</v>
      </c>
      <c r="G689" t="s">
        <v>16</v>
      </c>
      <c r="H689" t="s">
        <v>4835</v>
      </c>
      <c r="I689">
        <v>3.6749000000000001</v>
      </c>
      <c r="J689">
        <v>43668.84</v>
      </c>
      <c r="K689">
        <v>11883.000897983618</v>
      </c>
    </row>
    <row r="690" spans="1:11" x14ac:dyDescent="0.25">
      <c r="A690" t="s">
        <v>562</v>
      </c>
      <c r="B690" t="s">
        <v>1223</v>
      </c>
      <c r="C690" s="1">
        <v>42395</v>
      </c>
      <c r="D690" s="1">
        <v>42403</v>
      </c>
      <c r="E690">
        <v>8</v>
      </c>
      <c r="F690" t="s">
        <v>1255</v>
      </c>
      <c r="G690" t="s">
        <v>16</v>
      </c>
      <c r="H690" t="s">
        <v>4836</v>
      </c>
      <c r="I690">
        <v>4.1002000000000001</v>
      </c>
      <c r="J690">
        <v>31613.11</v>
      </c>
      <c r="K690">
        <v>7710.1385298278137</v>
      </c>
    </row>
    <row r="691" spans="1:11" x14ac:dyDescent="0.25">
      <c r="A691" t="s">
        <v>270</v>
      </c>
      <c r="B691" t="s">
        <v>271</v>
      </c>
      <c r="C691" s="1">
        <v>42514</v>
      </c>
      <c r="D691" s="1">
        <v>42516</v>
      </c>
      <c r="E691">
        <v>3</v>
      </c>
      <c r="F691" t="s">
        <v>368</v>
      </c>
      <c r="G691" t="s">
        <v>16</v>
      </c>
      <c r="H691" t="s">
        <v>4837</v>
      </c>
      <c r="I691">
        <v>3.5659999999999998</v>
      </c>
      <c r="J691">
        <v>35887.699999999997</v>
      </c>
      <c r="K691">
        <v>10063.853056646101</v>
      </c>
    </row>
    <row r="692" spans="1:11" x14ac:dyDescent="0.25">
      <c r="A692" t="s">
        <v>270</v>
      </c>
      <c r="B692" t="s">
        <v>271</v>
      </c>
      <c r="C692" s="1">
        <v>42514</v>
      </c>
      <c r="D692" s="1">
        <v>42516</v>
      </c>
      <c r="E692">
        <v>3</v>
      </c>
      <c r="F692" t="s">
        <v>368</v>
      </c>
      <c r="G692" t="s">
        <v>16</v>
      </c>
      <c r="H692" t="s">
        <v>1290</v>
      </c>
      <c r="I692">
        <v>3.5659999999999998</v>
      </c>
      <c r="J692">
        <v>35802.660000000003</v>
      </c>
      <c r="K692">
        <v>10040.005608524958</v>
      </c>
    </row>
    <row r="693" spans="1:11" x14ac:dyDescent="0.25">
      <c r="A693" t="s">
        <v>270</v>
      </c>
      <c r="B693" t="s">
        <v>271</v>
      </c>
      <c r="C693" s="1">
        <v>42515</v>
      </c>
      <c r="D693" s="1">
        <v>42516</v>
      </c>
      <c r="E693">
        <v>3</v>
      </c>
      <c r="F693" t="s">
        <v>368</v>
      </c>
      <c r="G693" t="s">
        <v>16</v>
      </c>
      <c r="H693" t="s">
        <v>1291</v>
      </c>
      <c r="I693">
        <v>3.5491000000000001</v>
      </c>
      <c r="J693">
        <v>47266.11</v>
      </c>
      <c r="K693">
        <v>13317.773520047336</v>
      </c>
    </row>
    <row r="694" spans="1:11" x14ac:dyDescent="0.25">
      <c r="A694" t="s">
        <v>270</v>
      </c>
      <c r="B694" t="s">
        <v>271</v>
      </c>
      <c r="C694" s="1">
        <v>42516</v>
      </c>
      <c r="D694" s="1">
        <v>42517</v>
      </c>
      <c r="E694">
        <v>3</v>
      </c>
      <c r="F694" t="s">
        <v>368</v>
      </c>
      <c r="G694" t="s">
        <v>16</v>
      </c>
      <c r="H694" t="s">
        <v>1292</v>
      </c>
      <c r="I694">
        <v>3.5804</v>
      </c>
      <c r="J694">
        <v>36364.69</v>
      </c>
      <c r="K694">
        <v>10156.599821249023</v>
      </c>
    </row>
    <row r="695" spans="1:11" x14ac:dyDescent="0.25">
      <c r="A695" t="s">
        <v>270</v>
      </c>
      <c r="B695" t="s">
        <v>271</v>
      </c>
      <c r="C695" s="1">
        <v>42519</v>
      </c>
      <c r="D695" s="1">
        <v>42521</v>
      </c>
      <c r="E695">
        <v>3</v>
      </c>
      <c r="F695" t="s">
        <v>368</v>
      </c>
      <c r="G695" t="s">
        <v>16</v>
      </c>
      <c r="H695" t="s">
        <v>1293</v>
      </c>
      <c r="I695">
        <v>3.6168</v>
      </c>
      <c r="J695">
        <v>47180.68</v>
      </c>
      <c r="K695">
        <v>13044.868391948685</v>
      </c>
    </row>
    <row r="696" spans="1:11" x14ac:dyDescent="0.25">
      <c r="A696" t="s">
        <v>147</v>
      </c>
      <c r="B696" t="s">
        <v>148</v>
      </c>
      <c r="C696" s="1">
        <v>42455</v>
      </c>
      <c r="D696" s="1">
        <v>42499</v>
      </c>
      <c r="E696">
        <v>3</v>
      </c>
      <c r="F696" t="s">
        <v>331</v>
      </c>
      <c r="G696" t="s">
        <v>16</v>
      </c>
      <c r="H696" t="s">
        <v>4838</v>
      </c>
      <c r="I696">
        <v>3.6947999999999999</v>
      </c>
      <c r="J696">
        <v>72852</v>
      </c>
      <c r="K696">
        <v>19717.440727508932</v>
      </c>
    </row>
    <row r="697" spans="1:11" x14ac:dyDescent="0.25">
      <c r="A697" t="s">
        <v>270</v>
      </c>
      <c r="B697" t="s">
        <v>271</v>
      </c>
      <c r="C697" s="1">
        <v>42521</v>
      </c>
      <c r="D697" s="1">
        <v>42522</v>
      </c>
      <c r="E697">
        <v>3</v>
      </c>
      <c r="F697" t="s">
        <v>368</v>
      </c>
      <c r="G697" t="s">
        <v>16</v>
      </c>
      <c r="H697" t="s">
        <v>1294</v>
      </c>
      <c r="I697">
        <v>3.5996999999999999</v>
      </c>
      <c r="J697">
        <v>48464.66</v>
      </c>
      <c r="K697">
        <v>13463.527516181905</v>
      </c>
    </row>
    <row r="698" spans="1:11" x14ac:dyDescent="0.25">
      <c r="A698" t="s">
        <v>90</v>
      </c>
      <c r="B698" t="s">
        <v>91</v>
      </c>
      <c r="C698" s="1">
        <v>42535</v>
      </c>
      <c r="D698" s="1">
        <v>42541</v>
      </c>
      <c r="E698">
        <v>11</v>
      </c>
      <c r="F698" t="s">
        <v>331</v>
      </c>
      <c r="G698" t="s">
        <v>16</v>
      </c>
      <c r="H698" t="s">
        <v>1295</v>
      </c>
      <c r="I698">
        <v>3.4533</v>
      </c>
      <c r="J698">
        <v>38647.68</v>
      </c>
      <c r="K698">
        <v>11191.52115367909</v>
      </c>
    </row>
    <row r="699" spans="1:11" x14ac:dyDescent="0.25">
      <c r="A699" t="s">
        <v>90</v>
      </c>
      <c r="B699" t="s">
        <v>91</v>
      </c>
      <c r="C699" s="1">
        <v>42535</v>
      </c>
      <c r="D699" s="1">
        <v>42541</v>
      </c>
      <c r="E699">
        <v>11</v>
      </c>
      <c r="F699" t="s">
        <v>331</v>
      </c>
      <c r="G699" t="s">
        <v>16</v>
      </c>
      <c r="H699" t="s">
        <v>4839</v>
      </c>
      <c r="I699">
        <v>3.4533</v>
      </c>
      <c r="J699">
        <v>45635.45</v>
      </c>
      <c r="K699">
        <v>13215.026206816668</v>
      </c>
    </row>
    <row r="700" spans="1:11" x14ac:dyDescent="0.25">
      <c r="A700" t="s">
        <v>90</v>
      </c>
      <c r="B700" t="s">
        <v>91</v>
      </c>
      <c r="C700" s="1">
        <v>42535</v>
      </c>
      <c r="D700" s="1">
        <v>42542</v>
      </c>
      <c r="E700">
        <v>11</v>
      </c>
      <c r="F700" t="s">
        <v>331</v>
      </c>
      <c r="G700" t="s">
        <v>16</v>
      </c>
      <c r="H700" t="s">
        <v>1296</v>
      </c>
      <c r="I700">
        <v>3.4533</v>
      </c>
      <c r="J700">
        <v>39237.160000000003</v>
      </c>
      <c r="K700">
        <v>11362.221643066052</v>
      </c>
    </row>
    <row r="701" spans="1:11" x14ac:dyDescent="0.25">
      <c r="A701" t="s">
        <v>90</v>
      </c>
      <c r="B701" t="s">
        <v>91</v>
      </c>
      <c r="C701" s="1">
        <v>42536</v>
      </c>
      <c r="D701" s="1">
        <v>42542</v>
      </c>
      <c r="E701">
        <v>11</v>
      </c>
      <c r="F701" t="s">
        <v>331</v>
      </c>
      <c r="G701" t="s">
        <v>16</v>
      </c>
      <c r="H701" t="s">
        <v>1297</v>
      </c>
      <c r="I701">
        <v>3.4839000000000002</v>
      </c>
      <c r="J701">
        <v>45328.43</v>
      </c>
      <c r="K701">
        <v>13010.82981715893</v>
      </c>
    </row>
    <row r="702" spans="1:11" x14ac:dyDescent="0.25">
      <c r="A702" t="s">
        <v>90</v>
      </c>
      <c r="B702" t="s">
        <v>91</v>
      </c>
      <c r="C702" s="1">
        <v>42537</v>
      </c>
      <c r="D702" s="1">
        <v>42542</v>
      </c>
      <c r="E702">
        <v>11</v>
      </c>
      <c r="F702" t="s">
        <v>331</v>
      </c>
      <c r="G702" t="s">
        <v>16</v>
      </c>
      <c r="H702" t="s">
        <v>1298</v>
      </c>
      <c r="I702">
        <v>3.4767999999999999</v>
      </c>
      <c r="J702">
        <v>33845.879999999997</v>
      </c>
      <c r="K702">
        <v>9734.7791072250347</v>
      </c>
    </row>
    <row r="703" spans="1:11" x14ac:dyDescent="0.25">
      <c r="A703" t="s">
        <v>90</v>
      </c>
      <c r="B703" t="s">
        <v>91</v>
      </c>
      <c r="C703" s="1">
        <v>42537</v>
      </c>
      <c r="D703" s="1">
        <v>42545</v>
      </c>
      <c r="E703">
        <v>11</v>
      </c>
      <c r="F703" t="s">
        <v>331</v>
      </c>
      <c r="G703" t="s">
        <v>16</v>
      </c>
      <c r="H703" t="s">
        <v>1299</v>
      </c>
      <c r="I703">
        <v>3.4767999999999999</v>
      </c>
      <c r="J703">
        <v>30087.96</v>
      </c>
      <c r="K703">
        <v>8653.9231477220437</v>
      </c>
    </row>
    <row r="704" spans="1:11" x14ac:dyDescent="0.25">
      <c r="A704" t="s">
        <v>96</v>
      </c>
      <c r="B704" t="s">
        <v>97</v>
      </c>
      <c r="C704" s="1">
        <v>42552</v>
      </c>
      <c r="D704" s="1">
        <v>42571</v>
      </c>
      <c r="E704">
        <v>1</v>
      </c>
      <c r="F704" t="s">
        <v>368</v>
      </c>
      <c r="G704" t="s">
        <v>16</v>
      </c>
      <c r="H704" t="s">
        <v>1300</v>
      </c>
      <c r="I704">
        <v>3.2098</v>
      </c>
      <c r="J704">
        <v>30572.41</v>
      </c>
      <c r="K704">
        <v>9524.7087045921871</v>
      </c>
    </row>
    <row r="705" spans="1:11" x14ac:dyDescent="0.25">
      <c r="A705" t="s">
        <v>35</v>
      </c>
      <c r="B705" t="s">
        <v>38</v>
      </c>
      <c r="C705" s="1">
        <v>42537</v>
      </c>
      <c r="D705" s="1">
        <v>42542</v>
      </c>
      <c r="E705">
        <v>8</v>
      </c>
      <c r="F705" t="s">
        <v>331</v>
      </c>
      <c r="G705" t="s">
        <v>16</v>
      </c>
      <c r="H705" t="s">
        <v>4840</v>
      </c>
      <c r="I705">
        <v>3.4767999999999999</v>
      </c>
      <c r="J705">
        <v>45917.91</v>
      </c>
      <c r="K705">
        <v>13206.946042337782</v>
      </c>
    </row>
    <row r="706" spans="1:11" x14ac:dyDescent="0.25">
      <c r="A706" t="s">
        <v>35</v>
      </c>
      <c r="B706" t="s">
        <v>38</v>
      </c>
      <c r="C706" s="1">
        <v>42537</v>
      </c>
      <c r="D706" s="1">
        <v>42542</v>
      </c>
      <c r="E706">
        <v>8</v>
      </c>
      <c r="F706" t="s">
        <v>331</v>
      </c>
      <c r="G706" t="s">
        <v>16</v>
      </c>
      <c r="H706" t="s">
        <v>4841</v>
      </c>
      <c r="I706">
        <v>3.4767999999999999</v>
      </c>
      <c r="J706">
        <v>44628.43</v>
      </c>
      <c r="K706">
        <v>12836.064772204325</v>
      </c>
    </row>
    <row r="707" spans="1:11" x14ac:dyDescent="0.25">
      <c r="A707" t="s">
        <v>35</v>
      </c>
      <c r="B707" t="s">
        <v>38</v>
      </c>
      <c r="C707" s="1">
        <v>42537</v>
      </c>
      <c r="D707" s="1">
        <v>42543</v>
      </c>
      <c r="E707">
        <v>8</v>
      </c>
      <c r="F707" t="s">
        <v>331</v>
      </c>
      <c r="G707" t="s">
        <v>16</v>
      </c>
      <c r="H707" t="s">
        <v>4842</v>
      </c>
      <c r="I707">
        <v>3.4767999999999999</v>
      </c>
      <c r="J707">
        <v>45905.63</v>
      </c>
      <c r="K707">
        <v>13203.41405890474</v>
      </c>
    </row>
    <row r="708" spans="1:11" x14ac:dyDescent="0.25">
      <c r="A708" t="s">
        <v>35</v>
      </c>
      <c r="B708" t="s">
        <v>38</v>
      </c>
      <c r="C708" s="1">
        <v>42537</v>
      </c>
      <c r="D708" s="1">
        <v>42544</v>
      </c>
      <c r="E708">
        <v>8</v>
      </c>
      <c r="F708" t="s">
        <v>331</v>
      </c>
      <c r="G708" t="s">
        <v>16</v>
      </c>
      <c r="H708" t="s">
        <v>4843</v>
      </c>
      <c r="I708">
        <v>3.4767999999999999</v>
      </c>
      <c r="J708">
        <v>45512.639999999999</v>
      </c>
      <c r="K708">
        <v>13090.381960423378</v>
      </c>
    </row>
    <row r="709" spans="1:11" x14ac:dyDescent="0.25">
      <c r="A709" t="s">
        <v>35</v>
      </c>
      <c r="B709" t="s">
        <v>38</v>
      </c>
      <c r="C709" s="1">
        <v>42537</v>
      </c>
      <c r="D709" s="1">
        <v>42544</v>
      </c>
      <c r="E709">
        <v>8</v>
      </c>
      <c r="F709" t="s">
        <v>331</v>
      </c>
      <c r="G709" t="s">
        <v>16</v>
      </c>
      <c r="H709" t="s">
        <v>1301</v>
      </c>
      <c r="I709">
        <v>3.4767999999999999</v>
      </c>
      <c r="J709">
        <v>45598.61</v>
      </c>
      <c r="K709">
        <v>13115.108720662678</v>
      </c>
    </row>
    <row r="710" spans="1:11" x14ac:dyDescent="0.25">
      <c r="A710" t="s">
        <v>90</v>
      </c>
      <c r="B710" t="s">
        <v>91</v>
      </c>
      <c r="C710" s="1">
        <v>42537</v>
      </c>
      <c r="D710" s="1">
        <v>42544</v>
      </c>
      <c r="E710">
        <v>11</v>
      </c>
      <c r="F710" t="s">
        <v>331</v>
      </c>
      <c r="G710" t="s">
        <v>16</v>
      </c>
      <c r="H710" t="s">
        <v>1302</v>
      </c>
      <c r="I710">
        <v>3.4767999999999999</v>
      </c>
      <c r="J710">
        <v>45733.7</v>
      </c>
      <c r="K710">
        <v>13153.963414634147</v>
      </c>
    </row>
    <row r="711" spans="1:11" x14ac:dyDescent="0.25">
      <c r="A711" t="s">
        <v>90</v>
      </c>
      <c r="B711" t="s">
        <v>91</v>
      </c>
      <c r="C711" s="1">
        <v>42537</v>
      </c>
      <c r="D711" s="1">
        <v>42548</v>
      </c>
      <c r="E711">
        <v>11</v>
      </c>
      <c r="F711" t="s">
        <v>331</v>
      </c>
      <c r="G711" t="s">
        <v>16</v>
      </c>
      <c r="H711" t="s">
        <v>1303</v>
      </c>
      <c r="I711">
        <v>3.4767999999999999</v>
      </c>
      <c r="J711">
        <v>61882.95</v>
      </c>
      <c r="K711">
        <v>17798.823630924988</v>
      </c>
    </row>
    <row r="712" spans="1:11" x14ac:dyDescent="0.25">
      <c r="A712" t="s">
        <v>90</v>
      </c>
      <c r="B712" t="s">
        <v>91</v>
      </c>
      <c r="C712" s="1">
        <v>42535</v>
      </c>
      <c r="D712" s="1">
        <v>42541</v>
      </c>
      <c r="E712">
        <v>11</v>
      </c>
      <c r="F712" t="s">
        <v>331</v>
      </c>
      <c r="G712" t="s">
        <v>16</v>
      </c>
      <c r="H712" t="s">
        <v>4844</v>
      </c>
      <c r="I712">
        <v>3.4533</v>
      </c>
      <c r="J712">
        <v>44603.87</v>
      </c>
      <c r="K712">
        <v>12916.30324617033</v>
      </c>
    </row>
    <row r="713" spans="1:11" x14ac:dyDescent="0.25">
      <c r="A713" t="s">
        <v>90</v>
      </c>
      <c r="B713" t="s">
        <v>91</v>
      </c>
      <c r="C713" s="1">
        <v>42536</v>
      </c>
      <c r="D713" s="1">
        <v>42542</v>
      </c>
      <c r="E713">
        <v>11</v>
      </c>
      <c r="F713" t="s">
        <v>331</v>
      </c>
      <c r="G713" t="s">
        <v>16</v>
      </c>
      <c r="H713" t="s">
        <v>1304</v>
      </c>
      <c r="I713">
        <v>3.4839000000000002</v>
      </c>
      <c r="J713">
        <v>34017.82</v>
      </c>
      <c r="K713">
        <v>9764.2928901518408</v>
      </c>
    </row>
    <row r="714" spans="1:11" x14ac:dyDescent="0.25">
      <c r="A714" t="s">
        <v>179</v>
      </c>
      <c r="B714" t="s">
        <v>180</v>
      </c>
      <c r="C714" s="1">
        <v>42595</v>
      </c>
      <c r="D714" s="1">
        <v>42597</v>
      </c>
      <c r="E714">
        <v>1</v>
      </c>
      <c r="F714" t="s">
        <v>368</v>
      </c>
      <c r="G714" t="s">
        <v>16</v>
      </c>
      <c r="H714" t="s">
        <v>4845</v>
      </c>
      <c r="I714">
        <v>3.1602000000000001</v>
      </c>
      <c r="J714">
        <v>35503.85</v>
      </c>
      <c r="K714">
        <v>11234.684513638378</v>
      </c>
    </row>
    <row r="715" spans="1:11" x14ac:dyDescent="0.25">
      <c r="A715" t="s">
        <v>179</v>
      </c>
      <c r="B715" t="s">
        <v>180</v>
      </c>
      <c r="C715" s="1">
        <v>42595</v>
      </c>
      <c r="D715" s="1">
        <v>42598</v>
      </c>
      <c r="E715">
        <v>1</v>
      </c>
      <c r="F715" t="s">
        <v>368</v>
      </c>
      <c r="G715" t="s">
        <v>16</v>
      </c>
      <c r="H715" t="s">
        <v>4846</v>
      </c>
      <c r="I715">
        <v>3.1602000000000001</v>
      </c>
      <c r="J715">
        <v>56480.84</v>
      </c>
      <c r="K715">
        <v>17872.55237010316</v>
      </c>
    </row>
    <row r="716" spans="1:11" x14ac:dyDescent="0.25">
      <c r="A716" t="s">
        <v>181</v>
      </c>
      <c r="B716" t="s">
        <v>182</v>
      </c>
      <c r="C716" s="1">
        <v>42587</v>
      </c>
      <c r="D716" s="1">
        <v>42592</v>
      </c>
      <c r="E716">
        <v>1</v>
      </c>
      <c r="F716" t="s">
        <v>368</v>
      </c>
      <c r="G716" t="s">
        <v>16</v>
      </c>
      <c r="H716" t="s">
        <v>4847</v>
      </c>
      <c r="I716">
        <v>3.2183000000000002</v>
      </c>
      <c r="J716">
        <v>54999.8</v>
      </c>
      <c r="K716">
        <v>17089.705745269242</v>
      </c>
    </row>
    <row r="717" spans="1:11" x14ac:dyDescent="0.25">
      <c r="A717" t="s">
        <v>181</v>
      </c>
      <c r="B717" t="s">
        <v>182</v>
      </c>
      <c r="C717" s="1">
        <v>42584</v>
      </c>
      <c r="D717" s="1">
        <v>42592</v>
      </c>
      <c r="E717">
        <v>1</v>
      </c>
      <c r="F717" t="s">
        <v>368</v>
      </c>
      <c r="G717" t="s">
        <v>16</v>
      </c>
      <c r="H717" t="s">
        <v>1305</v>
      </c>
      <c r="I717">
        <v>3.2662</v>
      </c>
      <c r="J717">
        <v>55435.39</v>
      </c>
      <c r="K717">
        <v>16972.441981507563</v>
      </c>
    </row>
    <row r="718" spans="1:11" x14ac:dyDescent="0.25">
      <c r="A718" t="s">
        <v>160</v>
      </c>
      <c r="B718" t="s">
        <v>161</v>
      </c>
      <c r="C718" s="1">
        <v>42573</v>
      </c>
      <c r="D718" s="1">
        <v>42577</v>
      </c>
      <c r="E718">
        <v>9</v>
      </c>
      <c r="F718" t="s">
        <v>368</v>
      </c>
      <c r="G718" t="s">
        <v>16</v>
      </c>
      <c r="H718" t="s">
        <v>1306</v>
      </c>
      <c r="I718">
        <v>3.2585000000000002</v>
      </c>
      <c r="J718">
        <v>42627.39</v>
      </c>
      <c r="K718">
        <v>13081.90578487034</v>
      </c>
    </row>
    <row r="719" spans="1:11" x14ac:dyDescent="0.25">
      <c r="A719" t="s">
        <v>160</v>
      </c>
      <c r="B719" t="s">
        <v>161</v>
      </c>
      <c r="C719" s="1">
        <v>42577</v>
      </c>
      <c r="D719" s="1">
        <v>42578</v>
      </c>
      <c r="E719">
        <v>9</v>
      </c>
      <c r="F719" t="s">
        <v>368</v>
      </c>
      <c r="G719" t="s">
        <v>16</v>
      </c>
      <c r="H719" t="s">
        <v>4848</v>
      </c>
      <c r="I719">
        <v>3.2818999999999998</v>
      </c>
      <c r="J719">
        <v>43247.06</v>
      </c>
      <c r="K719">
        <v>13177.445991651177</v>
      </c>
    </row>
    <row r="720" spans="1:11" x14ac:dyDescent="0.25">
      <c r="A720" t="s">
        <v>100</v>
      </c>
      <c r="B720" t="s">
        <v>101</v>
      </c>
      <c r="C720" s="1">
        <v>42576</v>
      </c>
      <c r="D720" s="1">
        <v>42593</v>
      </c>
      <c r="E720">
        <v>4</v>
      </c>
      <c r="F720" t="s">
        <v>301</v>
      </c>
      <c r="G720" t="s">
        <v>16</v>
      </c>
      <c r="H720" t="s">
        <v>1307</v>
      </c>
      <c r="I720">
        <v>3.2854000000000001</v>
      </c>
      <c r="J720">
        <v>6090.01</v>
      </c>
      <c r="K720">
        <v>1853.658610823644</v>
      </c>
    </row>
    <row r="721" spans="1:11" x14ac:dyDescent="0.25">
      <c r="A721" t="s">
        <v>181</v>
      </c>
      <c r="B721" t="s">
        <v>182</v>
      </c>
      <c r="C721" s="1">
        <v>42590</v>
      </c>
      <c r="D721" s="1">
        <v>42597</v>
      </c>
      <c r="E721">
        <v>1</v>
      </c>
      <c r="F721" t="s">
        <v>368</v>
      </c>
      <c r="G721" t="s">
        <v>16</v>
      </c>
      <c r="H721" t="s">
        <v>1308</v>
      </c>
      <c r="I721">
        <v>3.1859000000000002</v>
      </c>
      <c r="J721">
        <v>49456.44</v>
      </c>
      <c r="K721">
        <v>15523.538089707776</v>
      </c>
    </row>
    <row r="722" spans="1:11" x14ac:dyDescent="0.25">
      <c r="A722" t="s">
        <v>62</v>
      </c>
      <c r="B722" t="s">
        <v>63</v>
      </c>
      <c r="C722" s="1">
        <v>42597</v>
      </c>
      <c r="D722" s="1">
        <v>42599</v>
      </c>
      <c r="E722">
        <v>1</v>
      </c>
      <c r="F722" t="s">
        <v>368</v>
      </c>
      <c r="G722" t="s">
        <v>16</v>
      </c>
      <c r="H722" t="s">
        <v>4849</v>
      </c>
      <c r="I722">
        <v>3.1602000000000001</v>
      </c>
      <c r="J722">
        <v>41237.26</v>
      </c>
      <c r="K722">
        <v>13048.939940510094</v>
      </c>
    </row>
    <row r="723" spans="1:11" x14ac:dyDescent="0.25">
      <c r="A723" t="s">
        <v>1309</v>
      </c>
      <c r="B723" t="s">
        <v>1310</v>
      </c>
      <c r="C723" s="1">
        <v>40798</v>
      </c>
      <c r="D723" s="1">
        <v>40798</v>
      </c>
      <c r="E723">
        <v>84</v>
      </c>
      <c r="F723" t="s">
        <v>1311</v>
      </c>
      <c r="G723" t="s">
        <v>16</v>
      </c>
      <c r="H723" t="s">
        <v>458</v>
      </c>
      <c r="I723">
        <v>1.6774</v>
      </c>
      <c r="J723">
        <v>106572</v>
      </c>
      <c r="K723">
        <v>63534.040777393588</v>
      </c>
    </row>
    <row r="724" spans="1:11" x14ac:dyDescent="0.25">
      <c r="A724" t="s">
        <v>651</v>
      </c>
      <c r="B724" t="s">
        <v>652</v>
      </c>
      <c r="C724" s="1">
        <v>40815</v>
      </c>
      <c r="D724" s="1">
        <v>40819</v>
      </c>
      <c r="E724">
        <v>141</v>
      </c>
      <c r="F724" t="s">
        <v>331</v>
      </c>
      <c r="G724" t="s">
        <v>16</v>
      </c>
      <c r="H724" t="s">
        <v>4850</v>
      </c>
      <c r="I724">
        <v>1.8123</v>
      </c>
      <c r="J724">
        <v>81164.94</v>
      </c>
      <c r="K724">
        <v>44785.598410859129</v>
      </c>
    </row>
    <row r="725" spans="1:11" x14ac:dyDescent="0.25">
      <c r="A725" t="s">
        <v>657</v>
      </c>
      <c r="C725" s="1">
        <v>40824</v>
      </c>
      <c r="D725" s="1">
        <v>40834</v>
      </c>
      <c r="E725">
        <v>1542</v>
      </c>
      <c r="F725" t="s">
        <v>287</v>
      </c>
      <c r="G725" t="s">
        <v>16</v>
      </c>
      <c r="H725" t="s">
        <v>4851</v>
      </c>
      <c r="I725">
        <v>1.7665999999999999</v>
      </c>
      <c r="J725">
        <v>170.55</v>
      </c>
      <c r="K725">
        <v>96.541378919959243</v>
      </c>
    </row>
    <row r="726" spans="1:11" x14ac:dyDescent="0.25">
      <c r="A726" t="s">
        <v>1312</v>
      </c>
      <c r="C726" s="1">
        <v>40833</v>
      </c>
      <c r="D726" s="1">
        <v>40834</v>
      </c>
      <c r="E726">
        <v>1538</v>
      </c>
      <c r="F726" t="s">
        <v>452</v>
      </c>
      <c r="G726" t="s">
        <v>16</v>
      </c>
      <c r="H726" t="s">
        <v>578</v>
      </c>
      <c r="I726">
        <v>1.7376</v>
      </c>
      <c r="J726">
        <v>180</v>
      </c>
      <c r="K726">
        <v>103.59116022099448</v>
      </c>
    </row>
    <row r="727" spans="1:11" x14ac:dyDescent="0.25">
      <c r="A727" t="s">
        <v>1813</v>
      </c>
      <c r="C727" s="1">
        <v>40831</v>
      </c>
      <c r="D727" s="1">
        <v>40835</v>
      </c>
      <c r="E727">
        <v>1533</v>
      </c>
      <c r="F727" t="s">
        <v>282</v>
      </c>
      <c r="G727" t="s">
        <v>16</v>
      </c>
      <c r="H727" t="s">
        <v>4852</v>
      </c>
      <c r="I727">
        <v>1.7376</v>
      </c>
      <c r="J727">
        <v>152.4</v>
      </c>
      <c r="K727">
        <v>87.707182320441987</v>
      </c>
    </row>
    <row r="728" spans="1:11" x14ac:dyDescent="0.25">
      <c r="A728" t="s">
        <v>1313</v>
      </c>
      <c r="B728" t="s">
        <v>1314</v>
      </c>
      <c r="C728" s="1">
        <v>40822</v>
      </c>
      <c r="D728" s="1">
        <v>40824</v>
      </c>
      <c r="E728">
        <v>225</v>
      </c>
      <c r="F728" t="s">
        <v>642</v>
      </c>
      <c r="G728" t="s">
        <v>16</v>
      </c>
      <c r="H728" t="s">
        <v>1315</v>
      </c>
      <c r="I728">
        <v>1.8455999999999999</v>
      </c>
      <c r="J728">
        <v>88031.06</v>
      </c>
      <c r="K728">
        <v>47697.800173385353</v>
      </c>
    </row>
    <row r="729" spans="1:11" x14ac:dyDescent="0.25">
      <c r="A729" t="s">
        <v>663</v>
      </c>
      <c r="B729" t="s">
        <v>664</v>
      </c>
      <c r="C729" s="1">
        <v>40842</v>
      </c>
      <c r="D729" s="1">
        <v>40845</v>
      </c>
      <c r="E729">
        <v>1660</v>
      </c>
      <c r="F729" t="s">
        <v>665</v>
      </c>
      <c r="G729" t="s">
        <v>16</v>
      </c>
      <c r="H729" t="s">
        <v>4853</v>
      </c>
      <c r="I729">
        <v>1.7547999999999999</v>
      </c>
      <c r="J729">
        <v>26228.1</v>
      </c>
      <c r="K729">
        <v>14946.489628447687</v>
      </c>
    </row>
    <row r="730" spans="1:11" x14ac:dyDescent="0.25">
      <c r="A730" t="s">
        <v>1316</v>
      </c>
      <c r="C730" s="1">
        <v>40931</v>
      </c>
      <c r="D730" s="1">
        <v>40931</v>
      </c>
      <c r="E730">
        <v>3613</v>
      </c>
      <c r="F730" t="s">
        <v>282</v>
      </c>
      <c r="G730" t="s">
        <v>16</v>
      </c>
      <c r="H730" t="s">
        <v>1317</v>
      </c>
      <c r="I730">
        <v>1.7669999999999999</v>
      </c>
      <c r="J730">
        <v>800</v>
      </c>
      <c r="K730">
        <v>452.74476513865307</v>
      </c>
    </row>
    <row r="731" spans="1:11" x14ac:dyDescent="0.25">
      <c r="A731" t="s">
        <v>709</v>
      </c>
      <c r="B731" t="s">
        <v>710</v>
      </c>
      <c r="C731" s="1">
        <v>40879</v>
      </c>
      <c r="D731" s="1">
        <v>40880</v>
      </c>
      <c r="E731">
        <v>4</v>
      </c>
      <c r="F731" t="s">
        <v>278</v>
      </c>
      <c r="G731" t="s">
        <v>16</v>
      </c>
      <c r="H731" t="s">
        <v>1318</v>
      </c>
      <c r="I731">
        <v>1.7928999999999999</v>
      </c>
      <c r="J731">
        <v>53436.76</v>
      </c>
      <c r="K731">
        <v>29804.65168163311</v>
      </c>
    </row>
    <row r="732" spans="1:11" x14ac:dyDescent="0.25">
      <c r="A732" t="s">
        <v>1319</v>
      </c>
      <c r="B732" t="s">
        <v>1320</v>
      </c>
      <c r="C732" s="1">
        <v>40879</v>
      </c>
      <c r="D732" s="1">
        <v>40880</v>
      </c>
      <c r="E732">
        <v>152</v>
      </c>
      <c r="F732" t="s">
        <v>278</v>
      </c>
      <c r="G732" t="s">
        <v>16</v>
      </c>
      <c r="H732" t="s">
        <v>1321</v>
      </c>
      <c r="I732">
        <v>1.7928999999999999</v>
      </c>
      <c r="J732">
        <v>111349.78</v>
      </c>
      <c r="K732">
        <v>62105.962407273131</v>
      </c>
    </row>
    <row r="733" spans="1:11" x14ac:dyDescent="0.25">
      <c r="A733" t="s">
        <v>1322</v>
      </c>
      <c r="C733" s="1">
        <v>40819</v>
      </c>
      <c r="D733" s="1">
        <v>40820</v>
      </c>
      <c r="E733">
        <v>1237</v>
      </c>
      <c r="F733" t="s">
        <v>660</v>
      </c>
      <c r="G733" t="s">
        <v>16</v>
      </c>
      <c r="H733" t="s">
        <v>1323</v>
      </c>
      <c r="I733">
        <v>1.8544</v>
      </c>
      <c r="J733">
        <v>2704</v>
      </c>
      <c r="K733">
        <v>1458.1535806729939</v>
      </c>
    </row>
    <row r="734" spans="1:11" x14ac:dyDescent="0.25">
      <c r="A734" t="s">
        <v>654</v>
      </c>
      <c r="B734" t="s">
        <v>655</v>
      </c>
      <c r="C734" s="1">
        <v>40841</v>
      </c>
      <c r="D734" s="1">
        <v>40845</v>
      </c>
      <c r="E734">
        <v>116</v>
      </c>
      <c r="F734" t="s">
        <v>301</v>
      </c>
      <c r="G734" t="s">
        <v>16</v>
      </c>
      <c r="H734" t="s">
        <v>1324</v>
      </c>
      <c r="I734">
        <v>1.7767999999999999</v>
      </c>
      <c r="J734">
        <v>37080</v>
      </c>
      <c r="K734">
        <v>20868.977937865828</v>
      </c>
    </row>
    <row r="735" spans="1:11" x14ac:dyDescent="0.25">
      <c r="A735" t="s">
        <v>654</v>
      </c>
      <c r="B735" t="s">
        <v>655</v>
      </c>
      <c r="C735" s="1">
        <v>40844</v>
      </c>
      <c r="D735" s="1">
        <v>40847</v>
      </c>
      <c r="E735">
        <v>116</v>
      </c>
      <c r="F735" t="s">
        <v>301</v>
      </c>
      <c r="G735" t="s">
        <v>16</v>
      </c>
      <c r="H735" t="s">
        <v>4854</v>
      </c>
      <c r="I735">
        <v>1.7323</v>
      </c>
      <c r="J735">
        <v>36082.79</v>
      </c>
      <c r="K735">
        <v>20829.411764705881</v>
      </c>
    </row>
    <row r="736" spans="1:11" x14ac:dyDescent="0.25">
      <c r="A736" t="s">
        <v>654</v>
      </c>
      <c r="B736" t="s">
        <v>655</v>
      </c>
      <c r="C736" s="1">
        <v>40843</v>
      </c>
      <c r="D736" s="1">
        <v>40850</v>
      </c>
      <c r="E736">
        <v>116</v>
      </c>
      <c r="F736" t="s">
        <v>301</v>
      </c>
      <c r="G736" t="s">
        <v>16</v>
      </c>
      <c r="H736" t="s">
        <v>1325</v>
      </c>
      <c r="I736">
        <v>1.7605999999999999</v>
      </c>
      <c r="J736">
        <v>165497.23000000001</v>
      </c>
      <c r="K736">
        <v>94000.471430194259</v>
      </c>
    </row>
    <row r="737" spans="1:11" x14ac:dyDescent="0.25">
      <c r="A737" t="s">
        <v>1326</v>
      </c>
      <c r="B737" t="s">
        <v>1327</v>
      </c>
      <c r="C737" s="1">
        <v>40843</v>
      </c>
      <c r="D737" s="1">
        <v>40849</v>
      </c>
      <c r="E737">
        <v>1666</v>
      </c>
      <c r="F737" t="s">
        <v>665</v>
      </c>
      <c r="G737" t="s">
        <v>16</v>
      </c>
      <c r="H737" t="s">
        <v>1328</v>
      </c>
      <c r="I737">
        <v>1.7605999999999999</v>
      </c>
      <c r="J737">
        <v>44272.800000000003</v>
      </c>
      <c r="K737">
        <v>25146.427354311032</v>
      </c>
    </row>
    <row r="738" spans="1:11" x14ac:dyDescent="0.25">
      <c r="A738" t="s">
        <v>663</v>
      </c>
      <c r="B738" t="s">
        <v>664</v>
      </c>
      <c r="C738" s="1">
        <v>40843</v>
      </c>
      <c r="D738" s="1">
        <v>40849</v>
      </c>
      <c r="E738">
        <v>1660</v>
      </c>
      <c r="F738" t="s">
        <v>665</v>
      </c>
      <c r="G738" t="s">
        <v>16</v>
      </c>
      <c r="H738" t="s">
        <v>1329</v>
      </c>
      <c r="I738">
        <v>1.7605999999999999</v>
      </c>
      <c r="J738">
        <v>98740.13</v>
      </c>
      <c r="K738">
        <v>56083.227308871974</v>
      </c>
    </row>
    <row r="739" spans="1:11" x14ac:dyDescent="0.25">
      <c r="A739" t="s">
        <v>668</v>
      </c>
      <c r="B739" t="s">
        <v>476</v>
      </c>
      <c r="C739" s="1">
        <v>40843</v>
      </c>
      <c r="D739" s="1">
        <v>40851</v>
      </c>
      <c r="E739">
        <v>1687</v>
      </c>
      <c r="F739" t="s">
        <v>311</v>
      </c>
      <c r="G739" t="s">
        <v>16</v>
      </c>
      <c r="H739" t="s">
        <v>4855</v>
      </c>
      <c r="I739">
        <v>1.7605999999999999</v>
      </c>
      <c r="J739">
        <v>124888.14</v>
      </c>
      <c r="K739">
        <v>70934.988072248103</v>
      </c>
    </row>
    <row r="740" spans="1:11" x14ac:dyDescent="0.25">
      <c r="A740" t="s">
        <v>654</v>
      </c>
      <c r="B740" t="s">
        <v>655</v>
      </c>
      <c r="C740" s="1">
        <v>40841</v>
      </c>
      <c r="D740" s="1">
        <v>40844</v>
      </c>
      <c r="E740">
        <v>116</v>
      </c>
      <c r="F740" t="s">
        <v>301</v>
      </c>
      <c r="G740" t="s">
        <v>16</v>
      </c>
      <c r="H740" t="s">
        <v>4856</v>
      </c>
      <c r="I740">
        <v>1.7767999999999999</v>
      </c>
      <c r="J740">
        <v>386078.4</v>
      </c>
      <c r="K740">
        <v>217288.60873480415</v>
      </c>
    </row>
    <row r="741" spans="1:11" x14ac:dyDescent="0.25">
      <c r="A741" t="s">
        <v>654</v>
      </c>
      <c r="B741" t="s">
        <v>655</v>
      </c>
      <c r="C741" s="1">
        <v>40841</v>
      </c>
      <c r="D741" s="1">
        <v>40844</v>
      </c>
      <c r="E741">
        <v>116</v>
      </c>
      <c r="F741" t="s">
        <v>301</v>
      </c>
      <c r="G741" t="s">
        <v>16</v>
      </c>
      <c r="H741" t="s">
        <v>1330</v>
      </c>
      <c r="I741">
        <v>1.7767999999999999</v>
      </c>
      <c r="J741">
        <v>37080</v>
      </c>
      <c r="K741">
        <v>20868.977937865828</v>
      </c>
    </row>
    <row r="742" spans="1:11" x14ac:dyDescent="0.25">
      <c r="A742" t="s">
        <v>654</v>
      </c>
      <c r="B742" t="s">
        <v>655</v>
      </c>
      <c r="C742" s="1">
        <v>40841</v>
      </c>
      <c r="D742" s="1">
        <v>40844</v>
      </c>
      <c r="E742">
        <v>116</v>
      </c>
      <c r="F742" t="s">
        <v>301</v>
      </c>
      <c r="G742" t="s">
        <v>16</v>
      </c>
      <c r="H742" t="s">
        <v>1331</v>
      </c>
      <c r="I742">
        <v>1.7767999999999999</v>
      </c>
      <c r="J742">
        <v>37080</v>
      </c>
      <c r="K742">
        <v>20868.977937865828</v>
      </c>
    </row>
    <row r="743" spans="1:11" x14ac:dyDescent="0.25">
      <c r="A743" t="s">
        <v>654</v>
      </c>
      <c r="B743" t="s">
        <v>655</v>
      </c>
      <c r="C743" s="1">
        <v>40841</v>
      </c>
      <c r="D743" s="1">
        <v>40844</v>
      </c>
      <c r="E743">
        <v>116</v>
      </c>
      <c r="F743" t="s">
        <v>301</v>
      </c>
      <c r="G743" t="s">
        <v>16</v>
      </c>
      <c r="H743" t="s">
        <v>4857</v>
      </c>
      <c r="I743">
        <v>1.7767999999999999</v>
      </c>
      <c r="J743">
        <v>37080</v>
      </c>
      <c r="K743">
        <v>20868.977937865828</v>
      </c>
    </row>
    <row r="744" spans="1:11" x14ac:dyDescent="0.25">
      <c r="A744" t="s">
        <v>672</v>
      </c>
      <c r="B744" t="s">
        <v>673</v>
      </c>
      <c r="C744" s="1">
        <v>40821</v>
      </c>
      <c r="D744" s="1">
        <v>40827</v>
      </c>
      <c r="E744">
        <v>118</v>
      </c>
      <c r="F744" t="s">
        <v>370</v>
      </c>
      <c r="G744" t="s">
        <v>16</v>
      </c>
      <c r="H744" t="s">
        <v>3121</v>
      </c>
      <c r="I744">
        <v>1.8855999999999999</v>
      </c>
      <c r="J744">
        <v>18101.759999999998</v>
      </c>
      <c r="K744">
        <v>9600</v>
      </c>
    </row>
    <row r="745" spans="1:11" x14ac:dyDescent="0.25">
      <c r="A745" t="s">
        <v>1332</v>
      </c>
      <c r="B745" t="s">
        <v>1333</v>
      </c>
      <c r="C745" s="1">
        <v>40834</v>
      </c>
      <c r="D745" s="1">
        <v>40837</v>
      </c>
      <c r="E745">
        <v>142</v>
      </c>
      <c r="F745" t="s">
        <v>331</v>
      </c>
      <c r="G745" t="s">
        <v>16</v>
      </c>
      <c r="H745" t="s">
        <v>1334</v>
      </c>
      <c r="I745">
        <v>1.7487999999999999</v>
      </c>
      <c r="J745">
        <v>79767.16</v>
      </c>
      <c r="K745">
        <v>45612.511436413544</v>
      </c>
    </row>
    <row r="746" spans="1:11" x14ac:dyDescent="0.25">
      <c r="A746" t="s">
        <v>670</v>
      </c>
      <c r="C746" s="1">
        <v>40847</v>
      </c>
      <c r="D746" s="1">
        <v>40871</v>
      </c>
      <c r="E746">
        <v>352</v>
      </c>
      <c r="F746" t="s">
        <v>478</v>
      </c>
      <c r="G746" t="s">
        <v>16</v>
      </c>
      <c r="H746" t="s">
        <v>1335</v>
      </c>
      <c r="I746">
        <v>1.6986000000000001</v>
      </c>
      <c r="J746">
        <v>177.73</v>
      </c>
      <c r="K746">
        <v>104.63322736371128</v>
      </c>
    </row>
    <row r="747" spans="1:11" x14ac:dyDescent="0.25">
      <c r="A747" t="s">
        <v>1336</v>
      </c>
      <c r="B747" t="s">
        <v>1337</v>
      </c>
      <c r="C747" s="1">
        <v>40833</v>
      </c>
      <c r="D747" s="1">
        <v>40833</v>
      </c>
      <c r="E747">
        <v>1644</v>
      </c>
      <c r="F747" t="s">
        <v>1338</v>
      </c>
      <c r="G747" t="s">
        <v>16</v>
      </c>
      <c r="H747" t="s">
        <v>582</v>
      </c>
      <c r="I747">
        <v>1.7376</v>
      </c>
      <c r="J747">
        <v>78750</v>
      </c>
      <c r="K747">
        <v>45321.132596685085</v>
      </c>
    </row>
    <row r="748" spans="1:11" x14ac:dyDescent="0.25">
      <c r="A748" t="s">
        <v>1332</v>
      </c>
      <c r="B748" t="s">
        <v>1333</v>
      </c>
      <c r="C748" s="1">
        <v>40833</v>
      </c>
      <c r="D748" s="1">
        <v>40836</v>
      </c>
      <c r="E748">
        <v>142</v>
      </c>
      <c r="F748" t="s">
        <v>331</v>
      </c>
      <c r="G748" t="s">
        <v>16</v>
      </c>
      <c r="H748" t="s">
        <v>4858</v>
      </c>
      <c r="I748">
        <v>1.7376</v>
      </c>
      <c r="J748">
        <v>79480.600000000006</v>
      </c>
      <c r="K748">
        <v>45741.597605893185</v>
      </c>
    </row>
    <row r="749" spans="1:11" x14ac:dyDescent="0.25">
      <c r="A749" t="s">
        <v>1339</v>
      </c>
      <c r="B749" t="s">
        <v>1340</v>
      </c>
      <c r="C749" s="1">
        <v>40875</v>
      </c>
      <c r="D749" s="1">
        <v>40877</v>
      </c>
      <c r="E749">
        <v>1843</v>
      </c>
      <c r="F749" t="s">
        <v>373</v>
      </c>
      <c r="G749" t="s">
        <v>16</v>
      </c>
      <c r="H749" t="s">
        <v>1341</v>
      </c>
      <c r="I749">
        <v>1.8936999999999999</v>
      </c>
      <c r="J749">
        <v>98910</v>
      </c>
      <c r="K749">
        <v>52231.082008765909</v>
      </c>
    </row>
    <row r="750" spans="1:11" x14ac:dyDescent="0.25">
      <c r="A750" t="s">
        <v>4859</v>
      </c>
      <c r="C750" s="1">
        <v>40880</v>
      </c>
      <c r="D750" s="1">
        <v>40907</v>
      </c>
      <c r="E750">
        <v>3136</v>
      </c>
      <c r="F750" t="s">
        <v>307</v>
      </c>
      <c r="G750" t="s">
        <v>16</v>
      </c>
      <c r="H750" t="s">
        <v>516</v>
      </c>
      <c r="I750">
        <v>1.7829999999999999</v>
      </c>
      <c r="J750">
        <v>1200</v>
      </c>
      <c r="K750">
        <v>673.02299495232751</v>
      </c>
    </row>
    <row r="751" spans="1:11" x14ac:dyDescent="0.25">
      <c r="A751" t="s">
        <v>1828</v>
      </c>
      <c r="B751" t="s">
        <v>549</v>
      </c>
      <c r="C751" s="1">
        <v>40891</v>
      </c>
      <c r="D751" s="1">
        <v>40896</v>
      </c>
      <c r="E751">
        <v>1685</v>
      </c>
      <c r="F751" t="s">
        <v>311</v>
      </c>
      <c r="G751" t="s">
        <v>16</v>
      </c>
      <c r="H751" t="s">
        <v>4860</v>
      </c>
      <c r="I751">
        <v>1.8409</v>
      </c>
      <c r="J751">
        <v>493200.4</v>
      </c>
      <c r="K751">
        <v>267912.65142050083</v>
      </c>
    </row>
    <row r="752" spans="1:11" x14ac:dyDescent="0.25">
      <c r="A752" t="s">
        <v>677</v>
      </c>
      <c r="B752" t="s">
        <v>678</v>
      </c>
      <c r="C752" s="1">
        <v>40905</v>
      </c>
      <c r="D752" s="1">
        <v>40911</v>
      </c>
      <c r="E752">
        <v>2629</v>
      </c>
      <c r="F752" t="s">
        <v>331</v>
      </c>
      <c r="G752" t="s">
        <v>16</v>
      </c>
      <c r="H752" t="s">
        <v>4861</v>
      </c>
      <c r="I752">
        <v>1.8585</v>
      </c>
      <c r="J752">
        <v>57521.98</v>
      </c>
      <c r="K752">
        <v>30950.755986010223</v>
      </c>
    </row>
    <row r="753" spans="1:11" x14ac:dyDescent="0.25">
      <c r="A753" t="s">
        <v>1342</v>
      </c>
      <c r="B753" t="s">
        <v>1343</v>
      </c>
      <c r="C753" s="1">
        <v>40900</v>
      </c>
      <c r="D753" s="1">
        <v>40907</v>
      </c>
      <c r="E753">
        <v>2877</v>
      </c>
      <c r="F753" t="s">
        <v>301</v>
      </c>
      <c r="G753" t="s">
        <v>16</v>
      </c>
      <c r="H753" t="s">
        <v>1344</v>
      </c>
      <c r="I753">
        <v>1.8577999999999999</v>
      </c>
      <c r="J753">
        <v>145291</v>
      </c>
      <c r="K753">
        <v>78205.942512649373</v>
      </c>
    </row>
    <row r="754" spans="1:11" x14ac:dyDescent="0.25">
      <c r="A754" t="s">
        <v>681</v>
      </c>
      <c r="B754" t="s">
        <v>682</v>
      </c>
      <c r="C754" s="1">
        <v>40911</v>
      </c>
      <c r="D754" s="1">
        <v>40921</v>
      </c>
      <c r="E754">
        <v>1534</v>
      </c>
      <c r="F754" t="s">
        <v>331</v>
      </c>
      <c r="G754" t="s">
        <v>16</v>
      </c>
      <c r="H754" t="s">
        <v>1345</v>
      </c>
      <c r="I754">
        <v>1.8683000000000001</v>
      </c>
      <c r="J754">
        <v>44239.01</v>
      </c>
      <c r="K754">
        <v>23678.750735963175</v>
      </c>
    </row>
    <row r="755" spans="1:11" x14ac:dyDescent="0.25">
      <c r="A755" t="s">
        <v>654</v>
      </c>
      <c r="B755" t="s">
        <v>655</v>
      </c>
      <c r="C755" s="1">
        <v>40904</v>
      </c>
      <c r="D755" s="1">
        <v>40911</v>
      </c>
      <c r="E755">
        <v>116</v>
      </c>
      <c r="F755" t="s">
        <v>675</v>
      </c>
      <c r="G755" t="s">
        <v>16</v>
      </c>
      <c r="H755" t="s">
        <v>1346</v>
      </c>
      <c r="I755">
        <v>1.8566</v>
      </c>
      <c r="J755">
        <v>32262</v>
      </c>
      <c r="K755">
        <v>17376.925562856835</v>
      </c>
    </row>
    <row r="756" spans="1:11" x14ac:dyDescent="0.25">
      <c r="A756" t="s">
        <v>677</v>
      </c>
      <c r="B756" t="s">
        <v>678</v>
      </c>
      <c r="C756" s="1">
        <v>40903</v>
      </c>
      <c r="D756" s="1">
        <v>40905</v>
      </c>
      <c r="E756">
        <v>2629</v>
      </c>
      <c r="F756" t="s">
        <v>331</v>
      </c>
      <c r="G756" t="s">
        <v>16</v>
      </c>
      <c r="H756" t="s">
        <v>4862</v>
      </c>
      <c r="I756">
        <v>1.8560000000000001</v>
      </c>
      <c r="J756">
        <v>58555.31</v>
      </c>
      <c r="K756">
        <v>31549.197198275862</v>
      </c>
    </row>
    <row r="757" spans="1:11" x14ac:dyDescent="0.25">
      <c r="A757" t="s">
        <v>677</v>
      </c>
      <c r="B757" t="s">
        <v>678</v>
      </c>
      <c r="C757" s="1">
        <v>40899</v>
      </c>
      <c r="D757" s="1">
        <v>40905</v>
      </c>
      <c r="E757">
        <v>2629</v>
      </c>
      <c r="F757" t="s">
        <v>331</v>
      </c>
      <c r="G757" t="s">
        <v>16</v>
      </c>
      <c r="H757" t="s">
        <v>358</v>
      </c>
      <c r="I757">
        <v>1.8555999999999999</v>
      </c>
      <c r="J757">
        <v>58649.25</v>
      </c>
      <c r="K757">
        <v>31606.623194654021</v>
      </c>
    </row>
    <row r="758" spans="1:11" x14ac:dyDescent="0.25">
      <c r="A758" t="s">
        <v>1342</v>
      </c>
      <c r="B758" t="s">
        <v>1343</v>
      </c>
      <c r="C758" s="1">
        <v>40904</v>
      </c>
      <c r="D758" s="1">
        <v>40917</v>
      </c>
      <c r="E758">
        <v>2877</v>
      </c>
      <c r="F758" t="s">
        <v>301</v>
      </c>
      <c r="G758" t="s">
        <v>16</v>
      </c>
      <c r="H758" t="s">
        <v>1347</v>
      </c>
      <c r="I758">
        <v>1.8566</v>
      </c>
      <c r="J758">
        <v>151571.34</v>
      </c>
      <c r="K758">
        <v>81639.200689432299</v>
      </c>
    </row>
    <row r="759" spans="1:11" x14ac:dyDescent="0.25">
      <c r="A759" t="s">
        <v>1836</v>
      </c>
      <c r="B759" t="s">
        <v>1837</v>
      </c>
      <c r="C759" s="1">
        <v>40907</v>
      </c>
      <c r="D759" s="1">
        <v>40920</v>
      </c>
      <c r="E759">
        <v>1533</v>
      </c>
      <c r="F759" t="s">
        <v>331</v>
      </c>
      <c r="G759" t="s">
        <v>16</v>
      </c>
      <c r="H759" t="s">
        <v>4863</v>
      </c>
      <c r="I759">
        <v>1.8757999999999999</v>
      </c>
      <c r="J759">
        <v>57929.05</v>
      </c>
      <c r="K759">
        <v>30882.316878131998</v>
      </c>
    </row>
    <row r="760" spans="1:11" x14ac:dyDescent="0.25">
      <c r="A760" t="s">
        <v>4099</v>
      </c>
      <c r="B760" t="s">
        <v>4100</v>
      </c>
      <c r="C760" s="1">
        <v>40917</v>
      </c>
      <c r="D760" s="1">
        <v>40927</v>
      </c>
      <c r="E760">
        <v>2751</v>
      </c>
      <c r="F760" t="s">
        <v>309</v>
      </c>
      <c r="G760" t="s">
        <v>16</v>
      </c>
      <c r="H760" t="s">
        <v>4864</v>
      </c>
      <c r="I760">
        <v>1.8449</v>
      </c>
      <c r="J760">
        <v>49575.19</v>
      </c>
      <c r="K760">
        <v>26871.478128895877</v>
      </c>
    </row>
    <row r="761" spans="1:11" x14ac:dyDescent="0.25">
      <c r="A761" t="s">
        <v>1348</v>
      </c>
      <c r="C761" s="1">
        <v>40905</v>
      </c>
      <c r="D761" s="1">
        <v>40907</v>
      </c>
      <c r="E761">
        <v>3140</v>
      </c>
      <c r="F761" t="s">
        <v>316</v>
      </c>
      <c r="G761" t="s">
        <v>16</v>
      </c>
      <c r="H761" t="s">
        <v>585</v>
      </c>
      <c r="I761">
        <v>1.8585</v>
      </c>
      <c r="J761">
        <v>674</v>
      </c>
      <c r="K761">
        <v>362.65805757331179</v>
      </c>
    </row>
    <row r="762" spans="1:11" x14ac:dyDescent="0.25">
      <c r="A762" t="s">
        <v>654</v>
      </c>
      <c r="B762" t="s">
        <v>655</v>
      </c>
      <c r="C762" s="1">
        <v>40897</v>
      </c>
      <c r="D762" s="1">
        <v>40899</v>
      </c>
      <c r="E762">
        <v>116</v>
      </c>
      <c r="F762" t="s">
        <v>675</v>
      </c>
      <c r="G762" t="s">
        <v>16</v>
      </c>
      <c r="H762" t="s">
        <v>1349</v>
      </c>
      <c r="I762">
        <v>1.8615999999999999</v>
      </c>
      <c r="J762">
        <v>166061</v>
      </c>
      <c r="K762">
        <v>89203.37344220026</v>
      </c>
    </row>
    <row r="763" spans="1:11" x14ac:dyDescent="0.25">
      <c r="A763" t="s">
        <v>654</v>
      </c>
      <c r="B763" t="s">
        <v>655</v>
      </c>
      <c r="C763" s="1">
        <v>40897</v>
      </c>
      <c r="D763" s="1">
        <v>40899</v>
      </c>
      <c r="E763">
        <v>116</v>
      </c>
      <c r="F763" t="s">
        <v>675</v>
      </c>
      <c r="G763" t="s">
        <v>16</v>
      </c>
      <c r="H763" t="s">
        <v>4865</v>
      </c>
      <c r="I763">
        <v>1.8615999999999999</v>
      </c>
      <c r="J763">
        <v>282256.8</v>
      </c>
      <c r="K763">
        <v>151620.54146970349</v>
      </c>
    </row>
    <row r="764" spans="1:11" x14ac:dyDescent="0.25">
      <c r="A764" t="s">
        <v>684</v>
      </c>
      <c r="B764" t="s">
        <v>685</v>
      </c>
      <c r="C764" s="1">
        <v>40925</v>
      </c>
      <c r="D764" s="1">
        <v>40930</v>
      </c>
      <c r="E764">
        <v>3636</v>
      </c>
      <c r="F764" t="s">
        <v>309</v>
      </c>
      <c r="G764" t="s">
        <v>16</v>
      </c>
      <c r="H764" t="s">
        <v>4866</v>
      </c>
      <c r="I764">
        <v>1.7836000000000001</v>
      </c>
      <c r="J764">
        <v>28307.74</v>
      </c>
      <c r="K764">
        <v>15871.125812962548</v>
      </c>
    </row>
    <row r="765" spans="1:11" x14ac:dyDescent="0.25">
      <c r="A765" t="s">
        <v>696</v>
      </c>
      <c r="B765" t="s">
        <v>697</v>
      </c>
      <c r="C765" s="1">
        <v>40925</v>
      </c>
      <c r="D765" s="1">
        <v>40931</v>
      </c>
      <c r="E765">
        <v>3635</v>
      </c>
      <c r="F765" t="s">
        <v>309</v>
      </c>
      <c r="G765" t="s">
        <v>16</v>
      </c>
      <c r="H765" t="s">
        <v>4867</v>
      </c>
      <c r="I765">
        <v>1.7836000000000001</v>
      </c>
      <c r="J765">
        <v>24701.439999999999</v>
      </c>
      <c r="K765">
        <v>13849.203857367123</v>
      </c>
    </row>
    <row r="766" spans="1:11" x14ac:dyDescent="0.25">
      <c r="A766" t="s">
        <v>654</v>
      </c>
      <c r="B766" t="s">
        <v>655</v>
      </c>
      <c r="C766" s="1">
        <v>40904</v>
      </c>
      <c r="D766" s="1">
        <v>40911</v>
      </c>
      <c r="E766">
        <v>116</v>
      </c>
      <c r="F766" t="s">
        <v>675</v>
      </c>
      <c r="G766" t="s">
        <v>16</v>
      </c>
      <c r="H766" t="s">
        <v>1350</v>
      </c>
      <c r="I766">
        <v>1.8566</v>
      </c>
      <c r="J766">
        <v>321122.59999999998</v>
      </c>
      <c r="K766">
        <v>172962.72756651943</v>
      </c>
    </row>
    <row r="767" spans="1:11" x14ac:dyDescent="0.25">
      <c r="A767" t="s">
        <v>684</v>
      </c>
      <c r="B767" t="s">
        <v>685</v>
      </c>
      <c r="C767" s="1">
        <v>40926</v>
      </c>
      <c r="D767" s="1">
        <v>40931</v>
      </c>
      <c r="E767">
        <v>3636</v>
      </c>
      <c r="F767" t="s">
        <v>309</v>
      </c>
      <c r="G767" t="s">
        <v>16</v>
      </c>
      <c r="H767" t="s">
        <v>4868</v>
      </c>
      <c r="I767">
        <v>1.776</v>
      </c>
      <c r="J767">
        <v>25801.49</v>
      </c>
      <c r="K767">
        <v>14527.865990990991</v>
      </c>
    </row>
    <row r="768" spans="1:11" x14ac:dyDescent="0.25">
      <c r="A768" t="s">
        <v>684</v>
      </c>
      <c r="B768" t="s">
        <v>685</v>
      </c>
      <c r="C768" s="1">
        <v>40925</v>
      </c>
      <c r="D768" s="1">
        <v>40931</v>
      </c>
      <c r="E768">
        <v>3636</v>
      </c>
      <c r="F768" t="s">
        <v>309</v>
      </c>
      <c r="G768" t="s">
        <v>16</v>
      </c>
      <c r="H768" t="s">
        <v>4869</v>
      </c>
      <c r="I768">
        <v>1.7836000000000001</v>
      </c>
      <c r="J768">
        <v>25633.9</v>
      </c>
      <c r="K768">
        <v>14372.00044853106</v>
      </c>
    </row>
    <row r="769" spans="1:11" x14ac:dyDescent="0.25">
      <c r="A769" t="s">
        <v>684</v>
      </c>
      <c r="B769" t="s">
        <v>685</v>
      </c>
      <c r="C769" s="1">
        <v>40925</v>
      </c>
      <c r="D769" s="1">
        <v>40932</v>
      </c>
      <c r="E769">
        <v>3636</v>
      </c>
      <c r="F769" t="s">
        <v>309</v>
      </c>
      <c r="G769" t="s">
        <v>16</v>
      </c>
      <c r="H769" t="s">
        <v>1351</v>
      </c>
      <c r="I769">
        <v>1.7836000000000001</v>
      </c>
      <c r="J769">
        <v>28048.74</v>
      </c>
      <c r="K769">
        <v>15725.913882036331</v>
      </c>
    </row>
    <row r="770" spans="1:11" x14ac:dyDescent="0.25">
      <c r="A770" t="s">
        <v>2313</v>
      </c>
      <c r="B770" t="s">
        <v>2314</v>
      </c>
      <c r="C770" s="1">
        <v>40927</v>
      </c>
      <c r="D770" s="1">
        <v>40934</v>
      </c>
      <c r="E770">
        <v>1747</v>
      </c>
      <c r="F770" t="s">
        <v>309</v>
      </c>
      <c r="G770" t="s">
        <v>16</v>
      </c>
      <c r="H770" t="s">
        <v>4870</v>
      </c>
      <c r="I770">
        <v>1.7790999999999999</v>
      </c>
      <c r="J770">
        <v>69673.5</v>
      </c>
      <c r="K770">
        <v>39162.216851216908</v>
      </c>
    </row>
    <row r="771" spans="1:11" x14ac:dyDescent="0.25">
      <c r="A771" t="s">
        <v>713</v>
      </c>
      <c r="B771" t="s">
        <v>714</v>
      </c>
      <c r="C771" s="1">
        <v>40942</v>
      </c>
      <c r="D771" s="1">
        <v>40943</v>
      </c>
      <c r="E771">
        <v>3412</v>
      </c>
      <c r="F771" t="s">
        <v>689</v>
      </c>
      <c r="G771" t="s">
        <v>16</v>
      </c>
      <c r="H771" t="s">
        <v>4871</v>
      </c>
      <c r="I771">
        <v>1.7325999999999999</v>
      </c>
      <c r="J771">
        <v>26693.55</v>
      </c>
      <c r="K771">
        <v>15406.643195197968</v>
      </c>
    </row>
    <row r="772" spans="1:11" x14ac:dyDescent="0.25">
      <c r="A772" t="s">
        <v>731</v>
      </c>
      <c r="B772" t="s">
        <v>732</v>
      </c>
      <c r="C772" s="1">
        <v>40966</v>
      </c>
      <c r="D772" s="1">
        <v>40976</v>
      </c>
      <c r="E772">
        <v>1716</v>
      </c>
      <c r="F772" t="s">
        <v>689</v>
      </c>
      <c r="G772" t="s">
        <v>16</v>
      </c>
      <c r="H772" t="s">
        <v>1352</v>
      </c>
      <c r="I772">
        <v>1.7098</v>
      </c>
      <c r="J772">
        <v>50415.75</v>
      </c>
      <c r="K772">
        <v>29486.343431980349</v>
      </c>
    </row>
    <row r="773" spans="1:11" x14ac:dyDescent="0.25">
      <c r="A773" t="s">
        <v>1353</v>
      </c>
      <c r="C773" s="1">
        <v>40999</v>
      </c>
      <c r="D773" s="1">
        <v>41015</v>
      </c>
      <c r="E773">
        <v>5207</v>
      </c>
      <c r="F773" t="s">
        <v>282</v>
      </c>
      <c r="G773" t="s">
        <v>16</v>
      </c>
      <c r="H773" t="s">
        <v>1354</v>
      </c>
      <c r="I773">
        <v>1.8221000000000001</v>
      </c>
      <c r="J773">
        <v>16.11</v>
      </c>
      <c r="K773">
        <v>8.8414466823994289</v>
      </c>
    </row>
    <row r="774" spans="1:11" x14ac:dyDescent="0.25">
      <c r="A774" t="s">
        <v>677</v>
      </c>
      <c r="B774" t="s">
        <v>678</v>
      </c>
      <c r="C774" s="1">
        <v>40912</v>
      </c>
      <c r="D774" s="1">
        <v>40936</v>
      </c>
      <c r="E774">
        <v>2629</v>
      </c>
      <c r="F774" t="s">
        <v>331</v>
      </c>
      <c r="G774" t="s">
        <v>16</v>
      </c>
      <c r="H774" t="s">
        <v>1355</v>
      </c>
      <c r="I774">
        <v>1.8456999999999999</v>
      </c>
      <c r="J774">
        <v>55611.89</v>
      </c>
      <c r="K774">
        <v>30130.514168066315</v>
      </c>
    </row>
    <row r="775" spans="1:11" x14ac:dyDescent="0.25">
      <c r="A775" t="s">
        <v>704</v>
      </c>
      <c r="B775" t="s">
        <v>705</v>
      </c>
      <c r="C775" s="1">
        <v>40974</v>
      </c>
      <c r="D775" s="1">
        <v>40977</v>
      </c>
      <c r="E775">
        <v>3416</v>
      </c>
      <c r="F775" t="s">
        <v>689</v>
      </c>
      <c r="G775" t="s">
        <v>16</v>
      </c>
      <c r="H775" t="s">
        <v>1356</v>
      </c>
      <c r="I775">
        <v>1.7314000000000001</v>
      </c>
      <c r="J775">
        <v>40258.589999999997</v>
      </c>
      <c r="K775">
        <v>23252.044588194523</v>
      </c>
    </row>
    <row r="776" spans="1:11" x14ac:dyDescent="0.25">
      <c r="A776" t="s">
        <v>704</v>
      </c>
      <c r="B776" t="s">
        <v>705</v>
      </c>
      <c r="C776" s="1">
        <v>40975</v>
      </c>
      <c r="D776" s="1">
        <v>40977</v>
      </c>
      <c r="E776">
        <v>3416</v>
      </c>
      <c r="F776" t="s">
        <v>689</v>
      </c>
      <c r="G776" t="s">
        <v>16</v>
      </c>
      <c r="H776" t="s">
        <v>1357</v>
      </c>
      <c r="I776">
        <v>1.7556</v>
      </c>
      <c r="J776">
        <v>41346.660000000003</v>
      </c>
      <c r="K776">
        <v>23551.2987012987</v>
      </c>
    </row>
    <row r="777" spans="1:11" x14ac:dyDescent="0.25">
      <c r="A777" t="s">
        <v>720</v>
      </c>
      <c r="B777" t="s">
        <v>721</v>
      </c>
      <c r="C777" s="1">
        <v>41078</v>
      </c>
      <c r="D777" s="1">
        <v>41080</v>
      </c>
      <c r="E777">
        <v>4819</v>
      </c>
      <c r="F777" t="s">
        <v>689</v>
      </c>
      <c r="G777" t="s">
        <v>16</v>
      </c>
      <c r="H777" t="s">
        <v>4872</v>
      </c>
      <c r="I777">
        <v>2.0442999999999998</v>
      </c>
      <c r="J777">
        <v>43600.03</v>
      </c>
      <c r="K777">
        <v>21327.608472337721</v>
      </c>
    </row>
    <row r="778" spans="1:11" x14ac:dyDescent="0.25">
      <c r="A778" t="s">
        <v>720</v>
      </c>
      <c r="B778" t="s">
        <v>721</v>
      </c>
      <c r="C778" s="1">
        <v>41079</v>
      </c>
      <c r="D778" s="1">
        <v>41081</v>
      </c>
      <c r="E778">
        <v>4819</v>
      </c>
      <c r="F778" t="s">
        <v>689</v>
      </c>
      <c r="G778" t="s">
        <v>16</v>
      </c>
      <c r="H778" t="s">
        <v>4873</v>
      </c>
      <c r="I778">
        <v>2.0634000000000001</v>
      </c>
      <c r="J778">
        <v>43461.62</v>
      </c>
      <c r="K778">
        <v>21063.109431036155</v>
      </c>
    </row>
    <row r="779" spans="1:11" x14ac:dyDescent="0.25">
      <c r="A779" t="s">
        <v>1851</v>
      </c>
      <c r="B779" t="s">
        <v>144</v>
      </c>
      <c r="C779" s="1">
        <v>41003</v>
      </c>
      <c r="D779" s="1">
        <v>41004</v>
      </c>
      <c r="E779">
        <v>3513</v>
      </c>
      <c r="F779" t="s">
        <v>689</v>
      </c>
      <c r="G779" t="s">
        <v>16</v>
      </c>
      <c r="H779" t="s">
        <v>4874</v>
      </c>
      <c r="I779">
        <v>1.8255999999999999</v>
      </c>
      <c r="J779">
        <v>22062</v>
      </c>
      <c r="K779">
        <v>12084.794040315513</v>
      </c>
    </row>
    <row r="780" spans="1:11" x14ac:dyDescent="0.25">
      <c r="A780" t="s">
        <v>717</v>
      </c>
      <c r="B780" t="s">
        <v>718</v>
      </c>
      <c r="C780" s="1">
        <v>40994</v>
      </c>
      <c r="D780" s="1">
        <v>40997</v>
      </c>
      <c r="E780">
        <v>3</v>
      </c>
      <c r="F780" t="s">
        <v>309</v>
      </c>
      <c r="G780" t="s">
        <v>16</v>
      </c>
      <c r="H780" t="s">
        <v>4875</v>
      </c>
      <c r="I780">
        <v>1.8193999999999999</v>
      </c>
      <c r="J780">
        <v>41755.089999999997</v>
      </c>
      <c r="K780">
        <v>22949.923051555459</v>
      </c>
    </row>
    <row r="781" spans="1:11" x14ac:dyDescent="0.25">
      <c r="A781" t="s">
        <v>687</v>
      </c>
      <c r="B781" t="s">
        <v>688</v>
      </c>
      <c r="C781" s="1">
        <v>40963</v>
      </c>
      <c r="D781" s="1">
        <v>40966</v>
      </c>
      <c r="E781">
        <v>3414</v>
      </c>
      <c r="F781" t="s">
        <v>689</v>
      </c>
      <c r="G781" t="s">
        <v>16</v>
      </c>
      <c r="H781" t="s">
        <v>4876</v>
      </c>
      <c r="I781">
        <v>1.704</v>
      </c>
      <c r="J781">
        <v>44871.63</v>
      </c>
      <c r="K781">
        <v>26333.116197183099</v>
      </c>
    </row>
    <row r="782" spans="1:11" x14ac:dyDescent="0.25">
      <c r="A782" t="s">
        <v>704</v>
      </c>
      <c r="B782" t="s">
        <v>705</v>
      </c>
      <c r="C782" s="1">
        <v>40977</v>
      </c>
      <c r="D782" s="1">
        <v>40981</v>
      </c>
      <c r="E782">
        <v>3416</v>
      </c>
      <c r="F782" t="s">
        <v>689</v>
      </c>
      <c r="G782" t="s">
        <v>16</v>
      </c>
      <c r="H782" t="s">
        <v>1358</v>
      </c>
      <c r="I782">
        <v>1.7697000000000001</v>
      </c>
      <c r="J782">
        <v>40259.589999999997</v>
      </c>
      <c r="K782">
        <v>22749.386901734757</v>
      </c>
    </row>
    <row r="783" spans="1:11" x14ac:dyDescent="0.25">
      <c r="A783" t="s">
        <v>704</v>
      </c>
      <c r="B783" t="s">
        <v>705</v>
      </c>
      <c r="C783" s="1">
        <v>40978</v>
      </c>
      <c r="D783" s="1">
        <v>40981</v>
      </c>
      <c r="E783">
        <v>3416</v>
      </c>
      <c r="F783" t="s">
        <v>689</v>
      </c>
      <c r="G783" t="s">
        <v>16</v>
      </c>
      <c r="H783" t="s">
        <v>4877</v>
      </c>
      <c r="I783">
        <v>1.7766999999999999</v>
      </c>
      <c r="J783">
        <v>35906.31</v>
      </c>
      <c r="K783">
        <v>20209.551415545673</v>
      </c>
    </row>
    <row r="784" spans="1:11" x14ac:dyDescent="0.25">
      <c r="A784" t="s">
        <v>709</v>
      </c>
      <c r="B784" t="s">
        <v>710</v>
      </c>
      <c r="C784" s="1">
        <v>40896</v>
      </c>
      <c r="D784" s="1">
        <v>40910</v>
      </c>
      <c r="E784">
        <v>4</v>
      </c>
      <c r="F784" t="s">
        <v>278</v>
      </c>
      <c r="G784" t="s">
        <v>16</v>
      </c>
      <c r="H784" t="s">
        <v>1359</v>
      </c>
      <c r="I784">
        <v>1.8465</v>
      </c>
      <c r="J784">
        <v>12314.73</v>
      </c>
      <c r="K784">
        <v>6669.2282696994316</v>
      </c>
    </row>
    <row r="785" spans="1:11" x14ac:dyDescent="0.25">
      <c r="A785" t="s">
        <v>717</v>
      </c>
      <c r="B785" t="s">
        <v>718</v>
      </c>
      <c r="C785" s="1">
        <v>40994</v>
      </c>
      <c r="D785" s="1">
        <v>40999</v>
      </c>
      <c r="E785">
        <v>3</v>
      </c>
      <c r="F785" t="s">
        <v>309</v>
      </c>
      <c r="G785" t="s">
        <v>16</v>
      </c>
      <c r="H785" t="s">
        <v>1360</v>
      </c>
      <c r="I785">
        <v>1.8193999999999999</v>
      </c>
      <c r="J785">
        <v>41620.69</v>
      </c>
      <c r="K785">
        <v>22876.052544794988</v>
      </c>
    </row>
    <row r="786" spans="1:11" x14ac:dyDescent="0.25">
      <c r="A786" t="s">
        <v>717</v>
      </c>
      <c r="B786" t="s">
        <v>718</v>
      </c>
      <c r="C786" s="1">
        <v>40992</v>
      </c>
      <c r="D786" s="1">
        <v>40999</v>
      </c>
      <c r="E786">
        <v>3</v>
      </c>
      <c r="F786" t="s">
        <v>309</v>
      </c>
      <c r="G786" t="s">
        <v>16</v>
      </c>
      <c r="H786" t="s">
        <v>4878</v>
      </c>
      <c r="I786">
        <v>1.8193999999999999</v>
      </c>
      <c r="J786">
        <v>41441.480000000003</v>
      </c>
      <c r="K786">
        <v>22777.553039463561</v>
      </c>
    </row>
    <row r="787" spans="1:11" x14ac:dyDescent="0.25">
      <c r="A787" t="s">
        <v>1361</v>
      </c>
      <c r="B787" t="s">
        <v>1362</v>
      </c>
      <c r="C787" s="1">
        <v>40938</v>
      </c>
      <c r="D787" s="1">
        <v>40940</v>
      </c>
      <c r="E787">
        <v>3711</v>
      </c>
      <c r="F787" t="s">
        <v>1311</v>
      </c>
      <c r="G787" t="s">
        <v>16</v>
      </c>
      <c r="H787" t="s">
        <v>1363</v>
      </c>
      <c r="I787">
        <v>1.7436</v>
      </c>
      <c r="J787">
        <v>258457.32</v>
      </c>
      <c r="K787">
        <v>148232.00275292498</v>
      </c>
    </row>
    <row r="788" spans="1:11" x14ac:dyDescent="0.25">
      <c r="A788" t="s">
        <v>654</v>
      </c>
      <c r="B788" t="s">
        <v>655</v>
      </c>
      <c r="C788" s="1">
        <v>40974</v>
      </c>
      <c r="D788" s="1">
        <v>40979</v>
      </c>
      <c r="E788">
        <v>116</v>
      </c>
      <c r="F788" t="s">
        <v>675</v>
      </c>
      <c r="G788" t="s">
        <v>16</v>
      </c>
      <c r="H788" t="s">
        <v>4879</v>
      </c>
      <c r="I788">
        <v>1.7314000000000001</v>
      </c>
      <c r="J788">
        <v>154893.6</v>
      </c>
      <c r="K788">
        <v>89461.476261984528</v>
      </c>
    </row>
    <row r="789" spans="1:11" x14ac:dyDescent="0.25">
      <c r="A789" t="s">
        <v>2313</v>
      </c>
      <c r="B789" t="s">
        <v>2314</v>
      </c>
      <c r="C789" s="1">
        <v>40929</v>
      </c>
      <c r="D789" s="1">
        <v>40951</v>
      </c>
      <c r="E789">
        <v>1747</v>
      </c>
      <c r="F789" t="s">
        <v>309</v>
      </c>
      <c r="G789" t="s">
        <v>16</v>
      </c>
      <c r="H789" t="s">
        <v>4880</v>
      </c>
      <c r="I789">
        <v>1.7669999999999999</v>
      </c>
      <c r="J789">
        <v>36230.22</v>
      </c>
      <c r="K789">
        <v>20503.803056027165</v>
      </c>
    </row>
    <row r="790" spans="1:11" x14ac:dyDescent="0.25">
      <c r="A790" t="s">
        <v>704</v>
      </c>
      <c r="B790" t="s">
        <v>705</v>
      </c>
      <c r="C790" s="1">
        <v>40973</v>
      </c>
      <c r="D790" s="1">
        <v>40977</v>
      </c>
      <c r="E790">
        <v>3416</v>
      </c>
      <c r="F790" t="s">
        <v>689</v>
      </c>
      <c r="G790" t="s">
        <v>16</v>
      </c>
      <c r="H790" t="s">
        <v>1364</v>
      </c>
      <c r="I790">
        <v>1.7244999999999999</v>
      </c>
      <c r="J790">
        <v>40258.589999999997</v>
      </c>
      <c r="K790">
        <v>23345.079733256018</v>
      </c>
    </row>
    <row r="791" spans="1:11" x14ac:dyDescent="0.25">
      <c r="A791" t="s">
        <v>704</v>
      </c>
      <c r="B791" t="s">
        <v>705</v>
      </c>
      <c r="C791" s="1">
        <v>40980</v>
      </c>
      <c r="D791" s="1">
        <v>40982</v>
      </c>
      <c r="E791">
        <v>3416</v>
      </c>
      <c r="F791" t="s">
        <v>689</v>
      </c>
      <c r="G791" t="s">
        <v>16</v>
      </c>
      <c r="H791" t="s">
        <v>1365</v>
      </c>
      <c r="I791">
        <v>1.7766999999999999</v>
      </c>
      <c r="J791">
        <v>41346.660000000003</v>
      </c>
      <c r="K791">
        <v>23271.604660325323</v>
      </c>
    </row>
    <row r="792" spans="1:11" x14ac:dyDescent="0.25">
      <c r="A792" t="s">
        <v>736</v>
      </c>
      <c r="B792" t="s">
        <v>737</v>
      </c>
      <c r="C792" s="1">
        <v>40967</v>
      </c>
      <c r="D792" s="1">
        <v>40969</v>
      </c>
      <c r="E792">
        <v>3415</v>
      </c>
      <c r="F792" t="s">
        <v>689</v>
      </c>
      <c r="G792" t="s">
        <v>16</v>
      </c>
      <c r="H792" t="s">
        <v>1366</v>
      </c>
      <c r="I792">
        <v>1.7088000000000001</v>
      </c>
      <c r="J792">
        <v>49703.21</v>
      </c>
      <c r="K792">
        <v>29086.616338951309</v>
      </c>
    </row>
    <row r="793" spans="1:11" x14ac:dyDescent="0.25">
      <c r="A793" t="s">
        <v>687</v>
      </c>
      <c r="B793" t="s">
        <v>688</v>
      </c>
      <c r="C793" s="1">
        <v>40961</v>
      </c>
      <c r="D793" s="1">
        <v>40962</v>
      </c>
      <c r="E793">
        <v>3414</v>
      </c>
      <c r="F793" t="s">
        <v>689</v>
      </c>
      <c r="G793" t="s">
        <v>16</v>
      </c>
      <c r="H793" t="s">
        <v>1367</v>
      </c>
      <c r="I793">
        <v>1.7136</v>
      </c>
      <c r="J793">
        <v>46213.56</v>
      </c>
      <c r="K793">
        <v>26968.697478991595</v>
      </c>
    </row>
    <row r="794" spans="1:11" x14ac:dyDescent="0.25">
      <c r="A794" t="s">
        <v>1368</v>
      </c>
      <c r="B794" t="s">
        <v>1369</v>
      </c>
      <c r="C794" s="1">
        <v>40948</v>
      </c>
      <c r="D794" s="1">
        <v>40950</v>
      </c>
      <c r="E794">
        <v>3413</v>
      </c>
      <c r="F794" t="s">
        <v>689</v>
      </c>
      <c r="G794" t="s">
        <v>16</v>
      </c>
      <c r="H794" t="s">
        <v>1370</v>
      </c>
      <c r="I794">
        <v>1.7195</v>
      </c>
      <c r="J794">
        <v>47899.51</v>
      </c>
      <c r="K794">
        <v>27856.650189008433</v>
      </c>
    </row>
    <row r="795" spans="1:11" x14ac:dyDescent="0.25">
      <c r="A795" t="s">
        <v>704</v>
      </c>
      <c r="B795" t="s">
        <v>705</v>
      </c>
      <c r="C795" s="1">
        <v>40976</v>
      </c>
      <c r="D795" s="1">
        <v>40978</v>
      </c>
      <c r="E795">
        <v>3416</v>
      </c>
      <c r="F795" t="s">
        <v>689</v>
      </c>
      <c r="G795" t="s">
        <v>16</v>
      </c>
      <c r="H795" t="s">
        <v>4881</v>
      </c>
      <c r="I795">
        <v>1.7692000000000001</v>
      </c>
      <c r="J795">
        <v>40258.589999999997</v>
      </c>
      <c r="K795">
        <v>22755.250960886275</v>
      </c>
    </row>
    <row r="796" spans="1:11" x14ac:dyDescent="0.25">
      <c r="A796" t="s">
        <v>1368</v>
      </c>
      <c r="B796" t="s">
        <v>1369</v>
      </c>
      <c r="C796" s="1">
        <v>40947</v>
      </c>
      <c r="D796" s="1">
        <v>40949</v>
      </c>
      <c r="E796">
        <v>3413</v>
      </c>
      <c r="F796" t="s">
        <v>689</v>
      </c>
      <c r="G796" t="s">
        <v>16</v>
      </c>
      <c r="H796" t="s">
        <v>4882</v>
      </c>
      <c r="I796">
        <v>1.7261</v>
      </c>
      <c r="J796">
        <v>47691.360000000001</v>
      </c>
      <c r="K796">
        <v>27629.546376223858</v>
      </c>
    </row>
    <row r="797" spans="1:11" x14ac:dyDescent="0.25">
      <c r="A797" t="s">
        <v>1368</v>
      </c>
      <c r="B797" t="s">
        <v>1369</v>
      </c>
      <c r="C797" s="1">
        <v>40947</v>
      </c>
      <c r="D797" s="1">
        <v>40948</v>
      </c>
      <c r="E797">
        <v>3413</v>
      </c>
      <c r="F797" t="s">
        <v>689</v>
      </c>
      <c r="G797" t="s">
        <v>16</v>
      </c>
      <c r="H797" t="s">
        <v>1118</v>
      </c>
      <c r="I797">
        <v>1.7261</v>
      </c>
      <c r="J797">
        <v>48185.71</v>
      </c>
      <c r="K797">
        <v>27915.943456346678</v>
      </c>
    </row>
    <row r="798" spans="1:11" x14ac:dyDescent="0.25">
      <c r="A798" t="s">
        <v>1368</v>
      </c>
      <c r="B798" t="s">
        <v>1369</v>
      </c>
      <c r="C798" s="1">
        <v>40948</v>
      </c>
      <c r="D798" s="1">
        <v>40949</v>
      </c>
      <c r="E798">
        <v>3413</v>
      </c>
      <c r="F798" t="s">
        <v>689</v>
      </c>
      <c r="G798" t="s">
        <v>16</v>
      </c>
      <c r="H798" t="s">
        <v>1371</v>
      </c>
      <c r="I798">
        <v>1.7195</v>
      </c>
      <c r="J798">
        <v>48315.8</v>
      </c>
      <c r="K798">
        <v>28098.749636522243</v>
      </c>
    </row>
    <row r="799" spans="1:11" x14ac:dyDescent="0.25">
      <c r="A799" t="s">
        <v>1372</v>
      </c>
      <c r="B799" t="s">
        <v>1373</v>
      </c>
      <c r="C799" s="1">
        <v>40961</v>
      </c>
      <c r="D799" s="1">
        <v>40966</v>
      </c>
      <c r="E799">
        <v>4280</v>
      </c>
      <c r="F799" t="s">
        <v>301</v>
      </c>
      <c r="G799" t="s">
        <v>16</v>
      </c>
      <c r="H799" t="s">
        <v>1374</v>
      </c>
      <c r="I799">
        <v>1.7136</v>
      </c>
      <c r="J799">
        <v>35700</v>
      </c>
      <c r="K799">
        <v>20833.333333333332</v>
      </c>
    </row>
    <row r="800" spans="1:11" x14ac:dyDescent="0.25">
      <c r="A800" t="s">
        <v>1372</v>
      </c>
      <c r="B800" t="s">
        <v>1373</v>
      </c>
      <c r="C800" s="1">
        <v>40961</v>
      </c>
      <c r="D800" s="1">
        <v>40966</v>
      </c>
      <c r="E800">
        <v>4280</v>
      </c>
      <c r="F800" t="s">
        <v>301</v>
      </c>
      <c r="G800" t="s">
        <v>16</v>
      </c>
      <c r="H800" t="s">
        <v>1375</v>
      </c>
      <c r="I800">
        <v>1.7136</v>
      </c>
      <c r="J800">
        <v>67371.600000000006</v>
      </c>
      <c r="K800">
        <v>39315.826330532211</v>
      </c>
    </row>
    <row r="801" spans="1:11" x14ac:dyDescent="0.25">
      <c r="A801" t="s">
        <v>704</v>
      </c>
      <c r="B801" t="s">
        <v>705</v>
      </c>
      <c r="C801" s="1">
        <v>40981</v>
      </c>
      <c r="D801" s="1">
        <v>40983</v>
      </c>
      <c r="E801">
        <v>3416</v>
      </c>
      <c r="F801" t="s">
        <v>689</v>
      </c>
      <c r="G801" t="s">
        <v>16</v>
      </c>
      <c r="H801" t="s">
        <v>1376</v>
      </c>
      <c r="I801">
        <v>1.8157000000000001</v>
      </c>
      <c r="J801">
        <v>41346.660000000003</v>
      </c>
      <c r="K801">
        <v>22771.74643388225</v>
      </c>
    </row>
    <row r="802" spans="1:11" x14ac:dyDescent="0.25">
      <c r="A802" t="s">
        <v>672</v>
      </c>
      <c r="B802" t="s">
        <v>673</v>
      </c>
      <c r="C802" s="1">
        <v>40983</v>
      </c>
      <c r="D802" s="1">
        <v>40987</v>
      </c>
      <c r="E802">
        <v>118</v>
      </c>
      <c r="F802" t="s">
        <v>370</v>
      </c>
      <c r="G802" t="s">
        <v>16</v>
      </c>
      <c r="H802" t="s">
        <v>1377</v>
      </c>
      <c r="I802">
        <v>1.8146</v>
      </c>
      <c r="J802">
        <v>123710.36</v>
      </c>
      <c r="K802">
        <v>68175.002755428199</v>
      </c>
    </row>
    <row r="803" spans="1:11" x14ac:dyDescent="0.25">
      <c r="A803" t="s">
        <v>720</v>
      </c>
      <c r="B803" t="s">
        <v>721</v>
      </c>
      <c r="C803" s="1">
        <v>41082</v>
      </c>
      <c r="D803" s="1">
        <v>41084</v>
      </c>
      <c r="E803">
        <v>4819</v>
      </c>
      <c r="F803" t="s">
        <v>689</v>
      </c>
      <c r="G803" t="s">
        <v>16</v>
      </c>
      <c r="H803" t="s">
        <v>1378</v>
      </c>
      <c r="I803">
        <v>2.0363000000000002</v>
      </c>
      <c r="J803">
        <v>42308.18</v>
      </c>
      <c r="K803">
        <v>20776.987673721946</v>
      </c>
    </row>
    <row r="804" spans="1:11" x14ac:dyDescent="0.25">
      <c r="A804" t="s">
        <v>720</v>
      </c>
      <c r="B804" t="s">
        <v>721</v>
      </c>
      <c r="C804" s="1">
        <v>41082</v>
      </c>
      <c r="D804" s="1">
        <v>41084</v>
      </c>
      <c r="E804">
        <v>4819</v>
      </c>
      <c r="F804" t="s">
        <v>689</v>
      </c>
      <c r="G804" t="s">
        <v>16</v>
      </c>
      <c r="H804" t="s">
        <v>4883</v>
      </c>
      <c r="I804">
        <v>2.0363000000000002</v>
      </c>
      <c r="J804">
        <v>43115.59</v>
      </c>
      <c r="K804">
        <v>21173.496046751461</v>
      </c>
    </row>
    <row r="805" spans="1:11" x14ac:dyDescent="0.25">
      <c r="A805" t="s">
        <v>720</v>
      </c>
      <c r="B805" t="s">
        <v>721</v>
      </c>
      <c r="C805" s="1">
        <v>41083</v>
      </c>
      <c r="D805" s="1">
        <v>41086</v>
      </c>
      <c r="E805">
        <v>4819</v>
      </c>
      <c r="F805" t="s">
        <v>689</v>
      </c>
      <c r="G805" t="s">
        <v>16</v>
      </c>
      <c r="H805" t="s">
        <v>1379</v>
      </c>
      <c r="I805">
        <v>2.0554999999999999</v>
      </c>
      <c r="J805">
        <v>43346.28</v>
      </c>
      <c r="K805">
        <v>21087.949404037947</v>
      </c>
    </row>
    <row r="806" spans="1:11" x14ac:dyDescent="0.25">
      <c r="A806" t="s">
        <v>720</v>
      </c>
      <c r="B806" t="s">
        <v>721</v>
      </c>
      <c r="C806" s="1">
        <v>41041</v>
      </c>
      <c r="D806" s="1">
        <v>41045</v>
      </c>
      <c r="E806">
        <v>4819</v>
      </c>
      <c r="F806" t="s">
        <v>689</v>
      </c>
      <c r="G806" t="s">
        <v>16</v>
      </c>
      <c r="H806" t="s">
        <v>1380</v>
      </c>
      <c r="I806">
        <v>1.9513</v>
      </c>
      <c r="J806">
        <v>44061.01</v>
      </c>
      <c r="K806">
        <v>22580.336186132321</v>
      </c>
    </row>
    <row r="807" spans="1:11" x14ac:dyDescent="0.25">
      <c r="A807" t="s">
        <v>720</v>
      </c>
      <c r="B807" t="s">
        <v>721</v>
      </c>
      <c r="C807" s="1">
        <v>41071</v>
      </c>
      <c r="D807" s="1">
        <v>41073</v>
      </c>
      <c r="E807">
        <v>4819</v>
      </c>
      <c r="F807" t="s">
        <v>689</v>
      </c>
      <c r="G807" t="s">
        <v>16</v>
      </c>
      <c r="H807" t="s">
        <v>1381</v>
      </c>
      <c r="I807">
        <v>2.0352999999999999</v>
      </c>
      <c r="J807">
        <v>42677.279999999999</v>
      </c>
      <c r="K807">
        <v>20968.545177615095</v>
      </c>
    </row>
    <row r="808" spans="1:11" x14ac:dyDescent="0.25">
      <c r="A808" t="s">
        <v>4884</v>
      </c>
      <c r="B808" t="s">
        <v>4885</v>
      </c>
      <c r="C808" s="1">
        <v>41052</v>
      </c>
      <c r="D808" s="1">
        <v>41057</v>
      </c>
      <c r="E808">
        <v>6150</v>
      </c>
      <c r="F808" t="s">
        <v>402</v>
      </c>
      <c r="G808" t="s">
        <v>16</v>
      </c>
      <c r="H808" t="s">
        <v>4886</v>
      </c>
      <c r="I808">
        <v>2.0493000000000001</v>
      </c>
      <c r="J808">
        <v>49183.199999999997</v>
      </c>
      <c r="K808">
        <v>24000</v>
      </c>
    </row>
    <row r="809" spans="1:11" x14ac:dyDescent="0.25">
      <c r="A809" t="s">
        <v>720</v>
      </c>
      <c r="B809" t="s">
        <v>721</v>
      </c>
      <c r="C809" s="1">
        <v>41079</v>
      </c>
      <c r="D809" s="1">
        <v>41081</v>
      </c>
      <c r="E809">
        <v>4819</v>
      </c>
      <c r="F809" t="s">
        <v>689</v>
      </c>
      <c r="G809" t="s">
        <v>16</v>
      </c>
      <c r="H809" t="s">
        <v>1382</v>
      </c>
      <c r="I809">
        <v>2.0634000000000001</v>
      </c>
      <c r="J809">
        <v>42631.14</v>
      </c>
      <c r="K809">
        <v>20660.62808956092</v>
      </c>
    </row>
    <row r="810" spans="1:11" x14ac:dyDescent="0.25">
      <c r="A810" t="s">
        <v>720</v>
      </c>
      <c r="B810" t="s">
        <v>721</v>
      </c>
      <c r="C810" s="1">
        <v>41079</v>
      </c>
      <c r="D810" s="1">
        <v>41081</v>
      </c>
      <c r="E810">
        <v>4819</v>
      </c>
      <c r="F810" t="s">
        <v>689</v>
      </c>
      <c r="G810" t="s">
        <v>16</v>
      </c>
      <c r="H810" t="s">
        <v>1383</v>
      </c>
      <c r="I810">
        <v>2.0634000000000001</v>
      </c>
      <c r="J810">
        <v>42677.279999999999</v>
      </c>
      <c r="K810">
        <v>20682.989241058447</v>
      </c>
    </row>
    <row r="811" spans="1:11" x14ac:dyDescent="0.25">
      <c r="A811" t="s">
        <v>720</v>
      </c>
      <c r="B811" t="s">
        <v>721</v>
      </c>
      <c r="C811" s="1">
        <v>41079</v>
      </c>
      <c r="D811" s="1">
        <v>41081</v>
      </c>
      <c r="E811">
        <v>4819</v>
      </c>
      <c r="F811" t="s">
        <v>689</v>
      </c>
      <c r="G811" t="s">
        <v>16</v>
      </c>
      <c r="H811" t="s">
        <v>1384</v>
      </c>
      <c r="I811">
        <v>2.0634000000000001</v>
      </c>
      <c r="J811">
        <v>42354.32</v>
      </c>
      <c r="K811">
        <v>20526.470873315888</v>
      </c>
    </row>
    <row r="812" spans="1:11" x14ac:dyDescent="0.25">
      <c r="A812" t="s">
        <v>720</v>
      </c>
      <c r="B812" t="s">
        <v>721</v>
      </c>
      <c r="C812" s="1">
        <v>41041</v>
      </c>
      <c r="D812" s="1">
        <v>41047</v>
      </c>
      <c r="E812">
        <v>4819</v>
      </c>
      <c r="F812" t="s">
        <v>689</v>
      </c>
      <c r="G812" t="s">
        <v>16</v>
      </c>
      <c r="H812" t="s">
        <v>4887</v>
      </c>
      <c r="I812">
        <v>1.9513</v>
      </c>
      <c r="J812">
        <v>43977.99</v>
      </c>
      <c r="K812">
        <v>22537.790191154614</v>
      </c>
    </row>
    <row r="813" spans="1:11" x14ac:dyDescent="0.25">
      <c r="A813" t="s">
        <v>720</v>
      </c>
      <c r="B813" t="s">
        <v>721</v>
      </c>
      <c r="C813" s="1">
        <v>41072</v>
      </c>
      <c r="D813" s="1">
        <v>41074</v>
      </c>
      <c r="E813">
        <v>4819</v>
      </c>
      <c r="F813" t="s">
        <v>689</v>
      </c>
      <c r="G813" t="s">
        <v>16</v>
      </c>
      <c r="H813" t="s">
        <v>1385</v>
      </c>
      <c r="I813">
        <v>2.0348000000000002</v>
      </c>
      <c r="J813">
        <v>43277.07</v>
      </c>
      <c r="K813">
        <v>21268.46373107922</v>
      </c>
    </row>
    <row r="814" spans="1:11" x14ac:dyDescent="0.25">
      <c r="A814" t="s">
        <v>720</v>
      </c>
      <c r="B814" t="s">
        <v>721</v>
      </c>
      <c r="C814" s="1">
        <v>41071</v>
      </c>
      <c r="D814" s="1">
        <v>41073</v>
      </c>
      <c r="E814">
        <v>4819</v>
      </c>
      <c r="F814" t="s">
        <v>689</v>
      </c>
      <c r="G814" t="s">
        <v>16</v>
      </c>
      <c r="H814" t="s">
        <v>1386</v>
      </c>
      <c r="I814">
        <v>2.0352999999999999</v>
      </c>
      <c r="J814">
        <v>43530.83</v>
      </c>
      <c r="K814">
        <v>21387.918243010859</v>
      </c>
    </row>
    <row r="815" spans="1:11" x14ac:dyDescent="0.25">
      <c r="A815" t="s">
        <v>720</v>
      </c>
      <c r="B815" t="s">
        <v>721</v>
      </c>
      <c r="C815" s="1">
        <v>41072</v>
      </c>
      <c r="D815" s="1">
        <v>41073</v>
      </c>
      <c r="E815">
        <v>4819</v>
      </c>
      <c r="F815" t="s">
        <v>689</v>
      </c>
      <c r="G815" t="s">
        <v>16</v>
      </c>
      <c r="H815" t="s">
        <v>1387</v>
      </c>
      <c r="I815">
        <v>2.0348000000000002</v>
      </c>
      <c r="J815">
        <v>43761.51</v>
      </c>
      <c r="K815">
        <v>21506.541183408688</v>
      </c>
    </row>
    <row r="816" spans="1:11" x14ac:dyDescent="0.25">
      <c r="A816" t="s">
        <v>1388</v>
      </c>
      <c r="B816" t="s">
        <v>1389</v>
      </c>
      <c r="C816" s="1">
        <v>41109</v>
      </c>
      <c r="D816" s="1">
        <v>41116</v>
      </c>
      <c r="E816">
        <v>4846</v>
      </c>
      <c r="F816" t="s">
        <v>665</v>
      </c>
      <c r="G816" t="s">
        <v>16</v>
      </c>
      <c r="H816" t="s">
        <v>1390</v>
      </c>
      <c r="I816">
        <v>2.0257999999999998</v>
      </c>
      <c r="J816">
        <v>25219.97</v>
      </c>
      <c r="K816">
        <v>12449.387896139797</v>
      </c>
    </row>
    <row r="817" spans="1:11" x14ac:dyDescent="0.25">
      <c r="A817" t="s">
        <v>751</v>
      </c>
      <c r="B817" t="s">
        <v>752</v>
      </c>
      <c r="C817" s="1">
        <v>41113</v>
      </c>
      <c r="D817" s="1">
        <v>41115</v>
      </c>
      <c r="E817">
        <v>4250</v>
      </c>
      <c r="F817" t="s">
        <v>689</v>
      </c>
      <c r="G817" t="s">
        <v>16</v>
      </c>
      <c r="H817" t="s">
        <v>1391</v>
      </c>
      <c r="I817">
        <v>2.0226999999999999</v>
      </c>
      <c r="J817">
        <v>33073.589999999997</v>
      </c>
      <c r="K817">
        <v>16351.208780343106</v>
      </c>
    </row>
    <row r="818" spans="1:11" x14ac:dyDescent="0.25">
      <c r="A818" t="s">
        <v>751</v>
      </c>
      <c r="B818" t="s">
        <v>752</v>
      </c>
      <c r="C818" s="1">
        <v>41111</v>
      </c>
      <c r="D818" s="1">
        <v>41113</v>
      </c>
      <c r="E818">
        <v>4250</v>
      </c>
      <c r="F818" t="s">
        <v>689</v>
      </c>
      <c r="G818" t="s">
        <v>16</v>
      </c>
      <c r="H818" t="s">
        <v>4888</v>
      </c>
      <c r="I818">
        <v>2.0226999999999999</v>
      </c>
      <c r="J818">
        <v>24472.880000000001</v>
      </c>
      <c r="K818">
        <v>12099.115044247788</v>
      </c>
    </row>
    <row r="819" spans="1:11" x14ac:dyDescent="0.25">
      <c r="A819" t="s">
        <v>751</v>
      </c>
      <c r="B819" t="s">
        <v>752</v>
      </c>
      <c r="C819" s="1">
        <v>41110</v>
      </c>
      <c r="D819" s="1">
        <v>41113</v>
      </c>
      <c r="E819">
        <v>4250</v>
      </c>
      <c r="F819" t="s">
        <v>689</v>
      </c>
      <c r="G819" t="s">
        <v>16</v>
      </c>
      <c r="H819" t="s">
        <v>4889</v>
      </c>
      <c r="I819">
        <v>2.0238999999999998</v>
      </c>
      <c r="J819">
        <v>24880.87</v>
      </c>
      <c r="K819">
        <v>12293.52734818914</v>
      </c>
    </row>
    <row r="820" spans="1:11" x14ac:dyDescent="0.25">
      <c r="A820" t="s">
        <v>751</v>
      </c>
      <c r="B820" t="s">
        <v>752</v>
      </c>
      <c r="C820" s="1">
        <v>41113</v>
      </c>
      <c r="D820" s="1">
        <v>41114</v>
      </c>
      <c r="E820">
        <v>4250</v>
      </c>
      <c r="F820" t="s">
        <v>689</v>
      </c>
      <c r="G820" t="s">
        <v>16</v>
      </c>
      <c r="H820" t="s">
        <v>4890</v>
      </c>
      <c r="I820">
        <v>2.0226999999999999</v>
      </c>
      <c r="J820">
        <v>24676.880000000001</v>
      </c>
      <c r="K820">
        <v>12199.970336678696</v>
      </c>
    </row>
    <row r="821" spans="1:11" x14ac:dyDescent="0.25">
      <c r="A821" t="s">
        <v>751</v>
      </c>
      <c r="B821" t="s">
        <v>752</v>
      </c>
      <c r="C821" s="1">
        <v>41113</v>
      </c>
      <c r="D821" s="1">
        <v>41114</v>
      </c>
      <c r="E821">
        <v>4250</v>
      </c>
      <c r="F821" t="s">
        <v>689</v>
      </c>
      <c r="G821" t="s">
        <v>16</v>
      </c>
      <c r="H821" t="s">
        <v>4891</v>
      </c>
      <c r="I821">
        <v>2.0226999999999999</v>
      </c>
      <c r="J821">
        <v>24091.21</v>
      </c>
      <c r="K821">
        <v>11910.421713551194</v>
      </c>
    </row>
    <row r="822" spans="1:11" x14ac:dyDescent="0.25">
      <c r="A822" t="s">
        <v>751</v>
      </c>
      <c r="B822" t="s">
        <v>752</v>
      </c>
      <c r="C822" s="1">
        <v>41110</v>
      </c>
      <c r="D822" s="1">
        <v>41114</v>
      </c>
      <c r="E822">
        <v>4250</v>
      </c>
      <c r="F822" t="s">
        <v>689</v>
      </c>
      <c r="G822" t="s">
        <v>16</v>
      </c>
      <c r="H822" t="s">
        <v>1392</v>
      </c>
      <c r="I822">
        <v>2.0238999999999998</v>
      </c>
      <c r="J822">
        <v>33494.75</v>
      </c>
      <c r="K822">
        <v>16549.607194031327</v>
      </c>
    </row>
    <row r="823" spans="1:11" x14ac:dyDescent="0.25">
      <c r="A823" t="s">
        <v>751</v>
      </c>
      <c r="B823" t="s">
        <v>752</v>
      </c>
      <c r="C823" s="1">
        <v>41111</v>
      </c>
      <c r="D823" s="1">
        <v>41114</v>
      </c>
      <c r="E823">
        <v>4250</v>
      </c>
      <c r="F823" t="s">
        <v>689</v>
      </c>
      <c r="G823" t="s">
        <v>16</v>
      </c>
      <c r="H823" t="s">
        <v>1393</v>
      </c>
      <c r="I823">
        <v>2.0226999999999999</v>
      </c>
      <c r="J823">
        <v>24499.200000000001</v>
      </c>
      <c r="K823">
        <v>12112.127354526128</v>
      </c>
    </row>
    <row r="824" spans="1:11" x14ac:dyDescent="0.25">
      <c r="A824" t="s">
        <v>751</v>
      </c>
      <c r="B824" t="s">
        <v>752</v>
      </c>
      <c r="C824" s="1">
        <v>41111</v>
      </c>
      <c r="D824" s="1">
        <v>41114</v>
      </c>
      <c r="E824">
        <v>4250</v>
      </c>
      <c r="F824" t="s">
        <v>689</v>
      </c>
      <c r="G824" t="s">
        <v>16</v>
      </c>
      <c r="H824" t="s">
        <v>1394</v>
      </c>
      <c r="I824">
        <v>2.0226999999999999</v>
      </c>
      <c r="J824">
        <v>24597.91</v>
      </c>
      <c r="K824">
        <v>12160.92846195679</v>
      </c>
    </row>
    <row r="825" spans="1:11" x14ac:dyDescent="0.25">
      <c r="A825" t="s">
        <v>751</v>
      </c>
      <c r="B825" t="s">
        <v>752</v>
      </c>
      <c r="C825" s="1">
        <v>41114</v>
      </c>
      <c r="D825" s="1">
        <v>41120</v>
      </c>
      <c r="E825">
        <v>4250</v>
      </c>
      <c r="F825" t="s">
        <v>689</v>
      </c>
      <c r="G825" t="s">
        <v>16</v>
      </c>
      <c r="H825" t="s">
        <v>4892</v>
      </c>
      <c r="I825">
        <v>2.0411999999999999</v>
      </c>
      <c r="J825">
        <v>24887.45</v>
      </c>
      <c r="K825">
        <v>12192.55829903978</v>
      </c>
    </row>
    <row r="826" spans="1:11" x14ac:dyDescent="0.25">
      <c r="A826" t="s">
        <v>751</v>
      </c>
      <c r="B826" t="s">
        <v>752</v>
      </c>
      <c r="C826" s="1">
        <v>41118</v>
      </c>
      <c r="D826" s="1">
        <v>41120</v>
      </c>
      <c r="E826">
        <v>4250</v>
      </c>
      <c r="F826" t="s">
        <v>689</v>
      </c>
      <c r="G826" t="s">
        <v>16</v>
      </c>
      <c r="H826" t="s">
        <v>4893</v>
      </c>
      <c r="I826">
        <v>2.0173000000000001</v>
      </c>
      <c r="J826">
        <v>33323.65</v>
      </c>
      <c r="K826">
        <v>16518.936201853965</v>
      </c>
    </row>
    <row r="827" spans="1:11" x14ac:dyDescent="0.25">
      <c r="A827" t="s">
        <v>751</v>
      </c>
      <c r="B827" t="s">
        <v>752</v>
      </c>
      <c r="C827" s="1">
        <v>41116</v>
      </c>
      <c r="D827" s="1">
        <v>41120</v>
      </c>
      <c r="E827">
        <v>4250</v>
      </c>
      <c r="F827" t="s">
        <v>689</v>
      </c>
      <c r="G827" t="s">
        <v>16</v>
      </c>
      <c r="H827" t="s">
        <v>4894</v>
      </c>
      <c r="I827">
        <v>1</v>
      </c>
      <c r="J827">
        <v>33626.36</v>
      </c>
      <c r="K827">
        <v>33626.36</v>
      </c>
    </row>
    <row r="828" spans="1:11" x14ac:dyDescent="0.25">
      <c r="A828" t="s">
        <v>759</v>
      </c>
      <c r="B828" t="s">
        <v>760</v>
      </c>
      <c r="C828" s="1">
        <v>41093</v>
      </c>
      <c r="D828" s="1">
        <v>41100</v>
      </c>
      <c r="E828">
        <v>8</v>
      </c>
      <c r="F828" t="s">
        <v>689</v>
      </c>
      <c r="G828" t="s">
        <v>16</v>
      </c>
      <c r="H828" t="s">
        <v>4895</v>
      </c>
      <c r="I828">
        <v>1.9893000000000001</v>
      </c>
      <c r="J828">
        <v>41710.42</v>
      </c>
      <c r="K828">
        <v>20967.38551249183</v>
      </c>
    </row>
    <row r="829" spans="1:11" x14ac:dyDescent="0.25">
      <c r="A829" t="s">
        <v>759</v>
      </c>
      <c r="B829" t="s">
        <v>760</v>
      </c>
      <c r="C829" s="1">
        <v>41088</v>
      </c>
      <c r="D829" s="1">
        <v>41100</v>
      </c>
      <c r="E829">
        <v>8</v>
      </c>
      <c r="F829" t="s">
        <v>689</v>
      </c>
      <c r="G829" t="s">
        <v>16</v>
      </c>
      <c r="H829" t="s">
        <v>4896</v>
      </c>
      <c r="I829">
        <v>2.0764</v>
      </c>
      <c r="J829">
        <v>43980.45</v>
      </c>
      <c r="K829">
        <v>21181.106723174726</v>
      </c>
    </row>
    <row r="830" spans="1:11" x14ac:dyDescent="0.25">
      <c r="A830" t="s">
        <v>759</v>
      </c>
      <c r="B830" t="s">
        <v>760</v>
      </c>
      <c r="C830" s="1">
        <v>41087</v>
      </c>
      <c r="D830" s="1">
        <v>41100</v>
      </c>
      <c r="E830">
        <v>8</v>
      </c>
      <c r="F830" t="s">
        <v>689</v>
      </c>
      <c r="G830" t="s">
        <v>16</v>
      </c>
      <c r="H830" t="s">
        <v>4897</v>
      </c>
      <c r="I830">
        <v>2.0743</v>
      </c>
      <c r="J830">
        <v>42979.31</v>
      </c>
      <c r="K830">
        <v>20719.910331196064</v>
      </c>
    </row>
    <row r="831" spans="1:11" x14ac:dyDescent="0.25">
      <c r="A831" t="s">
        <v>759</v>
      </c>
      <c r="B831" t="s">
        <v>760</v>
      </c>
      <c r="C831" s="1">
        <v>41086</v>
      </c>
      <c r="D831" s="1">
        <v>41100</v>
      </c>
      <c r="E831">
        <v>8</v>
      </c>
      <c r="F831" t="s">
        <v>689</v>
      </c>
      <c r="G831" t="s">
        <v>16</v>
      </c>
      <c r="H831" t="s">
        <v>1395</v>
      </c>
      <c r="I831">
        <v>2.0718000000000001</v>
      </c>
      <c r="J831">
        <v>40837.33</v>
      </c>
      <c r="K831">
        <v>19711.038710300221</v>
      </c>
    </row>
    <row r="832" spans="1:11" x14ac:dyDescent="0.25">
      <c r="A832" t="s">
        <v>751</v>
      </c>
      <c r="B832" t="s">
        <v>752</v>
      </c>
      <c r="C832" s="1">
        <v>41106</v>
      </c>
      <c r="D832" s="1">
        <v>41108</v>
      </c>
      <c r="E832">
        <v>4250</v>
      </c>
      <c r="F832" t="s">
        <v>689</v>
      </c>
      <c r="G832" t="s">
        <v>16</v>
      </c>
      <c r="H832" t="s">
        <v>4898</v>
      </c>
      <c r="I832">
        <v>2.0337999999999998</v>
      </c>
      <c r="J832">
        <v>24874.29</v>
      </c>
      <c r="K832">
        <v>12230.450388435442</v>
      </c>
    </row>
    <row r="833" spans="1:11" x14ac:dyDescent="0.25">
      <c r="A833" t="s">
        <v>751</v>
      </c>
      <c r="B833" t="s">
        <v>752</v>
      </c>
      <c r="C833" s="1">
        <v>41103</v>
      </c>
      <c r="D833" s="1">
        <v>41106</v>
      </c>
      <c r="E833">
        <v>4250</v>
      </c>
      <c r="F833" t="s">
        <v>689</v>
      </c>
      <c r="G833" t="s">
        <v>16</v>
      </c>
      <c r="H833" t="s">
        <v>1396</v>
      </c>
      <c r="I833">
        <v>2.0470999999999999</v>
      </c>
      <c r="J833">
        <v>23492.39</v>
      </c>
      <c r="K833">
        <v>11475.936690928631</v>
      </c>
    </row>
    <row r="834" spans="1:11" x14ac:dyDescent="0.25">
      <c r="A834" t="s">
        <v>751</v>
      </c>
      <c r="B834" t="s">
        <v>752</v>
      </c>
      <c r="C834" s="1">
        <v>41105</v>
      </c>
      <c r="D834" s="1">
        <v>41107</v>
      </c>
      <c r="E834">
        <v>4250</v>
      </c>
      <c r="F834" t="s">
        <v>689</v>
      </c>
      <c r="G834" t="s">
        <v>16</v>
      </c>
      <c r="H834" t="s">
        <v>4899</v>
      </c>
      <c r="I834">
        <v>2.0337999999999998</v>
      </c>
      <c r="J834">
        <v>24841.39</v>
      </c>
      <c r="K834">
        <v>12214.273773232373</v>
      </c>
    </row>
    <row r="835" spans="1:11" x14ac:dyDescent="0.25">
      <c r="A835" t="s">
        <v>751</v>
      </c>
      <c r="B835" t="s">
        <v>752</v>
      </c>
      <c r="C835" s="1">
        <v>41108</v>
      </c>
      <c r="D835" s="1">
        <v>41110</v>
      </c>
      <c r="E835">
        <v>4250</v>
      </c>
      <c r="F835" t="s">
        <v>689</v>
      </c>
      <c r="G835" t="s">
        <v>16</v>
      </c>
      <c r="H835" t="s">
        <v>1397</v>
      </c>
      <c r="I835">
        <v>2.0348999999999999</v>
      </c>
      <c r="J835">
        <v>24558.43</v>
      </c>
      <c r="K835">
        <v>12068.617622487591</v>
      </c>
    </row>
    <row r="836" spans="1:11" x14ac:dyDescent="0.25">
      <c r="A836" t="s">
        <v>1398</v>
      </c>
      <c r="B836" t="s">
        <v>1399</v>
      </c>
      <c r="C836" s="1">
        <v>41132</v>
      </c>
      <c r="D836" s="1">
        <v>41135</v>
      </c>
      <c r="E836">
        <v>1905</v>
      </c>
      <c r="F836" t="s">
        <v>689</v>
      </c>
      <c r="G836" t="s">
        <v>16</v>
      </c>
      <c r="H836" t="s">
        <v>1400</v>
      </c>
      <c r="I836">
        <v>2.0175000000000001</v>
      </c>
      <c r="J836">
        <v>24624.23</v>
      </c>
      <c r="K836">
        <v>12205.318463444857</v>
      </c>
    </row>
    <row r="837" spans="1:11" x14ac:dyDescent="0.25">
      <c r="A837" t="s">
        <v>1398</v>
      </c>
      <c r="B837" t="s">
        <v>1399</v>
      </c>
      <c r="C837" s="1">
        <v>41118</v>
      </c>
      <c r="D837" s="1">
        <v>41135</v>
      </c>
      <c r="E837">
        <v>1905</v>
      </c>
      <c r="F837" t="s">
        <v>689</v>
      </c>
      <c r="G837" t="s">
        <v>16</v>
      </c>
      <c r="H837" t="s">
        <v>1401</v>
      </c>
      <c r="I837">
        <v>2.0173000000000001</v>
      </c>
      <c r="J837">
        <v>33317.07</v>
      </c>
      <c r="K837">
        <v>16515.674416299014</v>
      </c>
    </row>
    <row r="838" spans="1:11" x14ac:dyDescent="0.25">
      <c r="A838" t="s">
        <v>751</v>
      </c>
      <c r="B838" t="s">
        <v>752</v>
      </c>
      <c r="C838" s="1">
        <v>41125</v>
      </c>
      <c r="D838" s="1">
        <v>41131</v>
      </c>
      <c r="E838">
        <v>4250</v>
      </c>
      <c r="F838" t="s">
        <v>689</v>
      </c>
      <c r="G838" t="s">
        <v>16</v>
      </c>
      <c r="H838" t="s">
        <v>4900</v>
      </c>
      <c r="I838">
        <v>2.0312999999999999</v>
      </c>
      <c r="J838">
        <v>33310.49</v>
      </c>
      <c r="K838">
        <v>16398.606803524835</v>
      </c>
    </row>
    <row r="839" spans="1:11" x14ac:dyDescent="0.25">
      <c r="A839" t="s">
        <v>1416</v>
      </c>
      <c r="B839" t="s">
        <v>771</v>
      </c>
      <c r="C839" s="1">
        <v>41158</v>
      </c>
      <c r="D839" s="1">
        <v>41164</v>
      </c>
      <c r="E839">
        <v>4821</v>
      </c>
      <c r="F839" t="s">
        <v>331</v>
      </c>
      <c r="G839" t="s">
        <v>16</v>
      </c>
      <c r="H839" t="s">
        <v>4901</v>
      </c>
      <c r="I839">
        <v>2.0385</v>
      </c>
      <c r="J839">
        <v>56444.62</v>
      </c>
      <c r="K839">
        <v>27689.291145450086</v>
      </c>
    </row>
    <row r="840" spans="1:11" x14ac:dyDescent="0.25">
      <c r="A840" t="s">
        <v>1398</v>
      </c>
      <c r="B840" t="s">
        <v>1399</v>
      </c>
      <c r="C840" s="1">
        <v>41141</v>
      </c>
      <c r="D840" s="1">
        <v>41143</v>
      </c>
      <c r="E840">
        <v>1905</v>
      </c>
      <c r="F840" t="s">
        <v>689</v>
      </c>
      <c r="G840" t="s">
        <v>16</v>
      </c>
      <c r="H840" t="s">
        <v>4902</v>
      </c>
      <c r="I840">
        <v>2.0182000000000002</v>
      </c>
      <c r="J840">
        <v>33422.36</v>
      </c>
      <c r="K840">
        <v>16560.479635318599</v>
      </c>
    </row>
    <row r="841" spans="1:11" x14ac:dyDescent="0.25">
      <c r="A841" t="s">
        <v>1398</v>
      </c>
      <c r="B841" t="s">
        <v>1399</v>
      </c>
      <c r="C841" s="1">
        <v>41141</v>
      </c>
      <c r="D841" s="1">
        <v>41143</v>
      </c>
      <c r="E841">
        <v>1905</v>
      </c>
      <c r="F841" t="s">
        <v>689</v>
      </c>
      <c r="G841" t="s">
        <v>16</v>
      </c>
      <c r="H841" t="s">
        <v>4903</v>
      </c>
      <c r="I841">
        <v>2.0182000000000002</v>
      </c>
      <c r="J841">
        <v>24696.62</v>
      </c>
      <c r="K841">
        <v>12236.953721137648</v>
      </c>
    </row>
    <row r="842" spans="1:11" x14ac:dyDescent="0.25">
      <c r="A842" t="s">
        <v>751</v>
      </c>
      <c r="B842" t="s">
        <v>752</v>
      </c>
      <c r="C842" s="1">
        <v>41129</v>
      </c>
      <c r="D842" s="1">
        <v>41131</v>
      </c>
      <c r="E842">
        <v>4250</v>
      </c>
      <c r="F842" t="s">
        <v>689</v>
      </c>
      <c r="G842" t="s">
        <v>16</v>
      </c>
      <c r="H842" t="s">
        <v>1402</v>
      </c>
      <c r="I842">
        <v>2.0280999999999998</v>
      </c>
      <c r="J842">
        <v>24532.1</v>
      </c>
      <c r="K842">
        <v>12096.099797840343</v>
      </c>
    </row>
    <row r="843" spans="1:11" x14ac:dyDescent="0.25">
      <c r="A843" t="s">
        <v>799</v>
      </c>
      <c r="B843" t="s">
        <v>800</v>
      </c>
      <c r="C843" s="1">
        <v>41163</v>
      </c>
      <c r="D843" s="1">
        <v>41169</v>
      </c>
      <c r="E843">
        <v>4856</v>
      </c>
      <c r="F843" t="s">
        <v>301</v>
      </c>
      <c r="G843" t="s">
        <v>16</v>
      </c>
      <c r="H843" t="s">
        <v>4904</v>
      </c>
      <c r="I843">
        <v>2.0240999999999998</v>
      </c>
      <c r="J843">
        <v>42254.99</v>
      </c>
      <c r="K843">
        <v>20875.939923916801</v>
      </c>
    </row>
    <row r="844" spans="1:11" x14ac:dyDescent="0.25">
      <c r="A844" t="s">
        <v>1403</v>
      </c>
      <c r="B844" t="s">
        <v>1404</v>
      </c>
      <c r="C844" s="1">
        <v>41166</v>
      </c>
      <c r="D844" s="1">
        <v>41169</v>
      </c>
      <c r="E844">
        <v>4872</v>
      </c>
      <c r="F844" t="s">
        <v>278</v>
      </c>
      <c r="G844" t="s">
        <v>16</v>
      </c>
      <c r="H844" t="s">
        <v>1405</v>
      </c>
      <c r="I844">
        <v>2.0253999999999999</v>
      </c>
      <c r="J844">
        <v>49500</v>
      </c>
      <c r="K844">
        <v>24439.616865804284</v>
      </c>
    </row>
    <row r="845" spans="1:11" x14ac:dyDescent="0.25">
      <c r="A845" t="s">
        <v>1895</v>
      </c>
      <c r="B845" t="s">
        <v>1896</v>
      </c>
      <c r="C845" s="1">
        <v>41156</v>
      </c>
      <c r="D845" s="1">
        <v>41158</v>
      </c>
      <c r="E845">
        <v>4871</v>
      </c>
      <c r="F845" t="s">
        <v>278</v>
      </c>
      <c r="G845" t="s">
        <v>16</v>
      </c>
      <c r="H845" t="s">
        <v>4905</v>
      </c>
      <c r="I845">
        <v>2.0335000000000001</v>
      </c>
      <c r="J845">
        <v>104940</v>
      </c>
      <c r="K845">
        <v>51605.606097860829</v>
      </c>
    </row>
    <row r="846" spans="1:11" x14ac:dyDescent="0.25">
      <c r="A846" t="s">
        <v>751</v>
      </c>
      <c r="B846" t="s">
        <v>752</v>
      </c>
      <c r="C846" s="1">
        <v>41127</v>
      </c>
      <c r="D846" s="1">
        <v>41128</v>
      </c>
      <c r="E846">
        <v>4250</v>
      </c>
      <c r="F846" t="s">
        <v>689</v>
      </c>
      <c r="G846" t="s">
        <v>16</v>
      </c>
      <c r="H846" t="s">
        <v>1406</v>
      </c>
      <c r="I846">
        <v>2.0312999999999999</v>
      </c>
      <c r="J846">
        <v>24604.49</v>
      </c>
      <c r="K846">
        <v>12112.681533993009</v>
      </c>
    </row>
    <row r="847" spans="1:11" x14ac:dyDescent="0.25">
      <c r="A847" t="s">
        <v>751</v>
      </c>
      <c r="B847" t="s">
        <v>752</v>
      </c>
      <c r="C847" s="1">
        <v>41134</v>
      </c>
      <c r="D847" s="1">
        <v>41137</v>
      </c>
      <c r="E847">
        <v>4250</v>
      </c>
      <c r="F847" t="s">
        <v>689</v>
      </c>
      <c r="G847" t="s">
        <v>16</v>
      </c>
      <c r="H847" t="s">
        <v>4906</v>
      </c>
      <c r="I847">
        <v>2.0175000000000001</v>
      </c>
      <c r="J847">
        <v>33402.620000000003</v>
      </c>
      <c r="K847">
        <v>16556.441140024785</v>
      </c>
    </row>
    <row r="848" spans="1:11" x14ac:dyDescent="0.25">
      <c r="A848" t="s">
        <v>751</v>
      </c>
      <c r="B848" t="s">
        <v>752</v>
      </c>
      <c r="C848" s="1">
        <v>41129</v>
      </c>
      <c r="D848" s="1">
        <v>41131</v>
      </c>
      <c r="E848">
        <v>4250</v>
      </c>
      <c r="F848" t="s">
        <v>689</v>
      </c>
      <c r="G848" t="s">
        <v>16</v>
      </c>
      <c r="H848" t="s">
        <v>1407</v>
      </c>
      <c r="I848">
        <v>2.0280999999999998</v>
      </c>
      <c r="J848">
        <v>33632.94</v>
      </c>
      <c r="K848">
        <v>16583.472215373997</v>
      </c>
    </row>
    <row r="849" spans="1:11" x14ac:dyDescent="0.25">
      <c r="A849" t="s">
        <v>783</v>
      </c>
      <c r="B849" t="s">
        <v>784</v>
      </c>
      <c r="C849" s="1">
        <v>41155</v>
      </c>
      <c r="D849" s="1">
        <v>41160</v>
      </c>
      <c r="E849">
        <v>4869</v>
      </c>
      <c r="F849" t="s">
        <v>278</v>
      </c>
      <c r="G849" t="s">
        <v>16</v>
      </c>
      <c r="H849" t="s">
        <v>4907</v>
      </c>
      <c r="I849">
        <v>2.0371999999999999</v>
      </c>
      <c r="J849">
        <v>177870</v>
      </c>
      <c r="K849">
        <v>87311.015118790499</v>
      </c>
    </row>
    <row r="850" spans="1:11" x14ac:dyDescent="0.25">
      <c r="A850" t="s">
        <v>786</v>
      </c>
      <c r="B850" t="s">
        <v>771</v>
      </c>
      <c r="C850" s="1">
        <v>41164</v>
      </c>
      <c r="D850" s="1">
        <v>41167</v>
      </c>
      <c r="E850">
        <v>4823</v>
      </c>
      <c r="F850" t="s">
        <v>331</v>
      </c>
      <c r="G850" t="s">
        <v>16</v>
      </c>
      <c r="H850" t="s">
        <v>4908</v>
      </c>
      <c r="I850">
        <v>2.0196999999999998</v>
      </c>
      <c r="J850">
        <v>42117.38</v>
      </c>
      <c r="K850">
        <v>20853.285141357628</v>
      </c>
    </row>
    <row r="851" spans="1:11" x14ac:dyDescent="0.25">
      <c r="A851" t="s">
        <v>799</v>
      </c>
      <c r="B851" t="s">
        <v>800</v>
      </c>
      <c r="C851" s="1">
        <v>41162</v>
      </c>
      <c r="D851" s="1">
        <v>41165</v>
      </c>
      <c r="E851">
        <v>4856</v>
      </c>
      <c r="F851" t="s">
        <v>301</v>
      </c>
      <c r="G851" t="s">
        <v>16</v>
      </c>
      <c r="H851" t="s">
        <v>1408</v>
      </c>
      <c r="I851">
        <v>2.0381</v>
      </c>
      <c r="J851">
        <v>42480</v>
      </c>
      <c r="K851">
        <v>20842.941955743096</v>
      </c>
    </row>
    <row r="852" spans="1:11" x14ac:dyDescent="0.25">
      <c r="A852" t="s">
        <v>1398</v>
      </c>
      <c r="B852" t="s">
        <v>1399</v>
      </c>
      <c r="C852" s="1">
        <v>41140</v>
      </c>
      <c r="D852" s="1">
        <v>41143</v>
      </c>
      <c r="E852">
        <v>1905</v>
      </c>
      <c r="F852" t="s">
        <v>689</v>
      </c>
      <c r="G852" t="s">
        <v>16</v>
      </c>
      <c r="H852" t="s">
        <v>1409</v>
      </c>
      <c r="I852">
        <v>2.0182000000000002</v>
      </c>
      <c r="J852">
        <v>33672.42</v>
      </c>
      <c r="K852">
        <v>16684.382122683579</v>
      </c>
    </row>
    <row r="853" spans="1:11" x14ac:dyDescent="0.25">
      <c r="A853" t="s">
        <v>799</v>
      </c>
      <c r="B853" t="s">
        <v>800</v>
      </c>
      <c r="C853" s="1">
        <v>41162</v>
      </c>
      <c r="D853" s="1">
        <v>41165</v>
      </c>
      <c r="E853">
        <v>4856</v>
      </c>
      <c r="F853" t="s">
        <v>301</v>
      </c>
      <c r="G853" t="s">
        <v>16</v>
      </c>
      <c r="H853" t="s">
        <v>4909</v>
      </c>
      <c r="I853">
        <v>2.0381</v>
      </c>
      <c r="J853">
        <v>42480</v>
      </c>
      <c r="K853">
        <v>20842.941955743096</v>
      </c>
    </row>
    <row r="854" spans="1:11" x14ac:dyDescent="0.25">
      <c r="A854" t="s">
        <v>4910</v>
      </c>
      <c r="B854" t="s">
        <v>4911</v>
      </c>
      <c r="C854" s="1">
        <v>41155</v>
      </c>
      <c r="D854" s="1">
        <v>41163</v>
      </c>
      <c r="E854">
        <v>8441</v>
      </c>
      <c r="F854" t="s">
        <v>278</v>
      </c>
      <c r="G854" t="s">
        <v>16</v>
      </c>
      <c r="H854" t="s">
        <v>4912</v>
      </c>
      <c r="I854">
        <v>2.0371999999999999</v>
      </c>
      <c r="J854">
        <v>98384</v>
      </c>
      <c r="K854">
        <v>48293.736501079911</v>
      </c>
    </row>
    <row r="855" spans="1:11" x14ac:dyDescent="0.25">
      <c r="A855" t="s">
        <v>793</v>
      </c>
      <c r="B855" t="s">
        <v>794</v>
      </c>
      <c r="C855" s="1">
        <v>41145</v>
      </c>
      <c r="D855" s="1">
        <v>41163</v>
      </c>
      <c r="E855">
        <v>3</v>
      </c>
      <c r="F855" t="s">
        <v>309</v>
      </c>
      <c r="G855" t="s">
        <v>16</v>
      </c>
      <c r="H855" t="s">
        <v>4913</v>
      </c>
      <c r="I855">
        <v>2.0240999999999998</v>
      </c>
      <c r="J855">
        <v>48351.97</v>
      </c>
      <c r="K855">
        <v>23888.132997381552</v>
      </c>
    </row>
    <row r="856" spans="1:11" x14ac:dyDescent="0.25">
      <c r="A856" t="s">
        <v>811</v>
      </c>
      <c r="B856" t="s">
        <v>812</v>
      </c>
      <c r="C856" s="1">
        <v>41143</v>
      </c>
      <c r="D856" s="1">
        <v>41146</v>
      </c>
      <c r="E856">
        <v>5271</v>
      </c>
      <c r="F856" t="s">
        <v>331</v>
      </c>
      <c r="G856" t="s">
        <v>16</v>
      </c>
      <c r="H856" t="s">
        <v>4914</v>
      </c>
      <c r="I856">
        <v>2.0173000000000001</v>
      </c>
      <c r="J856">
        <v>87142.21</v>
      </c>
      <c r="K856">
        <v>43197.447082734347</v>
      </c>
    </row>
    <row r="857" spans="1:11" x14ac:dyDescent="0.25">
      <c r="A857" t="s">
        <v>811</v>
      </c>
      <c r="B857" t="s">
        <v>812</v>
      </c>
      <c r="C857" s="1">
        <v>41143</v>
      </c>
      <c r="D857" s="1">
        <v>41146</v>
      </c>
      <c r="E857">
        <v>5271</v>
      </c>
      <c r="F857" t="s">
        <v>331</v>
      </c>
      <c r="G857" t="s">
        <v>16</v>
      </c>
      <c r="H857" t="s">
        <v>1410</v>
      </c>
      <c r="I857">
        <v>2.0173000000000001</v>
      </c>
      <c r="J857">
        <v>87107.36</v>
      </c>
      <c r="K857">
        <v>43180.171516383285</v>
      </c>
    </row>
    <row r="858" spans="1:11" x14ac:dyDescent="0.25">
      <c r="A858" t="s">
        <v>4162</v>
      </c>
      <c r="B858" t="s">
        <v>4163</v>
      </c>
      <c r="C858" s="1">
        <v>41130</v>
      </c>
      <c r="D858" s="1">
        <v>41141</v>
      </c>
      <c r="E858">
        <v>4923</v>
      </c>
      <c r="F858" t="s">
        <v>331</v>
      </c>
      <c r="G858" t="s">
        <v>16</v>
      </c>
      <c r="H858" t="s">
        <v>4915</v>
      </c>
      <c r="I858">
        <v>2.0272999999999999</v>
      </c>
      <c r="J858">
        <v>56831.81</v>
      </c>
      <c r="K858">
        <v>28033.251122182213</v>
      </c>
    </row>
    <row r="859" spans="1:11" x14ac:dyDescent="0.25">
      <c r="A859" t="s">
        <v>774</v>
      </c>
      <c r="B859" t="s">
        <v>775</v>
      </c>
      <c r="C859" s="1">
        <v>41143</v>
      </c>
      <c r="D859" s="1">
        <v>41149</v>
      </c>
      <c r="E859">
        <v>4826</v>
      </c>
      <c r="F859" t="s">
        <v>311</v>
      </c>
      <c r="G859" t="s">
        <v>16</v>
      </c>
      <c r="H859" t="s">
        <v>1411</v>
      </c>
      <c r="I859">
        <v>2.0173000000000001</v>
      </c>
      <c r="J859">
        <v>507401.72</v>
      </c>
      <c r="K859">
        <v>251525.16730283052</v>
      </c>
    </row>
    <row r="860" spans="1:11" x14ac:dyDescent="0.25">
      <c r="A860" t="s">
        <v>1412</v>
      </c>
      <c r="B860" t="s">
        <v>144</v>
      </c>
      <c r="C860" s="1">
        <v>41129</v>
      </c>
      <c r="D860" s="1">
        <v>41134</v>
      </c>
      <c r="E860">
        <v>4852</v>
      </c>
      <c r="F860" t="s">
        <v>1413</v>
      </c>
      <c r="G860" t="s">
        <v>16</v>
      </c>
      <c r="H860" t="s">
        <v>1414</v>
      </c>
      <c r="I860">
        <v>2.0280999999999998</v>
      </c>
      <c r="J860">
        <v>20070</v>
      </c>
      <c r="K860">
        <v>9895.9617375869038</v>
      </c>
    </row>
    <row r="861" spans="1:11" x14ac:dyDescent="0.25">
      <c r="A861" t="s">
        <v>779</v>
      </c>
      <c r="B861" t="s">
        <v>771</v>
      </c>
      <c r="C861" s="1">
        <v>41170</v>
      </c>
      <c r="D861" s="1">
        <v>41170</v>
      </c>
      <c r="E861">
        <v>4822</v>
      </c>
      <c r="F861" t="s">
        <v>331</v>
      </c>
      <c r="G861" t="s">
        <v>16</v>
      </c>
      <c r="H861" t="s">
        <v>4916</v>
      </c>
      <c r="I861">
        <v>2.0312000000000001</v>
      </c>
      <c r="J861">
        <v>56191.81</v>
      </c>
      <c r="K861">
        <v>27664.34127609295</v>
      </c>
    </row>
    <row r="862" spans="1:11" x14ac:dyDescent="0.25">
      <c r="A862" t="s">
        <v>779</v>
      </c>
      <c r="B862" t="s">
        <v>771</v>
      </c>
      <c r="C862" s="1">
        <v>41157</v>
      </c>
      <c r="D862" s="1">
        <v>41157</v>
      </c>
      <c r="E862">
        <v>4822</v>
      </c>
      <c r="F862" t="s">
        <v>331</v>
      </c>
      <c r="G862" t="s">
        <v>16</v>
      </c>
      <c r="H862" t="s">
        <v>1415</v>
      </c>
      <c r="I862">
        <v>2.0392000000000001</v>
      </c>
      <c r="J862">
        <v>57740.58</v>
      </c>
      <c r="K862">
        <v>28315.309925460966</v>
      </c>
    </row>
    <row r="863" spans="1:11" x14ac:dyDescent="0.25">
      <c r="A863" t="s">
        <v>779</v>
      </c>
      <c r="B863" t="s">
        <v>771</v>
      </c>
      <c r="C863" s="1">
        <v>41157</v>
      </c>
      <c r="D863" s="1">
        <v>41157</v>
      </c>
      <c r="E863">
        <v>4822</v>
      </c>
      <c r="F863" t="s">
        <v>331</v>
      </c>
      <c r="G863" t="s">
        <v>16</v>
      </c>
      <c r="H863" t="s">
        <v>4917</v>
      </c>
      <c r="I863">
        <v>2.0392000000000001</v>
      </c>
      <c r="J863">
        <v>57945.56</v>
      </c>
      <c r="K863">
        <v>28415.829737151824</v>
      </c>
    </row>
    <row r="864" spans="1:11" x14ac:dyDescent="0.25">
      <c r="A864" t="s">
        <v>779</v>
      </c>
      <c r="B864" t="s">
        <v>771</v>
      </c>
      <c r="C864" s="1">
        <v>41157</v>
      </c>
      <c r="D864" s="1">
        <v>41157</v>
      </c>
      <c r="E864">
        <v>4822</v>
      </c>
      <c r="F864" t="s">
        <v>331</v>
      </c>
      <c r="G864" t="s">
        <v>16</v>
      </c>
      <c r="H864" t="s">
        <v>4918</v>
      </c>
      <c r="I864">
        <v>2.0392000000000001</v>
      </c>
      <c r="J864">
        <v>58150.54</v>
      </c>
      <c r="K864">
        <v>28516.349548842685</v>
      </c>
    </row>
    <row r="865" spans="1:11" x14ac:dyDescent="0.25">
      <c r="A865" t="s">
        <v>751</v>
      </c>
      <c r="B865" t="s">
        <v>752</v>
      </c>
      <c r="C865" s="1">
        <v>41132</v>
      </c>
      <c r="D865" s="1">
        <v>41134</v>
      </c>
      <c r="E865">
        <v>4250</v>
      </c>
      <c r="F865" t="s">
        <v>689</v>
      </c>
      <c r="G865" t="s">
        <v>16</v>
      </c>
      <c r="H865" t="s">
        <v>4919</v>
      </c>
      <c r="I865">
        <v>2.0175000000000001</v>
      </c>
      <c r="J865">
        <v>24637.39</v>
      </c>
      <c r="K865">
        <v>12211.841387856257</v>
      </c>
    </row>
    <row r="866" spans="1:11" x14ac:dyDescent="0.25">
      <c r="A866" t="s">
        <v>1416</v>
      </c>
      <c r="B866" t="s">
        <v>771</v>
      </c>
      <c r="C866" s="1">
        <v>41165</v>
      </c>
      <c r="D866" s="1">
        <v>41167</v>
      </c>
      <c r="E866">
        <v>4821</v>
      </c>
      <c r="F866" t="s">
        <v>331</v>
      </c>
      <c r="G866" t="s">
        <v>16</v>
      </c>
      <c r="H866" t="s">
        <v>1417</v>
      </c>
      <c r="I866">
        <v>2.0204</v>
      </c>
      <c r="J866">
        <v>42140.160000000003</v>
      </c>
      <c r="K866">
        <v>20857.335181152248</v>
      </c>
    </row>
    <row r="867" spans="1:11" x14ac:dyDescent="0.25">
      <c r="A867" t="s">
        <v>751</v>
      </c>
      <c r="B867" t="s">
        <v>752</v>
      </c>
      <c r="C867" s="1">
        <v>41130</v>
      </c>
      <c r="D867" s="1">
        <v>41136</v>
      </c>
      <c r="E867">
        <v>4250</v>
      </c>
      <c r="F867" t="s">
        <v>689</v>
      </c>
      <c r="G867" t="s">
        <v>16</v>
      </c>
      <c r="H867" t="s">
        <v>4920</v>
      </c>
      <c r="I867">
        <v>2.0272999999999999</v>
      </c>
      <c r="J867">
        <v>33632.94</v>
      </c>
      <c r="K867">
        <v>16590.016277807921</v>
      </c>
    </row>
    <row r="868" spans="1:11" x14ac:dyDescent="0.25">
      <c r="A868" t="s">
        <v>748</v>
      </c>
      <c r="B868" t="s">
        <v>749</v>
      </c>
      <c r="C868" s="1">
        <v>41153</v>
      </c>
      <c r="D868" s="1">
        <v>41159</v>
      </c>
      <c r="E868">
        <v>4855</v>
      </c>
      <c r="F868" t="s">
        <v>309</v>
      </c>
      <c r="G868" t="s">
        <v>16</v>
      </c>
      <c r="H868" t="s">
        <v>4921</v>
      </c>
      <c r="I868">
        <v>2.0371999999999999</v>
      </c>
      <c r="J868">
        <v>46539.34</v>
      </c>
      <c r="K868">
        <v>22844.757510308267</v>
      </c>
    </row>
    <row r="869" spans="1:11" x14ac:dyDescent="0.25">
      <c r="A869" t="s">
        <v>1418</v>
      </c>
      <c r="B869" t="s">
        <v>1419</v>
      </c>
      <c r="C869" s="1">
        <v>41197</v>
      </c>
      <c r="D869" s="1">
        <v>41202</v>
      </c>
      <c r="E869">
        <v>5482</v>
      </c>
      <c r="F869" t="s">
        <v>301</v>
      </c>
      <c r="G869" t="s">
        <v>16</v>
      </c>
      <c r="H869" t="s">
        <v>1420</v>
      </c>
      <c r="I869">
        <v>2.0369000000000002</v>
      </c>
      <c r="J869">
        <v>281424</v>
      </c>
      <c r="K869">
        <v>138162.89459472729</v>
      </c>
    </row>
    <row r="870" spans="1:11" x14ac:dyDescent="0.25">
      <c r="A870" t="s">
        <v>799</v>
      </c>
      <c r="B870" t="s">
        <v>800</v>
      </c>
      <c r="C870" s="1">
        <v>41193</v>
      </c>
      <c r="D870" s="1">
        <v>41202</v>
      </c>
      <c r="E870">
        <v>4856</v>
      </c>
      <c r="F870" t="s">
        <v>301</v>
      </c>
      <c r="G870" t="s">
        <v>16</v>
      </c>
      <c r="H870" t="s">
        <v>4922</v>
      </c>
      <c r="I870">
        <v>2.0377999999999998</v>
      </c>
      <c r="J870">
        <v>295833.01</v>
      </c>
      <c r="K870">
        <v>145172.74021003043</v>
      </c>
    </row>
    <row r="871" spans="1:11" x14ac:dyDescent="0.25">
      <c r="A871" t="s">
        <v>1421</v>
      </c>
      <c r="B871" t="s">
        <v>1422</v>
      </c>
      <c r="C871" s="1">
        <v>41207</v>
      </c>
      <c r="D871" s="1">
        <v>41209</v>
      </c>
      <c r="E871">
        <v>5710</v>
      </c>
      <c r="F871" t="s">
        <v>309</v>
      </c>
      <c r="G871" t="s">
        <v>16</v>
      </c>
      <c r="H871" t="s">
        <v>1423</v>
      </c>
      <c r="I871">
        <v>2.0263</v>
      </c>
      <c r="J871">
        <v>60935.66</v>
      </c>
      <c r="K871">
        <v>30072.378226323843</v>
      </c>
    </row>
    <row r="872" spans="1:11" x14ac:dyDescent="0.25">
      <c r="A872" t="s">
        <v>811</v>
      </c>
      <c r="B872" t="s">
        <v>812</v>
      </c>
      <c r="C872" s="1">
        <v>41170</v>
      </c>
      <c r="D872" s="1">
        <v>41181</v>
      </c>
      <c r="E872">
        <v>5271</v>
      </c>
      <c r="F872" t="s">
        <v>331</v>
      </c>
      <c r="G872" t="s">
        <v>16</v>
      </c>
      <c r="H872" t="s">
        <v>1424</v>
      </c>
      <c r="I872">
        <v>2.0312000000000001</v>
      </c>
      <c r="J872">
        <v>64241.79</v>
      </c>
      <c r="K872">
        <v>31627.505907837731</v>
      </c>
    </row>
    <row r="873" spans="1:11" x14ac:dyDescent="0.25">
      <c r="A873" t="s">
        <v>1425</v>
      </c>
      <c r="B873" t="s">
        <v>1426</v>
      </c>
      <c r="C873" s="1">
        <v>41171</v>
      </c>
      <c r="D873" s="1">
        <v>41180</v>
      </c>
      <c r="E873">
        <v>35</v>
      </c>
      <c r="F873" t="s">
        <v>331</v>
      </c>
      <c r="G873" t="s">
        <v>16</v>
      </c>
      <c r="H873" t="s">
        <v>1427</v>
      </c>
      <c r="I873">
        <v>2.0274000000000001</v>
      </c>
      <c r="J873">
        <v>42803.91</v>
      </c>
      <c r="K873">
        <v>21112.71086120154</v>
      </c>
    </row>
    <row r="874" spans="1:11" x14ac:dyDescent="0.25">
      <c r="A874" t="s">
        <v>1425</v>
      </c>
      <c r="B874" t="s">
        <v>1426</v>
      </c>
      <c r="C874" s="1">
        <v>41171</v>
      </c>
      <c r="D874" s="1">
        <v>41180</v>
      </c>
      <c r="E874">
        <v>35</v>
      </c>
      <c r="F874" t="s">
        <v>331</v>
      </c>
      <c r="G874" t="s">
        <v>16</v>
      </c>
      <c r="H874" t="s">
        <v>1428</v>
      </c>
      <c r="I874">
        <v>2.0274000000000001</v>
      </c>
      <c r="J874">
        <v>50139.42</v>
      </c>
      <c r="K874">
        <v>24730.896715004441</v>
      </c>
    </row>
    <row r="875" spans="1:11" x14ac:dyDescent="0.25">
      <c r="A875" t="s">
        <v>1429</v>
      </c>
      <c r="B875" t="s">
        <v>1430</v>
      </c>
      <c r="C875" s="1">
        <v>41200</v>
      </c>
      <c r="D875" s="1">
        <v>41217</v>
      </c>
      <c r="E875">
        <v>5441</v>
      </c>
      <c r="F875" t="s">
        <v>301</v>
      </c>
      <c r="G875" t="s">
        <v>16</v>
      </c>
      <c r="H875" t="s">
        <v>1431</v>
      </c>
      <c r="I875">
        <v>2.0335999999999999</v>
      </c>
      <c r="J875">
        <v>3014.41</v>
      </c>
      <c r="K875">
        <v>1482.302321007081</v>
      </c>
    </row>
    <row r="876" spans="1:11" x14ac:dyDescent="0.25">
      <c r="A876" t="s">
        <v>1429</v>
      </c>
      <c r="B876" t="s">
        <v>1430</v>
      </c>
      <c r="C876" s="1">
        <v>41208</v>
      </c>
      <c r="D876" s="1">
        <v>41217</v>
      </c>
      <c r="E876">
        <v>5441</v>
      </c>
      <c r="F876" t="s">
        <v>301</v>
      </c>
      <c r="G876" t="s">
        <v>16</v>
      </c>
      <c r="H876" t="s">
        <v>1432</v>
      </c>
      <c r="I876">
        <v>2.0261</v>
      </c>
      <c r="J876">
        <v>37600</v>
      </c>
      <c r="K876">
        <v>18557.820443216031</v>
      </c>
    </row>
    <row r="877" spans="1:11" x14ac:dyDescent="0.25">
      <c r="A877" t="s">
        <v>817</v>
      </c>
      <c r="B877" t="s">
        <v>818</v>
      </c>
      <c r="C877" s="1">
        <v>41185</v>
      </c>
      <c r="D877" s="1">
        <v>41206</v>
      </c>
      <c r="E877">
        <v>5498</v>
      </c>
      <c r="F877" t="s">
        <v>301</v>
      </c>
      <c r="G877" t="s">
        <v>16</v>
      </c>
      <c r="H877" t="s">
        <v>1433</v>
      </c>
      <c r="I877">
        <v>2.0266000000000002</v>
      </c>
      <c r="J877">
        <v>42300.01</v>
      </c>
      <c r="K877">
        <v>20872.402052699101</v>
      </c>
    </row>
    <row r="878" spans="1:11" x14ac:dyDescent="0.25">
      <c r="A878" t="s">
        <v>1421</v>
      </c>
      <c r="B878" t="s">
        <v>1422</v>
      </c>
      <c r="C878" s="1">
        <v>41193</v>
      </c>
      <c r="D878" s="1">
        <v>41199</v>
      </c>
      <c r="E878">
        <v>5710</v>
      </c>
      <c r="F878" t="s">
        <v>309</v>
      </c>
      <c r="G878" t="s">
        <v>16</v>
      </c>
      <c r="H878" t="s">
        <v>4923</v>
      </c>
      <c r="I878">
        <v>2.0377999999999998</v>
      </c>
      <c r="J878">
        <v>59332.09</v>
      </c>
      <c r="K878">
        <v>29115.757189125528</v>
      </c>
    </row>
    <row r="879" spans="1:11" x14ac:dyDescent="0.25">
      <c r="A879" t="s">
        <v>1421</v>
      </c>
      <c r="B879" t="s">
        <v>1422</v>
      </c>
      <c r="C879" s="1">
        <v>41193</v>
      </c>
      <c r="D879" s="1">
        <v>41199</v>
      </c>
      <c r="E879">
        <v>5710</v>
      </c>
      <c r="F879" t="s">
        <v>309</v>
      </c>
      <c r="G879" t="s">
        <v>16</v>
      </c>
      <c r="H879" t="s">
        <v>4924</v>
      </c>
      <c r="I879">
        <v>2.0377999999999998</v>
      </c>
      <c r="J879">
        <v>59332.09</v>
      </c>
      <c r="K879">
        <v>29115.757189125528</v>
      </c>
    </row>
    <row r="880" spans="1:11" x14ac:dyDescent="0.25">
      <c r="A880" t="s">
        <v>808</v>
      </c>
      <c r="B880" t="s">
        <v>809</v>
      </c>
      <c r="C880" s="1">
        <v>41170</v>
      </c>
      <c r="D880" s="1">
        <v>41177</v>
      </c>
      <c r="E880">
        <v>4825</v>
      </c>
      <c r="F880" t="s">
        <v>331</v>
      </c>
      <c r="G880" t="s">
        <v>16</v>
      </c>
      <c r="H880" t="s">
        <v>1434</v>
      </c>
      <c r="I880">
        <v>2.0312000000000001</v>
      </c>
      <c r="J880">
        <v>47142.73</v>
      </c>
      <c r="K880">
        <v>23209.29992122883</v>
      </c>
    </row>
    <row r="881" spans="1:11" x14ac:dyDescent="0.25">
      <c r="A881" t="s">
        <v>793</v>
      </c>
      <c r="B881" t="s">
        <v>794</v>
      </c>
      <c r="C881" s="1">
        <v>41161</v>
      </c>
      <c r="D881" s="1">
        <v>41182</v>
      </c>
      <c r="E881">
        <v>3</v>
      </c>
      <c r="F881" t="s">
        <v>309</v>
      </c>
      <c r="G881" t="s">
        <v>16</v>
      </c>
      <c r="H881" t="s">
        <v>1435</v>
      </c>
      <c r="I881">
        <v>2.0381</v>
      </c>
      <c r="J881">
        <v>40693.019999999997</v>
      </c>
      <c r="K881">
        <v>19966.154751974878</v>
      </c>
    </row>
    <row r="882" spans="1:11" x14ac:dyDescent="0.25">
      <c r="A882" t="s">
        <v>804</v>
      </c>
      <c r="B882" t="s">
        <v>805</v>
      </c>
      <c r="C882" s="1">
        <v>41169</v>
      </c>
      <c r="D882" s="1">
        <v>41185</v>
      </c>
      <c r="E882">
        <v>34</v>
      </c>
      <c r="F882" t="s">
        <v>331</v>
      </c>
      <c r="G882" t="s">
        <v>16</v>
      </c>
      <c r="H882" t="s">
        <v>4925</v>
      </c>
      <c r="I882">
        <v>2.0135999999999998</v>
      </c>
      <c r="J882">
        <v>41844.04</v>
      </c>
      <c r="K882">
        <v>20780.711164084227</v>
      </c>
    </row>
    <row r="883" spans="1:11" x14ac:dyDescent="0.25">
      <c r="A883" t="s">
        <v>804</v>
      </c>
      <c r="B883" t="s">
        <v>805</v>
      </c>
      <c r="C883" s="1">
        <v>41170</v>
      </c>
      <c r="D883" s="1">
        <v>41185</v>
      </c>
      <c r="E883">
        <v>34</v>
      </c>
      <c r="F883" t="s">
        <v>331</v>
      </c>
      <c r="G883" t="s">
        <v>16</v>
      </c>
      <c r="H883" t="s">
        <v>1436</v>
      </c>
      <c r="I883">
        <v>2.0312000000000001</v>
      </c>
      <c r="J883">
        <v>50437.49</v>
      </c>
      <c r="K883">
        <v>24831.375541551792</v>
      </c>
    </row>
    <row r="884" spans="1:11" x14ac:dyDescent="0.25">
      <c r="A884" t="s">
        <v>1421</v>
      </c>
      <c r="B884" t="s">
        <v>1422</v>
      </c>
      <c r="C884" s="1">
        <v>41204</v>
      </c>
      <c r="D884" s="1">
        <v>41206</v>
      </c>
      <c r="E884">
        <v>5710</v>
      </c>
      <c r="F884" t="s">
        <v>309</v>
      </c>
      <c r="G884" t="s">
        <v>16</v>
      </c>
      <c r="H884" t="s">
        <v>1437</v>
      </c>
      <c r="I884">
        <v>2.0272000000000001</v>
      </c>
      <c r="J884">
        <v>17639.27</v>
      </c>
      <c r="K884">
        <v>8701.2973559589573</v>
      </c>
    </row>
    <row r="885" spans="1:11" x14ac:dyDescent="0.25">
      <c r="A885" t="s">
        <v>751</v>
      </c>
      <c r="B885" t="s">
        <v>752</v>
      </c>
      <c r="C885" s="1">
        <v>41163</v>
      </c>
      <c r="D885" s="1">
        <v>41171</v>
      </c>
      <c r="E885">
        <v>4250</v>
      </c>
      <c r="F885" t="s">
        <v>689</v>
      </c>
      <c r="G885" t="s">
        <v>16</v>
      </c>
      <c r="H885" t="s">
        <v>432</v>
      </c>
      <c r="I885">
        <v>2.0240999999999998</v>
      </c>
      <c r="J885">
        <v>33192.04</v>
      </c>
      <c r="K885">
        <v>16398.419050442171</v>
      </c>
    </row>
    <row r="886" spans="1:11" x14ac:dyDescent="0.25">
      <c r="A886" t="s">
        <v>2390</v>
      </c>
      <c r="B886" t="s">
        <v>2391</v>
      </c>
      <c r="C886" s="1">
        <v>41172</v>
      </c>
      <c r="D886" s="1">
        <v>41178</v>
      </c>
      <c r="E886">
        <v>4828</v>
      </c>
      <c r="F886" t="s">
        <v>642</v>
      </c>
      <c r="G886" t="s">
        <v>16</v>
      </c>
      <c r="H886" t="s">
        <v>4926</v>
      </c>
      <c r="I886">
        <v>2.0236000000000001</v>
      </c>
      <c r="J886">
        <v>86640</v>
      </c>
      <c r="K886">
        <v>42814.785530737303</v>
      </c>
    </row>
    <row r="887" spans="1:11" x14ac:dyDescent="0.25">
      <c r="A887" t="s">
        <v>799</v>
      </c>
      <c r="B887" t="s">
        <v>800</v>
      </c>
      <c r="C887" s="1">
        <v>41169</v>
      </c>
      <c r="D887" s="1">
        <v>41178</v>
      </c>
      <c r="E887">
        <v>4856</v>
      </c>
      <c r="F887" t="s">
        <v>301</v>
      </c>
      <c r="G887" t="s">
        <v>16</v>
      </c>
      <c r="H887" t="s">
        <v>1438</v>
      </c>
      <c r="I887">
        <v>2.0135999999999998</v>
      </c>
      <c r="J887">
        <v>42029.99</v>
      </c>
      <c r="K887">
        <v>20873.058204211364</v>
      </c>
    </row>
    <row r="888" spans="1:11" x14ac:dyDescent="0.25">
      <c r="A888" t="s">
        <v>796</v>
      </c>
      <c r="B888" t="s">
        <v>797</v>
      </c>
      <c r="C888" s="1">
        <v>41204</v>
      </c>
      <c r="D888" s="1">
        <v>41207</v>
      </c>
      <c r="E888">
        <v>4842</v>
      </c>
      <c r="F888" t="s">
        <v>309</v>
      </c>
      <c r="G888" t="s">
        <v>16</v>
      </c>
      <c r="H888" t="s">
        <v>1251</v>
      </c>
      <c r="I888">
        <v>2.0272000000000001</v>
      </c>
      <c r="J888">
        <v>56925.91</v>
      </c>
      <c r="K888">
        <v>28081.052683504342</v>
      </c>
    </row>
    <row r="889" spans="1:11" x14ac:dyDescent="0.25">
      <c r="A889" t="s">
        <v>4549</v>
      </c>
      <c r="B889" t="s">
        <v>4550</v>
      </c>
      <c r="C889" s="1">
        <v>41183</v>
      </c>
      <c r="D889" s="1">
        <v>41186</v>
      </c>
      <c r="E889">
        <v>4844</v>
      </c>
      <c r="F889" t="s">
        <v>280</v>
      </c>
      <c r="G889" t="s">
        <v>16</v>
      </c>
      <c r="H889" t="s">
        <v>4927</v>
      </c>
      <c r="I889">
        <v>2.0306000000000002</v>
      </c>
      <c r="J889">
        <v>61533.27</v>
      </c>
      <c r="K889">
        <v>30302.999113562495</v>
      </c>
    </row>
    <row r="890" spans="1:11" x14ac:dyDescent="0.25">
      <c r="A890" t="s">
        <v>1388</v>
      </c>
      <c r="B890" t="s">
        <v>1389</v>
      </c>
      <c r="C890" s="1">
        <v>41169</v>
      </c>
      <c r="D890" s="1">
        <v>41173</v>
      </c>
      <c r="E890">
        <v>4846</v>
      </c>
      <c r="F890" t="s">
        <v>665</v>
      </c>
      <c r="G890" t="s">
        <v>16</v>
      </c>
      <c r="H890" t="s">
        <v>1439</v>
      </c>
      <c r="I890">
        <v>2.0135999999999998</v>
      </c>
      <c r="J890">
        <v>50529.57</v>
      </c>
      <c r="K890">
        <v>25094.144815256259</v>
      </c>
    </row>
    <row r="891" spans="1:11" x14ac:dyDescent="0.25">
      <c r="A891" t="s">
        <v>832</v>
      </c>
      <c r="B891" t="s">
        <v>144</v>
      </c>
      <c r="C891" s="1">
        <v>41164</v>
      </c>
      <c r="D891" s="1">
        <v>41173</v>
      </c>
      <c r="E891">
        <v>4889</v>
      </c>
      <c r="F891" t="s">
        <v>318</v>
      </c>
      <c r="G891" t="s">
        <v>16</v>
      </c>
      <c r="H891" t="s">
        <v>1440</v>
      </c>
      <c r="I891">
        <v>2.0196999999999998</v>
      </c>
      <c r="J891">
        <v>81868.39</v>
      </c>
      <c r="K891">
        <v>40534.925979105807</v>
      </c>
    </row>
    <row r="892" spans="1:11" x14ac:dyDescent="0.25">
      <c r="A892" t="s">
        <v>808</v>
      </c>
      <c r="B892" t="s">
        <v>809</v>
      </c>
      <c r="C892" s="1">
        <v>41169</v>
      </c>
      <c r="D892" s="1">
        <v>41177</v>
      </c>
      <c r="E892">
        <v>4825</v>
      </c>
      <c r="F892" t="s">
        <v>331</v>
      </c>
      <c r="G892" t="s">
        <v>16</v>
      </c>
      <c r="H892" t="s">
        <v>4928</v>
      </c>
      <c r="I892">
        <v>2.0135999999999998</v>
      </c>
      <c r="J892">
        <v>47532.03</v>
      </c>
      <c r="K892">
        <v>23605.497616209774</v>
      </c>
    </row>
    <row r="893" spans="1:11" x14ac:dyDescent="0.25">
      <c r="A893" t="s">
        <v>1398</v>
      </c>
      <c r="B893" t="s">
        <v>1399</v>
      </c>
      <c r="C893" s="1">
        <v>41177</v>
      </c>
      <c r="D893" s="1">
        <v>41181</v>
      </c>
      <c r="E893">
        <v>1905</v>
      </c>
      <c r="F893" t="s">
        <v>689</v>
      </c>
      <c r="G893" t="s">
        <v>16</v>
      </c>
      <c r="H893" t="s">
        <v>4929</v>
      </c>
      <c r="I893">
        <v>2.0272999999999999</v>
      </c>
      <c r="J893">
        <v>33461.839999999997</v>
      </c>
      <c r="K893">
        <v>16505.618310067577</v>
      </c>
    </row>
    <row r="894" spans="1:11" x14ac:dyDescent="0.25">
      <c r="A894" t="s">
        <v>1398</v>
      </c>
      <c r="B894" t="s">
        <v>1399</v>
      </c>
      <c r="C894" s="1">
        <v>41178</v>
      </c>
      <c r="D894" s="1">
        <v>41181</v>
      </c>
      <c r="E894">
        <v>1905</v>
      </c>
      <c r="F894" t="s">
        <v>689</v>
      </c>
      <c r="G894" t="s">
        <v>16</v>
      </c>
      <c r="H894" t="s">
        <v>1441</v>
      </c>
      <c r="I894">
        <v>2.0251000000000001</v>
      </c>
      <c r="J894">
        <v>33330.230000000003</v>
      </c>
      <c r="K894">
        <v>16458.5600711076</v>
      </c>
    </row>
    <row r="895" spans="1:11" x14ac:dyDescent="0.25">
      <c r="A895" t="s">
        <v>804</v>
      </c>
      <c r="B895" t="s">
        <v>805</v>
      </c>
      <c r="C895" s="1">
        <v>41169</v>
      </c>
      <c r="D895" s="1">
        <v>41181</v>
      </c>
      <c r="E895">
        <v>34</v>
      </c>
      <c r="F895" t="s">
        <v>331</v>
      </c>
      <c r="G895" t="s">
        <v>16</v>
      </c>
      <c r="H895" t="s">
        <v>1442</v>
      </c>
      <c r="I895">
        <v>2.0135999999999998</v>
      </c>
      <c r="J895">
        <v>50451.02</v>
      </c>
      <c r="K895">
        <v>25055.135081446166</v>
      </c>
    </row>
    <row r="896" spans="1:11" x14ac:dyDescent="0.25">
      <c r="A896" t="s">
        <v>2869</v>
      </c>
      <c r="B896" t="s">
        <v>144</v>
      </c>
      <c r="C896" s="1">
        <v>41192</v>
      </c>
      <c r="D896" s="1">
        <v>41198</v>
      </c>
      <c r="E896">
        <v>9265</v>
      </c>
      <c r="F896" t="s">
        <v>2481</v>
      </c>
      <c r="G896" t="s">
        <v>16</v>
      </c>
      <c r="H896" t="s">
        <v>4930</v>
      </c>
      <c r="I896">
        <v>2.0337000000000001</v>
      </c>
      <c r="J896">
        <v>18760</v>
      </c>
      <c r="K896">
        <v>9224.5660618576985</v>
      </c>
    </row>
    <row r="897" spans="1:11" x14ac:dyDescent="0.25">
      <c r="A897" t="s">
        <v>1429</v>
      </c>
      <c r="B897" t="s">
        <v>1430</v>
      </c>
      <c r="C897" s="1">
        <v>41179</v>
      </c>
      <c r="D897" s="1">
        <v>41188</v>
      </c>
      <c r="E897">
        <v>5441</v>
      </c>
      <c r="F897" t="s">
        <v>301</v>
      </c>
      <c r="G897" t="s">
        <v>16</v>
      </c>
      <c r="H897" t="s">
        <v>1443</v>
      </c>
      <c r="I897">
        <v>2.0341</v>
      </c>
      <c r="J897">
        <v>256292.47</v>
      </c>
      <c r="K897">
        <v>125997.96961801288</v>
      </c>
    </row>
    <row r="898" spans="1:11" x14ac:dyDescent="0.25">
      <c r="A898" t="s">
        <v>1444</v>
      </c>
      <c r="C898" s="1">
        <v>41204</v>
      </c>
      <c r="D898" s="1">
        <v>41205</v>
      </c>
      <c r="E898">
        <v>8826</v>
      </c>
      <c r="F898" t="s">
        <v>421</v>
      </c>
      <c r="G898" t="s">
        <v>16</v>
      </c>
      <c r="H898" t="s">
        <v>1445</v>
      </c>
      <c r="I898">
        <v>2.0272000000000001</v>
      </c>
      <c r="J898">
        <v>627</v>
      </c>
      <c r="K898">
        <v>309.29360694554066</v>
      </c>
    </row>
    <row r="899" spans="1:11" x14ac:dyDescent="0.25">
      <c r="A899" t="s">
        <v>1444</v>
      </c>
      <c r="C899" s="1">
        <v>41192</v>
      </c>
      <c r="D899" s="1">
        <v>41205</v>
      </c>
      <c r="E899">
        <v>8826</v>
      </c>
      <c r="F899" t="s">
        <v>421</v>
      </c>
      <c r="G899" t="s">
        <v>16</v>
      </c>
      <c r="H899" t="s">
        <v>4931</v>
      </c>
      <c r="I899">
        <v>2.0337000000000001</v>
      </c>
      <c r="J899">
        <v>628.04999999999995</v>
      </c>
      <c r="K899">
        <v>308.82136008260807</v>
      </c>
    </row>
    <row r="900" spans="1:11" x14ac:dyDescent="0.25">
      <c r="A900" t="s">
        <v>832</v>
      </c>
      <c r="B900" t="s">
        <v>144</v>
      </c>
      <c r="C900" s="1">
        <v>41233</v>
      </c>
      <c r="D900" s="1">
        <v>41243</v>
      </c>
      <c r="E900">
        <v>4889</v>
      </c>
      <c r="F900" t="s">
        <v>318</v>
      </c>
      <c r="G900" t="s">
        <v>16</v>
      </c>
      <c r="H900" t="s">
        <v>4932</v>
      </c>
      <c r="I900">
        <v>2.0834999999999999</v>
      </c>
      <c r="J900">
        <v>173347.20000000001</v>
      </c>
      <c r="K900">
        <v>83200</v>
      </c>
    </row>
    <row r="901" spans="1:11" x14ac:dyDescent="0.25">
      <c r="A901" t="s">
        <v>799</v>
      </c>
      <c r="B901" t="s">
        <v>800</v>
      </c>
      <c r="C901" s="1">
        <v>41239</v>
      </c>
      <c r="D901" s="1">
        <v>41247</v>
      </c>
      <c r="E901">
        <v>4856</v>
      </c>
      <c r="F901" t="s">
        <v>301</v>
      </c>
      <c r="G901" t="s">
        <v>16</v>
      </c>
      <c r="H901" t="s">
        <v>1446</v>
      </c>
      <c r="I901">
        <v>2.0985</v>
      </c>
      <c r="J901">
        <v>123083.19</v>
      </c>
      <c r="K901">
        <v>58652.937812723372</v>
      </c>
    </row>
    <row r="902" spans="1:11" x14ac:dyDescent="0.25">
      <c r="A902" t="s">
        <v>1429</v>
      </c>
      <c r="B902" t="s">
        <v>1430</v>
      </c>
      <c r="C902" s="1">
        <v>41238</v>
      </c>
      <c r="D902" s="1">
        <v>41247</v>
      </c>
      <c r="E902">
        <v>5441</v>
      </c>
      <c r="F902" t="s">
        <v>301</v>
      </c>
      <c r="G902" t="s">
        <v>16</v>
      </c>
      <c r="H902" t="s">
        <v>333</v>
      </c>
      <c r="I902">
        <v>2.0985</v>
      </c>
      <c r="J902">
        <v>43740</v>
      </c>
      <c r="K902">
        <v>20843.459614010007</v>
      </c>
    </row>
    <row r="903" spans="1:11" x14ac:dyDescent="0.25">
      <c r="A903" t="s">
        <v>1429</v>
      </c>
      <c r="B903" t="s">
        <v>1430</v>
      </c>
      <c r="C903" s="1">
        <v>41239</v>
      </c>
      <c r="D903" s="1">
        <v>41247</v>
      </c>
      <c r="E903">
        <v>5441</v>
      </c>
      <c r="F903" t="s">
        <v>301</v>
      </c>
      <c r="G903" t="s">
        <v>16</v>
      </c>
      <c r="H903" t="s">
        <v>4933</v>
      </c>
      <c r="I903">
        <v>2.0985</v>
      </c>
      <c r="J903">
        <v>49267.199999999997</v>
      </c>
      <c r="K903">
        <v>23477.340957827018</v>
      </c>
    </row>
    <row r="904" spans="1:11" x14ac:dyDescent="0.25">
      <c r="A904" t="s">
        <v>835</v>
      </c>
      <c r="B904" t="s">
        <v>836</v>
      </c>
      <c r="C904" s="1">
        <v>41295</v>
      </c>
      <c r="D904" s="1">
        <v>41298</v>
      </c>
      <c r="E904">
        <v>11334</v>
      </c>
      <c r="F904" t="s">
        <v>331</v>
      </c>
      <c r="G904" t="s">
        <v>16</v>
      </c>
      <c r="H904" t="s">
        <v>4934</v>
      </c>
      <c r="I904">
        <v>2.0440999999999998</v>
      </c>
      <c r="J904">
        <v>86581.18</v>
      </c>
      <c r="K904">
        <v>42356.626388141478</v>
      </c>
    </row>
    <row r="905" spans="1:11" x14ac:dyDescent="0.25">
      <c r="A905" t="s">
        <v>821</v>
      </c>
      <c r="B905" t="s">
        <v>822</v>
      </c>
      <c r="C905" s="1">
        <v>41286</v>
      </c>
      <c r="D905" s="1">
        <v>41290</v>
      </c>
      <c r="E905">
        <v>11833</v>
      </c>
      <c r="F905" t="s">
        <v>331</v>
      </c>
      <c r="G905" t="s">
        <v>16</v>
      </c>
      <c r="H905" t="s">
        <v>4935</v>
      </c>
      <c r="I905">
        <v>2.0341</v>
      </c>
      <c r="J905">
        <v>52633.62</v>
      </c>
      <c r="K905">
        <v>25875.630499975417</v>
      </c>
    </row>
    <row r="906" spans="1:11" x14ac:dyDescent="0.25">
      <c r="A906" t="s">
        <v>821</v>
      </c>
      <c r="B906" t="s">
        <v>822</v>
      </c>
      <c r="C906" s="1">
        <v>41290</v>
      </c>
      <c r="D906" s="1">
        <v>41292</v>
      </c>
      <c r="E906">
        <v>11833</v>
      </c>
      <c r="F906" t="s">
        <v>331</v>
      </c>
      <c r="G906" t="s">
        <v>16</v>
      </c>
      <c r="H906" t="s">
        <v>1447</v>
      </c>
      <c r="I906">
        <v>2.0373999999999999</v>
      </c>
      <c r="J906">
        <v>53814.99</v>
      </c>
      <c r="K906">
        <v>26413.561401786592</v>
      </c>
    </row>
    <row r="907" spans="1:11" x14ac:dyDescent="0.25">
      <c r="A907" t="s">
        <v>835</v>
      </c>
      <c r="B907" t="s">
        <v>836</v>
      </c>
      <c r="C907" s="1">
        <v>41293</v>
      </c>
      <c r="D907" s="1">
        <v>41297</v>
      </c>
      <c r="E907">
        <v>11334</v>
      </c>
      <c r="F907" t="s">
        <v>331</v>
      </c>
      <c r="G907" t="s">
        <v>16</v>
      </c>
      <c r="H907" t="s">
        <v>1448</v>
      </c>
      <c r="I907">
        <v>2.0440999999999998</v>
      </c>
      <c r="J907">
        <v>53504.84</v>
      </c>
      <c r="K907">
        <v>26175.255613717527</v>
      </c>
    </row>
    <row r="908" spans="1:11" x14ac:dyDescent="0.25">
      <c r="A908" t="s">
        <v>835</v>
      </c>
      <c r="B908" t="s">
        <v>836</v>
      </c>
      <c r="C908" s="1">
        <v>41295</v>
      </c>
      <c r="D908" s="1">
        <v>41298</v>
      </c>
      <c r="E908">
        <v>11334</v>
      </c>
      <c r="F908" t="s">
        <v>331</v>
      </c>
      <c r="G908" t="s">
        <v>16</v>
      </c>
      <c r="H908" t="s">
        <v>4936</v>
      </c>
      <c r="I908">
        <v>2.0440999999999998</v>
      </c>
      <c r="J908">
        <v>63050.7</v>
      </c>
      <c r="K908">
        <v>30845.213052199011</v>
      </c>
    </row>
    <row r="909" spans="1:11" x14ac:dyDescent="0.25">
      <c r="A909" t="s">
        <v>835</v>
      </c>
      <c r="B909" t="s">
        <v>836</v>
      </c>
      <c r="C909" s="1">
        <v>41296</v>
      </c>
      <c r="D909" s="1">
        <v>41298</v>
      </c>
      <c r="E909">
        <v>11334</v>
      </c>
      <c r="F909" t="s">
        <v>331</v>
      </c>
      <c r="G909" t="s">
        <v>16</v>
      </c>
      <c r="H909" t="s">
        <v>4937</v>
      </c>
      <c r="I909">
        <v>2.0419999999999998</v>
      </c>
      <c r="J909">
        <v>63342.05</v>
      </c>
      <c r="K909">
        <v>31019.613124387855</v>
      </c>
    </row>
    <row r="910" spans="1:11" x14ac:dyDescent="0.25">
      <c r="A910" t="s">
        <v>821</v>
      </c>
      <c r="B910" t="s">
        <v>822</v>
      </c>
      <c r="C910" s="1">
        <v>41291</v>
      </c>
      <c r="D910" s="1">
        <v>41293</v>
      </c>
      <c r="E910">
        <v>11833</v>
      </c>
      <c r="F910" t="s">
        <v>331</v>
      </c>
      <c r="G910" t="s">
        <v>16</v>
      </c>
      <c r="H910" t="s">
        <v>1449</v>
      </c>
      <c r="I910">
        <v>2.0409000000000002</v>
      </c>
      <c r="J910">
        <v>51813.61</v>
      </c>
      <c r="K910">
        <v>25387.628007251704</v>
      </c>
    </row>
    <row r="911" spans="1:11" x14ac:dyDescent="0.25">
      <c r="A911" t="s">
        <v>4938</v>
      </c>
      <c r="B911" t="s">
        <v>4939</v>
      </c>
      <c r="C911" s="1">
        <v>41257</v>
      </c>
      <c r="D911" s="1">
        <v>41260</v>
      </c>
      <c r="E911">
        <v>4866</v>
      </c>
      <c r="F911" t="s">
        <v>278</v>
      </c>
      <c r="G911" t="s">
        <v>16</v>
      </c>
      <c r="H911" t="s">
        <v>4940</v>
      </c>
      <c r="I911">
        <v>2.0750999999999999</v>
      </c>
      <c r="J911">
        <v>359865</v>
      </c>
      <c r="K911">
        <v>173420.55804539542</v>
      </c>
    </row>
    <row r="912" spans="1:11" x14ac:dyDescent="0.25">
      <c r="A912" t="s">
        <v>774</v>
      </c>
      <c r="B912" t="s">
        <v>775</v>
      </c>
      <c r="C912" s="1">
        <v>41261</v>
      </c>
      <c r="D912" s="1">
        <v>41272</v>
      </c>
      <c r="E912">
        <v>4826</v>
      </c>
      <c r="F912" t="s">
        <v>311</v>
      </c>
      <c r="G912" t="s">
        <v>16</v>
      </c>
      <c r="H912" t="s">
        <v>1450</v>
      </c>
      <c r="I912">
        <v>2.0901999999999998</v>
      </c>
      <c r="J912">
        <v>40546.6</v>
      </c>
      <c r="K912">
        <v>19398.43077217491</v>
      </c>
    </row>
    <row r="913" spans="1:11" x14ac:dyDescent="0.25">
      <c r="A913" t="s">
        <v>835</v>
      </c>
      <c r="B913" t="s">
        <v>836</v>
      </c>
      <c r="C913" s="1">
        <v>41293</v>
      </c>
      <c r="D913" s="1">
        <v>41295</v>
      </c>
      <c r="E913">
        <v>11334</v>
      </c>
      <c r="F913" t="s">
        <v>331</v>
      </c>
      <c r="G913" t="s">
        <v>16</v>
      </c>
      <c r="H913" t="s">
        <v>4941</v>
      </c>
      <c r="I913">
        <v>2.0440999999999998</v>
      </c>
      <c r="J913">
        <v>64096.12</v>
      </c>
      <c r="K913">
        <v>31356.645956655742</v>
      </c>
    </row>
    <row r="914" spans="1:11" x14ac:dyDescent="0.25">
      <c r="A914" t="s">
        <v>838</v>
      </c>
      <c r="B914" t="s">
        <v>839</v>
      </c>
      <c r="C914" s="1">
        <v>41264</v>
      </c>
      <c r="D914" s="1">
        <v>41272</v>
      </c>
      <c r="E914">
        <v>11333</v>
      </c>
      <c r="F914" t="s">
        <v>331</v>
      </c>
      <c r="G914" t="s">
        <v>16</v>
      </c>
      <c r="H914" t="s">
        <v>1451</v>
      </c>
      <c r="I914">
        <v>2.0653999999999999</v>
      </c>
      <c r="J914">
        <v>62090.97</v>
      </c>
      <c r="K914">
        <v>30062.443110293407</v>
      </c>
    </row>
    <row r="915" spans="1:11" x14ac:dyDescent="0.25">
      <c r="A915" t="s">
        <v>838</v>
      </c>
      <c r="B915" t="s">
        <v>839</v>
      </c>
      <c r="C915" s="1">
        <v>41265</v>
      </c>
      <c r="D915" s="1">
        <v>41272</v>
      </c>
      <c r="E915">
        <v>11333</v>
      </c>
      <c r="F915" t="s">
        <v>331</v>
      </c>
      <c r="G915" t="s">
        <v>16</v>
      </c>
      <c r="H915" t="s">
        <v>1452</v>
      </c>
      <c r="I915">
        <v>2.0758000000000001</v>
      </c>
      <c r="J915">
        <v>86872.52</v>
      </c>
      <c r="K915">
        <v>41850.139705173911</v>
      </c>
    </row>
    <row r="916" spans="1:11" x14ac:dyDescent="0.25">
      <c r="A916" t="s">
        <v>1453</v>
      </c>
      <c r="B916" t="s">
        <v>1454</v>
      </c>
      <c r="C916" s="1">
        <v>41290</v>
      </c>
      <c r="D916" s="1">
        <v>41295</v>
      </c>
      <c r="E916">
        <v>8781</v>
      </c>
      <c r="F916" t="s">
        <v>309</v>
      </c>
      <c r="G916" t="s">
        <v>16</v>
      </c>
      <c r="H916" t="s">
        <v>1455</v>
      </c>
      <c r="I916">
        <v>2.0373999999999999</v>
      </c>
      <c r="J916">
        <v>60129.81</v>
      </c>
      <c r="K916">
        <v>29513.011681554923</v>
      </c>
    </row>
    <row r="917" spans="1:11" x14ac:dyDescent="0.25">
      <c r="A917" t="s">
        <v>1453</v>
      </c>
      <c r="B917" t="s">
        <v>1454</v>
      </c>
      <c r="C917" s="1">
        <v>41290</v>
      </c>
      <c r="D917" s="1">
        <v>41295</v>
      </c>
      <c r="E917">
        <v>8781</v>
      </c>
      <c r="F917" t="s">
        <v>309</v>
      </c>
      <c r="G917" t="s">
        <v>16</v>
      </c>
      <c r="H917" t="s">
        <v>4942</v>
      </c>
      <c r="I917">
        <v>2.0373999999999999</v>
      </c>
      <c r="J917">
        <v>61754.94</v>
      </c>
      <c r="K917">
        <v>30310.660645921271</v>
      </c>
    </row>
    <row r="918" spans="1:11" x14ac:dyDescent="0.25">
      <c r="A918" t="s">
        <v>1453</v>
      </c>
      <c r="B918" t="s">
        <v>1454</v>
      </c>
      <c r="C918" s="1">
        <v>41290</v>
      </c>
      <c r="D918" s="1">
        <v>41295</v>
      </c>
      <c r="E918">
        <v>8781</v>
      </c>
      <c r="F918" t="s">
        <v>309</v>
      </c>
      <c r="G918" t="s">
        <v>16</v>
      </c>
      <c r="H918" t="s">
        <v>1456</v>
      </c>
      <c r="I918">
        <v>2.0373999999999999</v>
      </c>
      <c r="J918">
        <v>52004.160000000003</v>
      </c>
      <c r="K918">
        <v>25524.766859723175</v>
      </c>
    </row>
    <row r="919" spans="1:11" x14ac:dyDescent="0.25">
      <c r="A919" t="s">
        <v>799</v>
      </c>
      <c r="B919" t="s">
        <v>800</v>
      </c>
      <c r="C919" s="1">
        <v>41262</v>
      </c>
      <c r="D919" s="1">
        <v>41277</v>
      </c>
      <c r="E919">
        <v>4856</v>
      </c>
      <c r="F919" t="s">
        <v>301</v>
      </c>
      <c r="G919" t="s">
        <v>16</v>
      </c>
      <c r="H919" t="s">
        <v>4943</v>
      </c>
      <c r="I919">
        <v>2.0966</v>
      </c>
      <c r="J919">
        <v>496460.52</v>
      </c>
      <c r="K919">
        <v>236793.15081560623</v>
      </c>
    </row>
    <row r="920" spans="1:11" x14ac:dyDescent="0.25">
      <c r="A920" t="s">
        <v>838</v>
      </c>
      <c r="B920" t="s">
        <v>839</v>
      </c>
      <c r="C920" s="1">
        <v>41264</v>
      </c>
      <c r="D920" s="1">
        <v>41270</v>
      </c>
      <c r="E920">
        <v>11333</v>
      </c>
      <c r="F920" t="s">
        <v>331</v>
      </c>
      <c r="G920" t="s">
        <v>16</v>
      </c>
      <c r="H920" t="s">
        <v>1457</v>
      </c>
      <c r="I920">
        <v>2.0653999999999999</v>
      </c>
      <c r="J920">
        <v>62622.25</v>
      </c>
      <c r="K920">
        <v>30319.671734288757</v>
      </c>
    </row>
    <row r="921" spans="1:11" x14ac:dyDescent="0.25">
      <c r="A921" t="s">
        <v>838</v>
      </c>
      <c r="B921" t="s">
        <v>839</v>
      </c>
      <c r="C921" s="1">
        <v>41264</v>
      </c>
      <c r="D921" s="1">
        <v>41281</v>
      </c>
      <c r="E921">
        <v>11333</v>
      </c>
      <c r="F921" t="s">
        <v>331</v>
      </c>
      <c r="G921" t="s">
        <v>16</v>
      </c>
      <c r="H921" t="s">
        <v>4944</v>
      </c>
      <c r="I921">
        <v>2.0653999999999999</v>
      </c>
      <c r="J921">
        <v>85484.34</v>
      </c>
      <c r="K921">
        <v>41388.75762564152</v>
      </c>
    </row>
    <row r="922" spans="1:11" x14ac:dyDescent="0.25">
      <c r="A922" t="s">
        <v>821</v>
      </c>
      <c r="B922" t="s">
        <v>822</v>
      </c>
      <c r="C922" s="1">
        <v>41286</v>
      </c>
      <c r="D922" s="1">
        <v>41289</v>
      </c>
      <c r="E922">
        <v>11833</v>
      </c>
      <c r="F922" t="s">
        <v>331</v>
      </c>
      <c r="G922" t="s">
        <v>16</v>
      </c>
      <c r="H922" t="s">
        <v>1458</v>
      </c>
      <c r="I922">
        <v>2.0341</v>
      </c>
      <c r="J922">
        <v>51480.04</v>
      </c>
      <c r="K922">
        <v>25308.509906100979</v>
      </c>
    </row>
    <row r="923" spans="1:11" x14ac:dyDescent="0.25">
      <c r="A923" t="s">
        <v>838</v>
      </c>
      <c r="B923" t="s">
        <v>839</v>
      </c>
      <c r="C923" s="1">
        <v>41264</v>
      </c>
      <c r="D923" s="1">
        <v>41270</v>
      </c>
      <c r="E923">
        <v>11333</v>
      </c>
      <c r="F923" t="s">
        <v>331</v>
      </c>
      <c r="G923" t="s">
        <v>16</v>
      </c>
      <c r="H923" t="s">
        <v>1459</v>
      </c>
      <c r="I923">
        <v>2.0653999999999999</v>
      </c>
      <c r="J923">
        <v>61131.25</v>
      </c>
      <c r="K923">
        <v>29597.777670184951</v>
      </c>
    </row>
    <row r="924" spans="1:11" x14ac:dyDescent="0.25">
      <c r="A924" t="s">
        <v>852</v>
      </c>
      <c r="B924" t="s">
        <v>853</v>
      </c>
      <c r="C924" s="1">
        <v>41311</v>
      </c>
      <c r="D924" s="1">
        <v>41316</v>
      </c>
      <c r="E924">
        <v>11335</v>
      </c>
      <c r="F924" t="s">
        <v>331</v>
      </c>
      <c r="G924" t="s">
        <v>16</v>
      </c>
      <c r="H924" t="s">
        <v>4945</v>
      </c>
      <c r="I924">
        <v>1.9881</v>
      </c>
      <c r="J924">
        <v>48812.79</v>
      </c>
      <c r="K924">
        <v>24552.482269503547</v>
      </c>
    </row>
    <row r="925" spans="1:11" x14ac:dyDescent="0.25">
      <c r="A925" t="s">
        <v>848</v>
      </c>
      <c r="B925" t="s">
        <v>849</v>
      </c>
      <c r="C925" s="1">
        <v>41309</v>
      </c>
      <c r="D925" s="1">
        <v>41314</v>
      </c>
      <c r="E925">
        <v>11834</v>
      </c>
      <c r="F925" t="s">
        <v>331</v>
      </c>
      <c r="G925" t="s">
        <v>16</v>
      </c>
      <c r="H925" t="s">
        <v>1460</v>
      </c>
      <c r="I925">
        <v>1.9843</v>
      </c>
      <c r="J925">
        <v>37890.239999999998</v>
      </c>
      <c r="K925">
        <v>19095.015874615732</v>
      </c>
    </row>
    <row r="926" spans="1:11" x14ac:dyDescent="0.25">
      <c r="A926" t="s">
        <v>848</v>
      </c>
      <c r="B926" t="s">
        <v>849</v>
      </c>
      <c r="C926" s="1">
        <v>41309</v>
      </c>
      <c r="D926" s="1">
        <v>41316</v>
      </c>
      <c r="E926">
        <v>11834</v>
      </c>
      <c r="F926" t="s">
        <v>331</v>
      </c>
      <c r="G926" t="s">
        <v>16</v>
      </c>
      <c r="H926" t="s">
        <v>1461</v>
      </c>
      <c r="I926">
        <v>1.9843</v>
      </c>
      <c r="J926">
        <v>37869.96</v>
      </c>
      <c r="K926">
        <v>19084.795645819686</v>
      </c>
    </row>
    <row r="927" spans="1:11" x14ac:dyDescent="0.25">
      <c r="A927" t="s">
        <v>848</v>
      </c>
      <c r="B927" t="s">
        <v>849</v>
      </c>
      <c r="C927" s="1">
        <v>41310</v>
      </c>
      <c r="D927" s="1">
        <v>41316</v>
      </c>
      <c r="E927">
        <v>11834</v>
      </c>
      <c r="F927" t="s">
        <v>331</v>
      </c>
      <c r="G927" t="s">
        <v>16</v>
      </c>
      <c r="H927" t="s">
        <v>1462</v>
      </c>
      <c r="I927">
        <v>1.9893000000000001</v>
      </c>
      <c r="J927">
        <v>37636.82</v>
      </c>
      <c r="K927">
        <v>18919.630020610264</v>
      </c>
    </row>
    <row r="928" spans="1:11" x14ac:dyDescent="0.25">
      <c r="A928" t="s">
        <v>852</v>
      </c>
      <c r="B928" t="s">
        <v>853</v>
      </c>
      <c r="C928" s="1">
        <v>41310</v>
      </c>
      <c r="D928" s="1">
        <v>41316</v>
      </c>
      <c r="E928">
        <v>11335</v>
      </c>
      <c r="F928" t="s">
        <v>331</v>
      </c>
      <c r="G928" t="s">
        <v>16</v>
      </c>
      <c r="H928" t="s">
        <v>1463</v>
      </c>
      <c r="I928">
        <v>1.9893000000000001</v>
      </c>
      <c r="J928">
        <v>46184.82</v>
      </c>
      <c r="K928">
        <v>23216.618911174784</v>
      </c>
    </row>
    <row r="929" spans="1:11" x14ac:dyDescent="0.25">
      <c r="A929" t="s">
        <v>852</v>
      </c>
      <c r="B929" t="s">
        <v>853</v>
      </c>
      <c r="C929" s="1">
        <v>41314</v>
      </c>
      <c r="D929" s="1">
        <v>41320</v>
      </c>
      <c r="E929">
        <v>11335</v>
      </c>
      <c r="F929" t="s">
        <v>331</v>
      </c>
      <c r="G929" t="s">
        <v>16</v>
      </c>
      <c r="H929" t="s">
        <v>4946</v>
      </c>
      <c r="I929">
        <v>1.9636</v>
      </c>
      <c r="J929">
        <v>45996.72</v>
      </c>
      <c r="K929">
        <v>23424.689346099003</v>
      </c>
    </row>
    <row r="930" spans="1:11" x14ac:dyDescent="0.25">
      <c r="A930" t="s">
        <v>848</v>
      </c>
      <c r="B930" t="s">
        <v>849</v>
      </c>
      <c r="C930" s="1">
        <v>41311</v>
      </c>
      <c r="D930" s="1">
        <v>41317</v>
      </c>
      <c r="E930">
        <v>11834</v>
      </c>
      <c r="F930" t="s">
        <v>331</v>
      </c>
      <c r="G930" t="s">
        <v>16</v>
      </c>
      <c r="H930" t="s">
        <v>3320</v>
      </c>
      <c r="I930">
        <v>1.9881</v>
      </c>
      <c r="J930">
        <v>50864.959999999999</v>
      </c>
      <c r="K930">
        <v>25584.709018661033</v>
      </c>
    </row>
    <row r="931" spans="1:11" x14ac:dyDescent="0.25">
      <c r="A931" t="s">
        <v>852</v>
      </c>
      <c r="B931" t="s">
        <v>853</v>
      </c>
      <c r="C931" s="1">
        <v>41312</v>
      </c>
      <c r="D931" s="1">
        <v>41320</v>
      </c>
      <c r="E931">
        <v>11335</v>
      </c>
      <c r="F931" t="s">
        <v>331</v>
      </c>
      <c r="G931" t="s">
        <v>16</v>
      </c>
      <c r="H931" t="s">
        <v>1464</v>
      </c>
      <c r="I931">
        <v>1.9883999999999999</v>
      </c>
      <c r="J931">
        <v>47957.56</v>
      </c>
      <c r="K931">
        <v>24118.668276000804</v>
      </c>
    </row>
    <row r="932" spans="1:11" x14ac:dyDescent="0.25">
      <c r="A932" t="s">
        <v>852</v>
      </c>
      <c r="B932" t="s">
        <v>853</v>
      </c>
      <c r="C932" s="1">
        <v>41314</v>
      </c>
      <c r="D932" s="1">
        <v>41321</v>
      </c>
      <c r="E932">
        <v>11335</v>
      </c>
      <c r="F932" t="s">
        <v>331</v>
      </c>
      <c r="G932" t="s">
        <v>16</v>
      </c>
      <c r="H932" t="s">
        <v>1465</v>
      </c>
      <c r="I932">
        <v>1.9636</v>
      </c>
      <c r="J932">
        <v>63853.68</v>
      </c>
      <c r="K932">
        <v>32518.679975555104</v>
      </c>
    </row>
    <row r="933" spans="1:11" x14ac:dyDescent="0.25">
      <c r="A933" t="s">
        <v>852</v>
      </c>
      <c r="B933" t="s">
        <v>853</v>
      </c>
      <c r="C933" s="1">
        <v>41314</v>
      </c>
      <c r="D933" s="1">
        <v>41321</v>
      </c>
      <c r="E933">
        <v>11335</v>
      </c>
      <c r="F933" t="s">
        <v>331</v>
      </c>
      <c r="G933" t="s">
        <v>16</v>
      </c>
      <c r="H933" t="s">
        <v>1466</v>
      </c>
      <c r="I933">
        <v>1.9636</v>
      </c>
      <c r="J933">
        <v>63678.12</v>
      </c>
      <c r="K933">
        <v>32429.272764310452</v>
      </c>
    </row>
    <row r="934" spans="1:11" x14ac:dyDescent="0.25">
      <c r="A934" t="s">
        <v>856</v>
      </c>
      <c r="B934" t="s">
        <v>857</v>
      </c>
      <c r="C934" s="1">
        <v>41315</v>
      </c>
      <c r="D934" s="1">
        <v>41321</v>
      </c>
      <c r="E934">
        <v>11832</v>
      </c>
      <c r="F934" t="s">
        <v>331</v>
      </c>
      <c r="G934" t="s">
        <v>16</v>
      </c>
      <c r="H934" t="s">
        <v>1467</v>
      </c>
      <c r="I934">
        <v>1.9636</v>
      </c>
      <c r="J934">
        <v>47504.03</v>
      </c>
      <c r="K934">
        <v>24192.315135465473</v>
      </c>
    </row>
    <row r="935" spans="1:11" x14ac:dyDescent="0.25">
      <c r="A935" t="s">
        <v>1468</v>
      </c>
      <c r="B935" t="s">
        <v>1469</v>
      </c>
      <c r="C935" s="1">
        <v>41319</v>
      </c>
      <c r="D935" s="1">
        <v>41324</v>
      </c>
      <c r="E935">
        <v>12773</v>
      </c>
      <c r="F935" t="s">
        <v>311</v>
      </c>
      <c r="G935" t="s">
        <v>16</v>
      </c>
      <c r="H935" t="s">
        <v>1470</v>
      </c>
      <c r="I935">
        <v>1.9670000000000001</v>
      </c>
      <c r="J935">
        <v>25252.22</v>
      </c>
      <c r="K935">
        <v>12837.935943060498</v>
      </c>
    </row>
    <row r="936" spans="1:11" x14ac:dyDescent="0.25">
      <c r="A936" t="s">
        <v>1453</v>
      </c>
      <c r="B936" t="s">
        <v>1454</v>
      </c>
      <c r="C936" s="1">
        <v>41291</v>
      </c>
      <c r="D936" s="1">
        <v>41305</v>
      </c>
      <c r="E936">
        <v>8781</v>
      </c>
      <c r="F936" t="s">
        <v>309</v>
      </c>
      <c r="G936" t="s">
        <v>16</v>
      </c>
      <c r="H936" t="s">
        <v>4947</v>
      </c>
      <c r="I936">
        <v>2.0409000000000002</v>
      </c>
      <c r="J936">
        <v>56879.55</v>
      </c>
      <c r="K936">
        <v>27869.836836689698</v>
      </c>
    </row>
    <row r="937" spans="1:11" x14ac:dyDescent="0.25">
      <c r="A937" t="s">
        <v>856</v>
      </c>
      <c r="B937" t="s">
        <v>857</v>
      </c>
      <c r="C937" s="1">
        <v>41315</v>
      </c>
      <c r="D937" s="1">
        <v>41322</v>
      </c>
      <c r="E937">
        <v>11832</v>
      </c>
      <c r="F937" t="s">
        <v>331</v>
      </c>
      <c r="G937" t="s">
        <v>16</v>
      </c>
      <c r="H937" t="s">
        <v>4948</v>
      </c>
      <c r="I937">
        <v>1.9636</v>
      </c>
      <c r="J937">
        <v>46899.6</v>
      </c>
      <c r="K937">
        <v>23884.497861071501</v>
      </c>
    </row>
    <row r="938" spans="1:11" x14ac:dyDescent="0.25">
      <c r="A938" t="s">
        <v>856</v>
      </c>
      <c r="B938" t="s">
        <v>857</v>
      </c>
      <c r="C938" s="1">
        <v>41316</v>
      </c>
      <c r="D938" s="1">
        <v>41322</v>
      </c>
      <c r="E938">
        <v>11832</v>
      </c>
      <c r="F938" t="s">
        <v>331</v>
      </c>
      <c r="G938" t="s">
        <v>16</v>
      </c>
      <c r="H938" t="s">
        <v>4949</v>
      </c>
      <c r="I938">
        <v>1.9636</v>
      </c>
      <c r="J938">
        <v>48825.74</v>
      </c>
      <c r="K938">
        <v>24865.420655938073</v>
      </c>
    </row>
    <row r="939" spans="1:11" x14ac:dyDescent="0.25">
      <c r="A939" t="s">
        <v>856</v>
      </c>
      <c r="B939" t="s">
        <v>857</v>
      </c>
      <c r="C939" s="1">
        <v>41311</v>
      </c>
      <c r="D939" s="1">
        <v>41322</v>
      </c>
      <c r="E939">
        <v>11832</v>
      </c>
      <c r="F939" t="s">
        <v>331</v>
      </c>
      <c r="G939" t="s">
        <v>16</v>
      </c>
      <c r="H939" t="s">
        <v>1471</v>
      </c>
      <c r="I939">
        <v>1.9881</v>
      </c>
      <c r="J939">
        <v>46761.66</v>
      </c>
      <c r="K939">
        <v>23520.778632865549</v>
      </c>
    </row>
    <row r="940" spans="1:11" x14ac:dyDescent="0.25">
      <c r="A940" t="s">
        <v>856</v>
      </c>
      <c r="B940" t="s">
        <v>857</v>
      </c>
      <c r="C940" s="1">
        <v>41313</v>
      </c>
      <c r="D940" s="1">
        <v>41322</v>
      </c>
      <c r="E940">
        <v>11832</v>
      </c>
      <c r="F940" t="s">
        <v>331</v>
      </c>
      <c r="G940" t="s">
        <v>16</v>
      </c>
      <c r="H940" t="s">
        <v>4950</v>
      </c>
      <c r="I940">
        <v>1.9789000000000001</v>
      </c>
      <c r="J940">
        <v>63552.72</v>
      </c>
      <c r="K940">
        <v>32115.175097276264</v>
      </c>
    </row>
    <row r="941" spans="1:11" x14ac:dyDescent="0.25">
      <c r="A941" t="s">
        <v>856</v>
      </c>
      <c r="B941" t="s">
        <v>857</v>
      </c>
      <c r="C941" s="1">
        <v>41314</v>
      </c>
      <c r="D941" s="1">
        <v>41322</v>
      </c>
      <c r="E941">
        <v>11832</v>
      </c>
      <c r="F941" t="s">
        <v>331</v>
      </c>
      <c r="G941" t="s">
        <v>16</v>
      </c>
      <c r="H941" t="s">
        <v>1472</v>
      </c>
      <c r="I941">
        <v>1.9636</v>
      </c>
      <c r="J941">
        <v>48683.21</v>
      </c>
      <c r="K941">
        <v>24792.834589529437</v>
      </c>
    </row>
    <row r="942" spans="1:11" x14ac:dyDescent="0.25">
      <c r="A942" t="s">
        <v>799</v>
      </c>
      <c r="B942" t="s">
        <v>800</v>
      </c>
      <c r="C942" s="1">
        <v>41307</v>
      </c>
      <c r="D942" s="1">
        <v>41313</v>
      </c>
      <c r="E942">
        <v>4856</v>
      </c>
      <c r="F942" t="s">
        <v>675</v>
      </c>
      <c r="G942" t="s">
        <v>16</v>
      </c>
      <c r="H942" t="s">
        <v>4951</v>
      </c>
      <c r="I942">
        <v>1.9843</v>
      </c>
      <c r="J942">
        <v>201506.7</v>
      </c>
      <c r="K942">
        <v>101550.52159451696</v>
      </c>
    </row>
    <row r="943" spans="1:11" x14ac:dyDescent="0.25">
      <c r="A943" t="s">
        <v>856</v>
      </c>
      <c r="B943" t="s">
        <v>857</v>
      </c>
      <c r="C943" s="1">
        <v>41316</v>
      </c>
      <c r="D943" s="1">
        <v>41331</v>
      </c>
      <c r="E943">
        <v>11832</v>
      </c>
      <c r="F943" t="s">
        <v>331</v>
      </c>
      <c r="G943" t="s">
        <v>16</v>
      </c>
      <c r="H943" t="s">
        <v>1473</v>
      </c>
      <c r="I943">
        <v>1.9636</v>
      </c>
      <c r="J943">
        <v>45645.599999999999</v>
      </c>
      <c r="K943">
        <v>23245.874923609696</v>
      </c>
    </row>
    <row r="944" spans="1:11" x14ac:dyDescent="0.25">
      <c r="A944" t="s">
        <v>856</v>
      </c>
      <c r="B944" t="s">
        <v>857</v>
      </c>
      <c r="C944" s="1">
        <v>41318</v>
      </c>
      <c r="D944" s="1">
        <v>41331</v>
      </c>
      <c r="E944">
        <v>11832</v>
      </c>
      <c r="F944" t="s">
        <v>331</v>
      </c>
      <c r="G944" t="s">
        <v>16</v>
      </c>
      <c r="H944" t="s">
        <v>1474</v>
      </c>
      <c r="I944">
        <v>1.9636</v>
      </c>
      <c r="J944">
        <v>47325.96</v>
      </c>
      <c r="K944">
        <v>24101.629659808514</v>
      </c>
    </row>
    <row r="945" spans="1:11" x14ac:dyDescent="0.25">
      <c r="A945" t="s">
        <v>1468</v>
      </c>
      <c r="B945" t="s">
        <v>1469</v>
      </c>
      <c r="C945" s="1">
        <v>41311</v>
      </c>
      <c r="D945" s="1">
        <v>41321</v>
      </c>
      <c r="E945">
        <v>12773</v>
      </c>
      <c r="F945" t="s">
        <v>311</v>
      </c>
      <c r="G945" t="s">
        <v>16</v>
      </c>
      <c r="H945" t="s">
        <v>4952</v>
      </c>
      <c r="I945">
        <v>1.9881</v>
      </c>
      <c r="J945">
        <v>116266.37</v>
      </c>
      <c r="K945">
        <v>58481.147829586036</v>
      </c>
    </row>
    <row r="946" spans="1:11" x14ac:dyDescent="0.25">
      <c r="A946" t="s">
        <v>852</v>
      </c>
      <c r="B946" t="s">
        <v>853</v>
      </c>
      <c r="C946" s="1">
        <v>41311</v>
      </c>
      <c r="D946" s="1">
        <v>41319</v>
      </c>
      <c r="E946">
        <v>11335</v>
      </c>
      <c r="F946" t="s">
        <v>331</v>
      </c>
      <c r="G946" t="s">
        <v>16</v>
      </c>
      <c r="H946" t="s">
        <v>1475</v>
      </c>
      <c r="I946">
        <v>1.9881</v>
      </c>
      <c r="J946">
        <v>46184.82</v>
      </c>
      <c r="K946">
        <v>23230.632261958654</v>
      </c>
    </row>
    <row r="947" spans="1:11" x14ac:dyDescent="0.25">
      <c r="A947" t="s">
        <v>852</v>
      </c>
      <c r="B947" t="s">
        <v>853</v>
      </c>
      <c r="C947" s="1">
        <v>41311</v>
      </c>
      <c r="D947" s="1">
        <v>41319</v>
      </c>
      <c r="E947">
        <v>11335</v>
      </c>
      <c r="F947" t="s">
        <v>331</v>
      </c>
      <c r="G947" t="s">
        <v>16</v>
      </c>
      <c r="H947" t="s">
        <v>1476</v>
      </c>
      <c r="I947">
        <v>1.9881</v>
      </c>
      <c r="J947">
        <v>48838.7</v>
      </c>
      <c r="K947">
        <v>24565.514813138172</v>
      </c>
    </row>
    <row r="948" spans="1:11" x14ac:dyDescent="0.25">
      <c r="A948" t="s">
        <v>865</v>
      </c>
      <c r="B948" t="s">
        <v>866</v>
      </c>
      <c r="C948" s="1">
        <v>41307</v>
      </c>
      <c r="D948" s="1">
        <v>41333</v>
      </c>
      <c r="E948">
        <v>13442</v>
      </c>
      <c r="F948" t="s">
        <v>675</v>
      </c>
      <c r="G948" t="s">
        <v>16</v>
      </c>
      <c r="H948" t="s">
        <v>1477</v>
      </c>
      <c r="I948">
        <v>1.9843</v>
      </c>
      <c r="J948">
        <v>805386.8</v>
      </c>
      <c r="K948">
        <v>405879.55450284737</v>
      </c>
    </row>
    <row r="949" spans="1:11" x14ac:dyDescent="0.25">
      <c r="A949" t="s">
        <v>865</v>
      </c>
      <c r="B949" t="s">
        <v>866</v>
      </c>
      <c r="C949" s="1">
        <v>41307</v>
      </c>
      <c r="D949" s="1">
        <v>41333</v>
      </c>
      <c r="E949">
        <v>13442</v>
      </c>
      <c r="F949" t="s">
        <v>675</v>
      </c>
      <c r="G949" t="s">
        <v>16</v>
      </c>
      <c r="H949" t="s">
        <v>1478</v>
      </c>
      <c r="I949">
        <v>1.9843</v>
      </c>
      <c r="J949">
        <v>185790</v>
      </c>
      <c r="K949">
        <v>93629.995464395499</v>
      </c>
    </row>
    <row r="950" spans="1:11" x14ac:dyDescent="0.25">
      <c r="A950" t="s">
        <v>799</v>
      </c>
      <c r="B950" t="s">
        <v>800</v>
      </c>
      <c r="C950" s="1">
        <v>41325</v>
      </c>
      <c r="D950" s="1">
        <v>41333</v>
      </c>
      <c r="E950">
        <v>4856</v>
      </c>
      <c r="F950" t="s">
        <v>675</v>
      </c>
      <c r="G950" t="s">
        <v>16</v>
      </c>
      <c r="H950" t="s">
        <v>1479</v>
      </c>
      <c r="I950">
        <v>1.9597</v>
      </c>
      <c r="J950">
        <v>175508</v>
      </c>
      <c r="K950">
        <v>89558.605909067715</v>
      </c>
    </row>
    <row r="951" spans="1:11" x14ac:dyDescent="0.25">
      <c r="A951" t="s">
        <v>799</v>
      </c>
      <c r="B951" t="s">
        <v>800</v>
      </c>
      <c r="C951" s="1">
        <v>41327</v>
      </c>
      <c r="D951" s="1">
        <v>41333</v>
      </c>
      <c r="E951">
        <v>4856</v>
      </c>
      <c r="F951" t="s">
        <v>301</v>
      </c>
      <c r="G951" t="s">
        <v>16</v>
      </c>
      <c r="H951" t="s">
        <v>4953</v>
      </c>
      <c r="I951">
        <v>1.972</v>
      </c>
      <c r="J951">
        <v>41175.01</v>
      </c>
      <c r="K951">
        <v>20879.822515212982</v>
      </c>
    </row>
    <row r="952" spans="1:11" x14ac:dyDescent="0.25">
      <c r="A952" t="s">
        <v>869</v>
      </c>
      <c r="B952" t="s">
        <v>870</v>
      </c>
      <c r="C952" s="1">
        <v>41367</v>
      </c>
      <c r="D952" s="1">
        <v>41379</v>
      </c>
      <c r="E952">
        <v>13711</v>
      </c>
      <c r="F952" t="s">
        <v>331</v>
      </c>
      <c r="G952" t="s">
        <v>16</v>
      </c>
      <c r="H952" t="s">
        <v>4954</v>
      </c>
      <c r="I952">
        <v>2.0179</v>
      </c>
      <c r="J952">
        <v>29166.799999999999</v>
      </c>
      <c r="K952">
        <v>14454.036374448684</v>
      </c>
    </row>
    <row r="953" spans="1:11" x14ac:dyDescent="0.25">
      <c r="A953" t="s">
        <v>1480</v>
      </c>
      <c r="B953" t="s">
        <v>1481</v>
      </c>
      <c r="C953" s="1">
        <v>41342</v>
      </c>
      <c r="D953" s="1">
        <v>41351</v>
      </c>
      <c r="E953">
        <v>13993</v>
      </c>
      <c r="F953" t="s">
        <v>331</v>
      </c>
      <c r="G953" t="s">
        <v>16</v>
      </c>
      <c r="H953" t="s">
        <v>1482</v>
      </c>
      <c r="I953">
        <v>1.9528000000000001</v>
      </c>
      <c r="J953">
        <v>44464.75</v>
      </c>
      <c r="K953">
        <v>22769.740884883246</v>
      </c>
    </row>
    <row r="954" spans="1:11" x14ac:dyDescent="0.25">
      <c r="A954" t="s">
        <v>1480</v>
      </c>
      <c r="B954" t="s">
        <v>1481</v>
      </c>
      <c r="C954" s="1">
        <v>41354</v>
      </c>
      <c r="D954" s="1">
        <v>41360</v>
      </c>
      <c r="E954">
        <v>13993</v>
      </c>
      <c r="F954" t="s">
        <v>331</v>
      </c>
      <c r="G954" t="s">
        <v>16</v>
      </c>
      <c r="H954" t="s">
        <v>4955</v>
      </c>
      <c r="I954">
        <v>1.9867999999999999</v>
      </c>
      <c r="J954">
        <v>43263</v>
      </c>
      <c r="K954">
        <v>21775.216428427622</v>
      </c>
    </row>
    <row r="955" spans="1:11" x14ac:dyDescent="0.25">
      <c r="A955" t="s">
        <v>1483</v>
      </c>
      <c r="B955" t="s">
        <v>1484</v>
      </c>
      <c r="C955" s="1">
        <v>41368</v>
      </c>
      <c r="D955" s="1">
        <v>41370</v>
      </c>
      <c r="E955">
        <v>14662</v>
      </c>
      <c r="F955" t="s">
        <v>887</v>
      </c>
      <c r="G955" t="s">
        <v>16</v>
      </c>
      <c r="H955" t="s">
        <v>1485</v>
      </c>
      <c r="I955">
        <v>2.0238999999999998</v>
      </c>
      <c r="J955">
        <v>41467.85</v>
      </c>
      <c r="K955">
        <v>20489.080488166412</v>
      </c>
    </row>
    <row r="956" spans="1:11" x14ac:dyDescent="0.25">
      <c r="A956" t="s">
        <v>848</v>
      </c>
      <c r="B956" t="s">
        <v>849</v>
      </c>
      <c r="C956" s="1">
        <v>41332</v>
      </c>
      <c r="D956" s="1">
        <v>41339</v>
      </c>
      <c r="E956">
        <v>11834</v>
      </c>
      <c r="F956" t="s">
        <v>331</v>
      </c>
      <c r="G956" t="s">
        <v>16</v>
      </c>
      <c r="H956" t="s">
        <v>4956</v>
      </c>
      <c r="I956">
        <v>1.9818</v>
      </c>
      <c r="J956">
        <v>49689.120000000003</v>
      </c>
      <c r="K956">
        <v>25072.721768089614</v>
      </c>
    </row>
    <row r="957" spans="1:11" x14ac:dyDescent="0.25">
      <c r="A957" t="s">
        <v>848</v>
      </c>
      <c r="B957" t="s">
        <v>849</v>
      </c>
      <c r="C957" s="1">
        <v>41333</v>
      </c>
      <c r="D957" s="1">
        <v>41339</v>
      </c>
      <c r="E957">
        <v>11834</v>
      </c>
      <c r="F957" t="s">
        <v>331</v>
      </c>
      <c r="G957" t="s">
        <v>16</v>
      </c>
      <c r="H957" t="s">
        <v>4957</v>
      </c>
      <c r="I957">
        <v>1.9806999999999999</v>
      </c>
      <c r="J957">
        <v>37697.64</v>
      </c>
      <c r="K957">
        <v>19032.48346544151</v>
      </c>
    </row>
    <row r="958" spans="1:11" x14ac:dyDescent="0.25">
      <c r="A958" t="s">
        <v>848</v>
      </c>
      <c r="B958" t="s">
        <v>849</v>
      </c>
      <c r="C958" s="1">
        <v>41331</v>
      </c>
      <c r="D958" s="1">
        <v>41339</v>
      </c>
      <c r="E958">
        <v>11834</v>
      </c>
      <c r="F958" t="s">
        <v>331</v>
      </c>
      <c r="G958" t="s">
        <v>16</v>
      </c>
      <c r="H958" t="s">
        <v>1486</v>
      </c>
      <c r="I958">
        <v>1.9676</v>
      </c>
      <c r="J958">
        <v>32507.759999999998</v>
      </c>
      <c r="K958">
        <v>16521.528766009353</v>
      </c>
    </row>
    <row r="959" spans="1:11" x14ac:dyDescent="0.25">
      <c r="A959" t="s">
        <v>848</v>
      </c>
      <c r="B959" t="s">
        <v>849</v>
      </c>
      <c r="C959" s="1">
        <v>41331</v>
      </c>
      <c r="D959" s="1">
        <v>41339</v>
      </c>
      <c r="E959">
        <v>11834</v>
      </c>
      <c r="F959" t="s">
        <v>331</v>
      </c>
      <c r="G959" t="s">
        <v>16</v>
      </c>
      <c r="H959" t="s">
        <v>4958</v>
      </c>
      <c r="I959">
        <v>1.9676</v>
      </c>
      <c r="J959">
        <v>50175.68</v>
      </c>
      <c r="K959">
        <v>25500.955478755845</v>
      </c>
    </row>
    <row r="960" spans="1:11" x14ac:dyDescent="0.25">
      <c r="A960" t="s">
        <v>848</v>
      </c>
      <c r="B960" t="s">
        <v>849</v>
      </c>
      <c r="C960" s="1">
        <v>41331</v>
      </c>
      <c r="D960" s="1">
        <v>41339</v>
      </c>
      <c r="E960">
        <v>11834</v>
      </c>
      <c r="F960" t="s">
        <v>331</v>
      </c>
      <c r="G960" t="s">
        <v>16</v>
      </c>
      <c r="H960" t="s">
        <v>4959</v>
      </c>
      <c r="I960">
        <v>1.9676</v>
      </c>
      <c r="J960">
        <v>50135.13</v>
      </c>
      <c r="K960">
        <v>25480.346615165683</v>
      </c>
    </row>
    <row r="961" spans="1:11" x14ac:dyDescent="0.25">
      <c r="A961" t="s">
        <v>799</v>
      </c>
      <c r="B961" t="s">
        <v>800</v>
      </c>
      <c r="C961" s="1">
        <v>41352</v>
      </c>
      <c r="D961" s="1">
        <v>41355</v>
      </c>
      <c r="E961">
        <v>4856</v>
      </c>
      <c r="F961" t="s">
        <v>301</v>
      </c>
      <c r="G961" t="s">
        <v>16</v>
      </c>
      <c r="H961" t="s">
        <v>4960</v>
      </c>
      <c r="I961">
        <v>1.9871000000000001</v>
      </c>
      <c r="J961">
        <v>41489.99</v>
      </c>
      <c r="K961">
        <v>20879.66886417392</v>
      </c>
    </row>
    <row r="962" spans="1:11" x14ac:dyDescent="0.25">
      <c r="A962" t="s">
        <v>1487</v>
      </c>
      <c r="B962" t="s">
        <v>297</v>
      </c>
      <c r="C962" s="1">
        <v>41346</v>
      </c>
      <c r="D962" s="1">
        <v>41355</v>
      </c>
      <c r="E962">
        <v>13838</v>
      </c>
      <c r="F962" t="s">
        <v>311</v>
      </c>
      <c r="G962" t="s">
        <v>16</v>
      </c>
      <c r="H962" t="s">
        <v>1488</v>
      </c>
      <c r="I962">
        <v>1.9584999999999999</v>
      </c>
      <c r="J962">
        <v>111991.88</v>
      </c>
      <c r="K962">
        <v>57182.476384988513</v>
      </c>
    </row>
    <row r="963" spans="1:11" x14ac:dyDescent="0.25">
      <c r="A963" t="s">
        <v>4961</v>
      </c>
      <c r="B963" t="s">
        <v>4962</v>
      </c>
      <c r="C963" s="1">
        <v>41304</v>
      </c>
      <c r="D963" s="1">
        <v>41333</v>
      </c>
      <c r="E963">
        <v>13444</v>
      </c>
      <c r="F963" t="s">
        <v>301</v>
      </c>
      <c r="G963" t="s">
        <v>16</v>
      </c>
      <c r="H963" t="s">
        <v>4963</v>
      </c>
      <c r="I963">
        <v>1.9912000000000001</v>
      </c>
      <c r="J963">
        <v>3697.2</v>
      </c>
      <c r="K963">
        <v>1856.7697870630775</v>
      </c>
    </row>
    <row r="964" spans="1:11" x14ac:dyDescent="0.25">
      <c r="A964" t="s">
        <v>799</v>
      </c>
      <c r="B964" t="s">
        <v>800</v>
      </c>
      <c r="C964" s="1">
        <v>41359</v>
      </c>
      <c r="D964" s="1">
        <v>41365</v>
      </c>
      <c r="E964">
        <v>4856</v>
      </c>
      <c r="F964" t="s">
        <v>301</v>
      </c>
      <c r="G964" t="s">
        <v>16</v>
      </c>
      <c r="H964" t="s">
        <v>1489</v>
      </c>
      <c r="I964">
        <v>2.0139999999999998</v>
      </c>
      <c r="J964">
        <v>42030</v>
      </c>
      <c r="K964">
        <v>20868.91757696127</v>
      </c>
    </row>
    <row r="965" spans="1:11" x14ac:dyDescent="0.25">
      <c r="A965" t="s">
        <v>1490</v>
      </c>
      <c r="B965" t="s">
        <v>1491</v>
      </c>
      <c r="C965" s="1">
        <v>41339</v>
      </c>
      <c r="D965" s="1">
        <v>41348</v>
      </c>
      <c r="E965">
        <v>13475</v>
      </c>
      <c r="F965" t="s">
        <v>338</v>
      </c>
      <c r="G965" t="s">
        <v>16</v>
      </c>
      <c r="H965" t="s">
        <v>1492</v>
      </c>
      <c r="I965">
        <v>1.9693000000000001</v>
      </c>
      <c r="J965">
        <v>16513.2</v>
      </c>
      <c r="K965">
        <v>8385.3145787843405</v>
      </c>
    </row>
    <row r="966" spans="1:11" x14ac:dyDescent="0.25">
      <c r="A966" t="s">
        <v>848</v>
      </c>
      <c r="B966" t="s">
        <v>849</v>
      </c>
      <c r="C966" s="1">
        <v>41332</v>
      </c>
      <c r="D966" s="1">
        <v>41342</v>
      </c>
      <c r="E966">
        <v>11834</v>
      </c>
      <c r="F966" t="s">
        <v>331</v>
      </c>
      <c r="G966" t="s">
        <v>16</v>
      </c>
      <c r="H966" t="s">
        <v>1493</v>
      </c>
      <c r="I966">
        <v>1.9818</v>
      </c>
      <c r="J966">
        <v>50246.63</v>
      </c>
      <c r="K966">
        <v>25354.036734281966</v>
      </c>
    </row>
    <row r="967" spans="1:11" x14ac:dyDescent="0.25">
      <c r="A967" t="s">
        <v>1480</v>
      </c>
      <c r="B967" t="s">
        <v>1481</v>
      </c>
      <c r="C967" s="1">
        <v>41347</v>
      </c>
      <c r="D967" s="1">
        <v>41352</v>
      </c>
      <c r="E967">
        <v>13993</v>
      </c>
      <c r="F967" t="s">
        <v>331</v>
      </c>
      <c r="G967" t="s">
        <v>16</v>
      </c>
      <c r="H967" t="s">
        <v>1494</v>
      </c>
      <c r="I967">
        <v>1.9619</v>
      </c>
      <c r="J967">
        <v>44481.57</v>
      </c>
      <c r="K967">
        <v>22672.699933737702</v>
      </c>
    </row>
    <row r="968" spans="1:11" x14ac:dyDescent="0.25">
      <c r="A968" t="s">
        <v>1480</v>
      </c>
      <c r="B968" t="s">
        <v>1481</v>
      </c>
      <c r="C968" s="1">
        <v>41348</v>
      </c>
      <c r="D968" s="1">
        <v>41352</v>
      </c>
      <c r="E968">
        <v>13993</v>
      </c>
      <c r="F968" t="s">
        <v>331</v>
      </c>
      <c r="G968" t="s">
        <v>16</v>
      </c>
      <c r="H968" t="s">
        <v>4964</v>
      </c>
      <c r="I968">
        <v>1.9676</v>
      </c>
      <c r="J968">
        <v>58578.1</v>
      </c>
      <c r="K968">
        <v>29771.345801992276</v>
      </c>
    </row>
    <row r="969" spans="1:11" x14ac:dyDescent="0.25">
      <c r="A969" t="s">
        <v>1495</v>
      </c>
      <c r="B969" t="s">
        <v>1496</v>
      </c>
      <c r="C969" s="1">
        <v>41340</v>
      </c>
      <c r="D969" s="1">
        <v>41348</v>
      </c>
      <c r="E969">
        <v>13834</v>
      </c>
      <c r="F969" t="s">
        <v>331</v>
      </c>
      <c r="G969" t="s">
        <v>16</v>
      </c>
      <c r="H969" t="s">
        <v>1497</v>
      </c>
      <c r="I969">
        <v>1.9673</v>
      </c>
      <c r="J969">
        <v>40163.199999999997</v>
      </c>
      <c r="K969">
        <v>20415.391653535302</v>
      </c>
    </row>
    <row r="970" spans="1:11" x14ac:dyDescent="0.25">
      <c r="A970" t="s">
        <v>799</v>
      </c>
      <c r="B970" t="s">
        <v>800</v>
      </c>
      <c r="C970" s="1">
        <v>41352</v>
      </c>
      <c r="D970" s="1">
        <v>41356</v>
      </c>
      <c r="E970">
        <v>4856</v>
      </c>
      <c r="F970" t="s">
        <v>301</v>
      </c>
      <c r="G970" t="s">
        <v>16</v>
      </c>
      <c r="H970" t="s">
        <v>4965</v>
      </c>
      <c r="I970">
        <v>1.9871000000000001</v>
      </c>
      <c r="J970">
        <v>21021.59</v>
      </c>
      <c r="K970">
        <v>10579.029741834835</v>
      </c>
    </row>
    <row r="971" spans="1:11" x14ac:dyDescent="0.25">
      <c r="A971" t="s">
        <v>1495</v>
      </c>
      <c r="B971" t="s">
        <v>1496</v>
      </c>
      <c r="C971" s="1">
        <v>41339</v>
      </c>
      <c r="D971" s="1">
        <v>41347</v>
      </c>
      <c r="E971">
        <v>13834</v>
      </c>
      <c r="F971" t="s">
        <v>331</v>
      </c>
      <c r="G971" t="s">
        <v>16</v>
      </c>
      <c r="H971" t="s">
        <v>4966</v>
      </c>
      <c r="I971">
        <v>1.9693000000000001</v>
      </c>
      <c r="J971">
        <v>39039</v>
      </c>
      <c r="K971">
        <v>19823.795257197988</v>
      </c>
    </row>
    <row r="972" spans="1:11" x14ac:dyDescent="0.25">
      <c r="A972" t="s">
        <v>872</v>
      </c>
      <c r="B972" t="s">
        <v>873</v>
      </c>
      <c r="C972" s="1">
        <v>41416</v>
      </c>
      <c r="D972" s="1">
        <v>41418</v>
      </c>
      <c r="E972">
        <v>4</v>
      </c>
      <c r="F972" t="s">
        <v>309</v>
      </c>
      <c r="G972" t="s">
        <v>16</v>
      </c>
      <c r="H972" t="s">
        <v>4967</v>
      </c>
      <c r="I972">
        <v>2.0402</v>
      </c>
      <c r="J972">
        <v>50240.45</v>
      </c>
      <c r="K972">
        <v>24625.25732771297</v>
      </c>
    </row>
    <row r="973" spans="1:11" x14ac:dyDescent="0.25">
      <c r="A973" t="s">
        <v>872</v>
      </c>
      <c r="B973" t="s">
        <v>873</v>
      </c>
      <c r="C973" s="1">
        <v>41416</v>
      </c>
      <c r="D973" s="1">
        <v>41418</v>
      </c>
      <c r="E973">
        <v>4</v>
      </c>
      <c r="F973" t="s">
        <v>309</v>
      </c>
      <c r="G973" t="s">
        <v>16</v>
      </c>
      <c r="H973" t="s">
        <v>1498</v>
      </c>
      <c r="I973">
        <v>2.0402</v>
      </c>
      <c r="J973">
        <v>50240.45</v>
      </c>
      <c r="K973">
        <v>24625.25732771297</v>
      </c>
    </row>
    <row r="974" spans="1:11" x14ac:dyDescent="0.25">
      <c r="A974" t="s">
        <v>1483</v>
      </c>
      <c r="B974" t="s">
        <v>1484</v>
      </c>
      <c r="C974" s="1">
        <v>41374</v>
      </c>
      <c r="D974" s="1">
        <v>41380</v>
      </c>
      <c r="E974">
        <v>14662</v>
      </c>
      <c r="F974" t="s">
        <v>887</v>
      </c>
      <c r="G974" t="s">
        <v>16</v>
      </c>
      <c r="H974" t="s">
        <v>4968</v>
      </c>
      <c r="I974">
        <v>1.9861</v>
      </c>
      <c r="J974">
        <v>45402.75</v>
      </c>
      <c r="K974">
        <v>22860.25376365742</v>
      </c>
    </row>
    <row r="975" spans="1:11" x14ac:dyDescent="0.25">
      <c r="A975" t="s">
        <v>1483</v>
      </c>
      <c r="B975" t="s">
        <v>1484</v>
      </c>
      <c r="C975" s="1">
        <v>41374</v>
      </c>
      <c r="D975" s="1">
        <v>41380</v>
      </c>
      <c r="E975">
        <v>14662</v>
      </c>
      <c r="F975" t="s">
        <v>887</v>
      </c>
      <c r="G975" t="s">
        <v>16</v>
      </c>
      <c r="H975" t="s">
        <v>4969</v>
      </c>
      <c r="I975">
        <v>1.9861</v>
      </c>
      <c r="J975">
        <v>46663.94</v>
      </c>
      <c r="K975">
        <v>23495.262071396202</v>
      </c>
    </row>
    <row r="976" spans="1:11" x14ac:dyDescent="0.25">
      <c r="A976" t="s">
        <v>875</v>
      </c>
      <c r="B976" t="s">
        <v>876</v>
      </c>
      <c r="C976" s="1">
        <v>41443</v>
      </c>
      <c r="D976" s="1">
        <v>41453</v>
      </c>
      <c r="E976">
        <v>8</v>
      </c>
      <c r="F976" t="s">
        <v>309</v>
      </c>
      <c r="G976" t="s">
        <v>16</v>
      </c>
      <c r="H976" t="s">
        <v>1499</v>
      </c>
      <c r="I976">
        <v>2.1537999999999999</v>
      </c>
      <c r="J976">
        <v>41925</v>
      </c>
      <c r="K976">
        <v>19465.595691336242</v>
      </c>
    </row>
    <row r="977" spans="1:11" x14ac:dyDescent="0.25">
      <c r="A977" t="s">
        <v>875</v>
      </c>
      <c r="B977" t="s">
        <v>876</v>
      </c>
      <c r="C977" s="1">
        <v>41444</v>
      </c>
      <c r="D977" s="1">
        <v>41452</v>
      </c>
      <c r="E977">
        <v>8</v>
      </c>
      <c r="F977" t="s">
        <v>309</v>
      </c>
      <c r="G977" t="s">
        <v>16</v>
      </c>
      <c r="H977" t="s">
        <v>1500</v>
      </c>
      <c r="I977">
        <v>2.1705999999999999</v>
      </c>
      <c r="J977">
        <v>31066.43</v>
      </c>
      <c r="K977">
        <v>14312.369851653921</v>
      </c>
    </row>
    <row r="978" spans="1:11" x14ac:dyDescent="0.25">
      <c r="A978" t="s">
        <v>875</v>
      </c>
      <c r="B978" t="s">
        <v>876</v>
      </c>
      <c r="C978" s="1">
        <v>41449</v>
      </c>
      <c r="D978" s="1">
        <v>41452</v>
      </c>
      <c r="E978">
        <v>8</v>
      </c>
      <c r="F978" t="s">
        <v>309</v>
      </c>
      <c r="G978" t="s">
        <v>16</v>
      </c>
      <c r="H978" t="s">
        <v>1501</v>
      </c>
      <c r="I978">
        <v>2.2648000000000001</v>
      </c>
      <c r="J978">
        <v>26605.61</v>
      </c>
      <c r="K978">
        <v>11747.443482868244</v>
      </c>
    </row>
    <row r="979" spans="1:11" x14ac:dyDescent="0.25">
      <c r="A979" t="s">
        <v>875</v>
      </c>
      <c r="B979" t="s">
        <v>876</v>
      </c>
      <c r="C979" s="1">
        <v>41447</v>
      </c>
      <c r="D979" s="1">
        <v>41454</v>
      </c>
      <c r="E979">
        <v>8</v>
      </c>
      <c r="F979" t="s">
        <v>309</v>
      </c>
      <c r="G979" t="s">
        <v>16</v>
      </c>
      <c r="H979" t="s">
        <v>4970</v>
      </c>
      <c r="I979">
        <v>2.2648000000000001</v>
      </c>
      <c r="J979">
        <v>31552.76</v>
      </c>
      <c r="K979">
        <v>13931.808548216179</v>
      </c>
    </row>
    <row r="980" spans="1:11" x14ac:dyDescent="0.25">
      <c r="A980" t="s">
        <v>875</v>
      </c>
      <c r="B980" t="s">
        <v>876</v>
      </c>
      <c r="C980" s="1">
        <v>41450</v>
      </c>
      <c r="D980" s="1">
        <v>41454</v>
      </c>
      <c r="E980">
        <v>8</v>
      </c>
      <c r="F980" t="s">
        <v>309</v>
      </c>
      <c r="G980" t="s">
        <v>16</v>
      </c>
      <c r="H980" t="s">
        <v>1502</v>
      </c>
      <c r="I980">
        <v>2.2515000000000001</v>
      </c>
      <c r="J980">
        <v>31334.75</v>
      </c>
      <c r="K980">
        <v>13917.277370641794</v>
      </c>
    </row>
    <row r="981" spans="1:11" x14ac:dyDescent="0.25">
      <c r="A981" t="s">
        <v>875</v>
      </c>
      <c r="B981" t="s">
        <v>876</v>
      </c>
      <c r="C981" s="1">
        <v>41444</v>
      </c>
      <c r="D981" s="1">
        <v>41449</v>
      </c>
      <c r="E981">
        <v>8</v>
      </c>
      <c r="F981" t="s">
        <v>309</v>
      </c>
      <c r="G981" t="s">
        <v>16</v>
      </c>
      <c r="H981" t="s">
        <v>1503</v>
      </c>
      <c r="I981">
        <v>2.1705999999999999</v>
      </c>
      <c r="J981">
        <v>41925</v>
      </c>
      <c r="K981">
        <v>19314.935962406707</v>
      </c>
    </row>
    <row r="982" spans="1:11" x14ac:dyDescent="0.25">
      <c r="A982" t="s">
        <v>4971</v>
      </c>
      <c r="B982" t="s">
        <v>4972</v>
      </c>
      <c r="C982" s="1">
        <v>41151</v>
      </c>
      <c r="D982" s="1">
        <v>41450</v>
      </c>
      <c r="E982">
        <v>61</v>
      </c>
      <c r="F982" t="s">
        <v>318</v>
      </c>
      <c r="G982" t="s">
        <v>16</v>
      </c>
      <c r="H982" t="s">
        <v>4973</v>
      </c>
      <c r="I982">
        <v>2.0508999999999999</v>
      </c>
      <c r="J982">
        <v>32743.89</v>
      </c>
      <c r="K982">
        <v>15965.619971719732</v>
      </c>
    </row>
    <row r="983" spans="1:11" x14ac:dyDescent="0.25">
      <c r="A983" t="s">
        <v>875</v>
      </c>
      <c r="B983" t="s">
        <v>876</v>
      </c>
      <c r="C983" s="1">
        <v>41444</v>
      </c>
      <c r="D983" s="1">
        <v>41449</v>
      </c>
      <c r="E983">
        <v>8</v>
      </c>
      <c r="F983" t="s">
        <v>309</v>
      </c>
      <c r="G983" t="s">
        <v>16</v>
      </c>
      <c r="H983" t="s">
        <v>4974</v>
      </c>
      <c r="I983">
        <v>2.1705999999999999</v>
      </c>
      <c r="J983">
        <v>41925</v>
      </c>
      <c r="K983">
        <v>19314.935962406707</v>
      </c>
    </row>
    <row r="984" spans="1:11" x14ac:dyDescent="0.25">
      <c r="A984" t="s">
        <v>875</v>
      </c>
      <c r="B984" t="s">
        <v>876</v>
      </c>
      <c r="C984" s="1">
        <v>41439</v>
      </c>
      <c r="D984" s="1">
        <v>41446</v>
      </c>
      <c r="E984">
        <v>8</v>
      </c>
      <c r="F984" t="s">
        <v>309</v>
      </c>
      <c r="G984" t="s">
        <v>16</v>
      </c>
      <c r="H984" t="s">
        <v>1504</v>
      </c>
      <c r="I984">
        <v>2.1446999999999998</v>
      </c>
      <c r="J984">
        <v>27050.01</v>
      </c>
      <c r="K984">
        <v>12612.491257518534</v>
      </c>
    </row>
    <row r="985" spans="1:11" x14ac:dyDescent="0.25">
      <c r="A985" t="s">
        <v>875</v>
      </c>
      <c r="B985" t="s">
        <v>876</v>
      </c>
      <c r="C985" s="1">
        <v>41443</v>
      </c>
      <c r="D985" s="1">
        <v>41446</v>
      </c>
      <c r="E985">
        <v>8</v>
      </c>
      <c r="F985" t="s">
        <v>309</v>
      </c>
      <c r="G985" t="s">
        <v>16</v>
      </c>
      <c r="H985" t="s">
        <v>1505</v>
      </c>
      <c r="I985">
        <v>2.1537999999999999</v>
      </c>
      <c r="J985">
        <v>41983.7</v>
      </c>
      <c r="K985">
        <v>19492.849846782432</v>
      </c>
    </row>
    <row r="986" spans="1:11" x14ac:dyDescent="0.25">
      <c r="A986" t="s">
        <v>875</v>
      </c>
      <c r="B986" t="s">
        <v>876</v>
      </c>
      <c r="C986" s="1">
        <v>41445</v>
      </c>
      <c r="D986" s="1">
        <v>41451</v>
      </c>
      <c r="E986">
        <v>8</v>
      </c>
      <c r="F986" t="s">
        <v>309</v>
      </c>
      <c r="G986" t="s">
        <v>16</v>
      </c>
      <c r="H986" t="s">
        <v>4975</v>
      </c>
      <c r="I986">
        <v>2.1743999999999999</v>
      </c>
      <c r="J986">
        <v>27226.1</v>
      </c>
      <c r="K986">
        <v>12521.201250919794</v>
      </c>
    </row>
    <row r="987" spans="1:11" x14ac:dyDescent="0.25">
      <c r="A987" t="s">
        <v>875</v>
      </c>
      <c r="B987" t="s">
        <v>876</v>
      </c>
      <c r="C987" s="1">
        <v>41446</v>
      </c>
      <c r="D987" s="1">
        <v>41451</v>
      </c>
      <c r="E987">
        <v>8</v>
      </c>
      <c r="F987" t="s">
        <v>309</v>
      </c>
      <c r="G987" t="s">
        <v>16</v>
      </c>
      <c r="H987" t="s">
        <v>1506</v>
      </c>
      <c r="I987">
        <v>2.2523</v>
      </c>
      <c r="J987">
        <v>31552.76</v>
      </c>
      <c r="K987">
        <v>14009.128446476934</v>
      </c>
    </row>
    <row r="988" spans="1:11" x14ac:dyDescent="0.25">
      <c r="A988" t="s">
        <v>875</v>
      </c>
      <c r="B988" t="s">
        <v>876</v>
      </c>
      <c r="C988" s="1">
        <v>41439</v>
      </c>
      <c r="D988" s="1">
        <v>41451</v>
      </c>
      <c r="E988">
        <v>8</v>
      </c>
      <c r="F988" t="s">
        <v>309</v>
      </c>
      <c r="G988" t="s">
        <v>16</v>
      </c>
      <c r="H988" t="s">
        <v>4976</v>
      </c>
      <c r="I988">
        <v>2.1446999999999998</v>
      </c>
      <c r="J988">
        <v>41925</v>
      </c>
      <c r="K988">
        <v>19548.188557840258</v>
      </c>
    </row>
    <row r="989" spans="1:11" x14ac:dyDescent="0.25">
      <c r="A989" t="s">
        <v>875</v>
      </c>
      <c r="B989" t="s">
        <v>876</v>
      </c>
      <c r="C989" s="1">
        <v>41439</v>
      </c>
      <c r="D989" s="1">
        <v>41444</v>
      </c>
      <c r="E989">
        <v>8</v>
      </c>
      <c r="F989" t="s">
        <v>309</v>
      </c>
      <c r="G989" t="s">
        <v>16</v>
      </c>
      <c r="H989" t="s">
        <v>4977</v>
      </c>
      <c r="I989">
        <v>2.1446999999999998</v>
      </c>
      <c r="J989">
        <v>26832</v>
      </c>
      <c r="K989">
        <v>12510.840677017764</v>
      </c>
    </row>
    <row r="990" spans="1:11" x14ac:dyDescent="0.25">
      <c r="A990" t="s">
        <v>875</v>
      </c>
      <c r="B990" t="s">
        <v>876</v>
      </c>
      <c r="C990" s="1">
        <v>41438</v>
      </c>
      <c r="D990" s="1">
        <v>41444</v>
      </c>
      <c r="E990">
        <v>8</v>
      </c>
      <c r="F990" t="s">
        <v>309</v>
      </c>
      <c r="G990" t="s">
        <v>16</v>
      </c>
      <c r="H990" t="s">
        <v>1507</v>
      </c>
      <c r="I990">
        <v>2.1419999999999999</v>
      </c>
      <c r="J990">
        <v>31502.45</v>
      </c>
      <c r="K990">
        <v>14707.02614379085</v>
      </c>
    </row>
    <row r="991" spans="1:11" x14ac:dyDescent="0.25">
      <c r="A991" t="s">
        <v>2468</v>
      </c>
      <c r="B991" t="s">
        <v>2469</v>
      </c>
      <c r="C991" s="1">
        <v>41259</v>
      </c>
      <c r="D991" s="1">
        <v>41426</v>
      </c>
      <c r="E991">
        <v>62</v>
      </c>
      <c r="F991" t="s">
        <v>301</v>
      </c>
      <c r="G991" t="s">
        <v>16</v>
      </c>
      <c r="H991" t="s">
        <v>4978</v>
      </c>
      <c r="I991">
        <v>2.0840000000000001</v>
      </c>
      <c r="J991">
        <v>5668</v>
      </c>
      <c r="K991">
        <v>2719.7696737044148</v>
      </c>
    </row>
    <row r="992" spans="1:11" x14ac:dyDescent="0.25">
      <c r="A992" t="s">
        <v>875</v>
      </c>
      <c r="B992" t="s">
        <v>876</v>
      </c>
      <c r="C992" s="1">
        <v>41453</v>
      </c>
      <c r="D992" s="1">
        <v>41464</v>
      </c>
      <c r="E992">
        <v>8</v>
      </c>
      <c r="F992" t="s">
        <v>309</v>
      </c>
      <c r="G992" t="s">
        <v>16</v>
      </c>
      <c r="H992" t="s">
        <v>4979</v>
      </c>
      <c r="I992">
        <v>2.1846000000000001</v>
      </c>
      <c r="J992">
        <v>41925</v>
      </c>
      <c r="K992">
        <v>19191.156275748421</v>
      </c>
    </row>
    <row r="993" spans="1:11" x14ac:dyDescent="0.25">
      <c r="A993" t="s">
        <v>875</v>
      </c>
      <c r="B993" t="s">
        <v>876</v>
      </c>
      <c r="C993" s="1">
        <v>41453</v>
      </c>
      <c r="D993" s="1">
        <v>41462</v>
      </c>
      <c r="E993">
        <v>8</v>
      </c>
      <c r="F993" t="s">
        <v>309</v>
      </c>
      <c r="G993" t="s">
        <v>16</v>
      </c>
      <c r="H993" t="s">
        <v>1508</v>
      </c>
      <c r="I993">
        <v>2.1846000000000001</v>
      </c>
      <c r="J993">
        <v>41925</v>
      </c>
      <c r="K993">
        <v>19191.156275748421</v>
      </c>
    </row>
    <row r="994" spans="1:11" x14ac:dyDescent="0.25">
      <c r="A994" t="s">
        <v>875</v>
      </c>
      <c r="B994" t="s">
        <v>876</v>
      </c>
      <c r="C994" s="1">
        <v>41451</v>
      </c>
      <c r="D994" s="1">
        <v>41462</v>
      </c>
      <c r="E994">
        <v>8</v>
      </c>
      <c r="F994" t="s">
        <v>309</v>
      </c>
      <c r="G994" t="s">
        <v>16</v>
      </c>
      <c r="H994" t="s">
        <v>4980</v>
      </c>
      <c r="I994">
        <v>2.2185000000000001</v>
      </c>
      <c r="J994">
        <v>31024.5</v>
      </c>
      <c r="K994">
        <v>13984.448951994591</v>
      </c>
    </row>
    <row r="995" spans="1:11" x14ac:dyDescent="0.25">
      <c r="A995" t="s">
        <v>875</v>
      </c>
      <c r="B995" t="s">
        <v>876</v>
      </c>
      <c r="C995" s="1">
        <v>41452</v>
      </c>
      <c r="D995" s="1">
        <v>41460</v>
      </c>
      <c r="E995">
        <v>8</v>
      </c>
      <c r="F995" t="s">
        <v>309</v>
      </c>
      <c r="G995" t="s">
        <v>16</v>
      </c>
      <c r="H995" t="s">
        <v>1509</v>
      </c>
      <c r="I995">
        <v>2.1974999999999998</v>
      </c>
      <c r="J995">
        <v>31091.58</v>
      </c>
      <c r="K995">
        <v>14148.614334470989</v>
      </c>
    </row>
    <row r="996" spans="1:11" x14ac:dyDescent="0.25">
      <c r="A996" t="s">
        <v>875</v>
      </c>
      <c r="B996" t="s">
        <v>876</v>
      </c>
      <c r="C996" s="1">
        <v>41450</v>
      </c>
      <c r="D996" s="1">
        <v>41457</v>
      </c>
      <c r="E996">
        <v>8</v>
      </c>
      <c r="F996" t="s">
        <v>309</v>
      </c>
      <c r="G996" t="s">
        <v>16</v>
      </c>
      <c r="H996" t="s">
        <v>4981</v>
      </c>
      <c r="I996">
        <v>2.2515000000000001</v>
      </c>
      <c r="J996">
        <v>25465.25</v>
      </c>
      <c r="K996">
        <v>11310.348656451255</v>
      </c>
    </row>
    <row r="997" spans="1:11" x14ac:dyDescent="0.25">
      <c r="A997" t="s">
        <v>875</v>
      </c>
      <c r="B997" t="s">
        <v>876</v>
      </c>
      <c r="C997" s="1">
        <v>41447</v>
      </c>
      <c r="D997" s="1">
        <v>41457</v>
      </c>
      <c r="E997">
        <v>8</v>
      </c>
      <c r="F997" t="s">
        <v>309</v>
      </c>
      <c r="G997" t="s">
        <v>16</v>
      </c>
      <c r="H997" t="s">
        <v>4982</v>
      </c>
      <c r="I997">
        <v>2.2648000000000001</v>
      </c>
      <c r="J997">
        <v>31024.5</v>
      </c>
      <c r="K997">
        <v>13698.5605793006</v>
      </c>
    </row>
    <row r="998" spans="1:11" x14ac:dyDescent="0.25">
      <c r="A998" t="s">
        <v>875</v>
      </c>
      <c r="B998" t="s">
        <v>876</v>
      </c>
      <c r="C998" s="1">
        <v>41450</v>
      </c>
      <c r="D998" s="1">
        <v>41456</v>
      </c>
      <c r="E998">
        <v>8</v>
      </c>
      <c r="F998" t="s">
        <v>309</v>
      </c>
      <c r="G998" t="s">
        <v>16</v>
      </c>
      <c r="H998" t="s">
        <v>4983</v>
      </c>
      <c r="I998">
        <v>2.2515000000000001</v>
      </c>
      <c r="J998">
        <v>31024.5</v>
      </c>
      <c r="K998">
        <v>13779.48034643571</v>
      </c>
    </row>
    <row r="999" spans="1:11" x14ac:dyDescent="0.25">
      <c r="A999" t="s">
        <v>2916</v>
      </c>
      <c r="B999" t="s">
        <v>2917</v>
      </c>
      <c r="C999" s="1">
        <v>41447</v>
      </c>
      <c r="D999" s="1">
        <v>41465</v>
      </c>
      <c r="E999">
        <v>160</v>
      </c>
      <c r="F999" t="s">
        <v>311</v>
      </c>
      <c r="G999" t="s">
        <v>16</v>
      </c>
      <c r="H999" t="s">
        <v>4984</v>
      </c>
      <c r="I999">
        <v>2.2648000000000001</v>
      </c>
      <c r="J999">
        <v>893361.98</v>
      </c>
      <c r="K999">
        <v>394455.13069586718</v>
      </c>
    </row>
    <row r="1000" spans="1:11" x14ac:dyDescent="0.25">
      <c r="A1000" t="s">
        <v>1510</v>
      </c>
      <c r="B1000" t="s">
        <v>1511</v>
      </c>
      <c r="C1000" s="1">
        <v>41499</v>
      </c>
      <c r="D1000" s="1">
        <v>41507</v>
      </c>
      <c r="E1000">
        <v>283</v>
      </c>
      <c r="F1000" t="s">
        <v>311</v>
      </c>
      <c r="G1000" t="s">
        <v>16</v>
      </c>
      <c r="H1000" t="s">
        <v>4985</v>
      </c>
      <c r="I1000">
        <v>2.2722000000000002</v>
      </c>
      <c r="J1000">
        <v>215256.82</v>
      </c>
      <c r="K1000">
        <v>94734.979315201126</v>
      </c>
    </row>
    <row r="1001" spans="1:11" x14ac:dyDescent="0.25">
      <c r="A1001" t="s">
        <v>2926</v>
      </c>
      <c r="B1001" t="s">
        <v>144</v>
      </c>
      <c r="C1001" s="1">
        <v>41508</v>
      </c>
      <c r="D1001" s="1">
        <v>41514</v>
      </c>
      <c r="E1001">
        <v>1</v>
      </c>
      <c r="F1001" t="s">
        <v>642</v>
      </c>
      <c r="G1001" t="s">
        <v>16</v>
      </c>
      <c r="H1001" t="s">
        <v>4986</v>
      </c>
      <c r="I1001">
        <v>2.4169</v>
      </c>
      <c r="J1001">
        <v>161338.78</v>
      </c>
      <c r="K1001">
        <v>66754.429227522865</v>
      </c>
    </row>
    <row r="1002" spans="1:11" x14ac:dyDescent="0.25">
      <c r="A1002" t="s">
        <v>885</v>
      </c>
      <c r="B1002" t="s">
        <v>886</v>
      </c>
      <c r="C1002" s="1">
        <v>41509</v>
      </c>
      <c r="D1002" s="1">
        <v>41517</v>
      </c>
      <c r="E1002">
        <v>4</v>
      </c>
      <c r="F1002" t="s">
        <v>887</v>
      </c>
      <c r="G1002" t="s">
        <v>16</v>
      </c>
      <c r="H1002" t="s">
        <v>4987</v>
      </c>
      <c r="I1002">
        <v>2.4457</v>
      </c>
      <c r="J1002">
        <v>81623.77</v>
      </c>
      <c r="K1002">
        <v>33374.39996728953</v>
      </c>
    </row>
    <row r="1003" spans="1:11" x14ac:dyDescent="0.25">
      <c r="A1003" t="s">
        <v>885</v>
      </c>
      <c r="B1003" t="s">
        <v>886</v>
      </c>
      <c r="C1003" s="1">
        <v>41509</v>
      </c>
      <c r="D1003" s="1">
        <v>41517</v>
      </c>
      <c r="E1003">
        <v>4</v>
      </c>
      <c r="F1003" t="s">
        <v>887</v>
      </c>
      <c r="G1003" t="s">
        <v>16</v>
      </c>
      <c r="H1003" t="s">
        <v>4988</v>
      </c>
      <c r="I1003">
        <v>2.4457</v>
      </c>
      <c r="J1003">
        <v>81790.080000000002</v>
      </c>
      <c r="K1003">
        <v>33442.400948603674</v>
      </c>
    </row>
    <row r="1004" spans="1:11" x14ac:dyDescent="0.25">
      <c r="A1004" t="s">
        <v>885</v>
      </c>
      <c r="B1004" t="s">
        <v>886</v>
      </c>
      <c r="C1004" s="1">
        <v>41506</v>
      </c>
      <c r="D1004" s="1">
        <v>41517</v>
      </c>
      <c r="E1004">
        <v>4</v>
      </c>
      <c r="F1004" t="s">
        <v>887</v>
      </c>
      <c r="G1004" t="s">
        <v>16</v>
      </c>
      <c r="H1004" t="s">
        <v>4989</v>
      </c>
      <c r="I1004">
        <v>2.3980000000000001</v>
      </c>
      <c r="J1004">
        <v>61214.23</v>
      </c>
      <c r="K1004">
        <v>25527.201834862386</v>
      </c>
    </row>
    <row r="1005" spans="1:11" x14ac:dyDescent="0.25">
      <c r="A1005" t="s">
        <v>1510</v>
      </c>
      <c r="B1005" t="s">
        <v>1511</v>
      </c>
      <c r="C1005" s="1">
        <v>41502</v>
      </c>
      <c r="D1005" s="1">
        <v>41515</v>
      </c>
      <c r="E1005">
        <v>283</v>
      </c>
      <c r="F1005" t="s">
        <v>311</v>
      </c>
      <c r="G1005" t="s">
        <v>16</v>
      </c>
      <c r="H1005" t="s">
        <v>1512</v>
      </c>
      <c r="I1005">
        <v>2.3433999999999999</v>
      </c>
      <c r="J1005">
        <v>114677.48</v>
      </c>
      <c r="K1005">
        <v>48936.365963983953</v>
      </c>
    </row>
    <row r="1006" spans="1:11" x14ac:dyDescent="0.25">
      <c r="A1006" t="s">
        <v>2004</v>
      </c>
      <c r="B1006" t="s">
        <v>2005</v>
      </c>
      <c r="C1006" s="1">
        <v>41499</v>
      </c>
      <c r="D1006" s="1">
        <v>41515</v>
      </c>
      <c r="E1006">
        <v>304</v>
      </c>
      <c r="F1006" t="s">
        <v>642</v>
      </c>
      <c r="G1006" t="s">
        <v>16</v>
      </c>
      <c r="H1006" t="s">
        <v>4990</v>
      </c>
      <c r="I1006">
        <v>2.2722000000000002</v>
      </c>
      <c r="J1006">
        <v>70509.440000000002</v>
      </c>
      <c r="K1006">
        <v>31031.352873866737</v>
      </c>
    </row>
    <row r="1007" spans="1:11" x14ac:dyDescent="0.25">
      <c r="A1007" t="s">
        <v>1513</v>
      </c>
      <c r="B1007" t="s">
        <v>1514</v>
      </c>
      <c r="C1007" s="1">
        <v>41478</v>
      </c>
      <c r="D1007" s="1">
        <v>41487</v>
      </c>
      <c r="E1007">
        <v>227</v>
      </c>
      <c r="F1007" t="s">
        <v>311</v>
      </c>
      <c r="G1007" t="s">
        <v>16</v>
      </c>
      <c r="H1007" t="s">
        <v>1515</v>
      </c>
      <c r="I1007">
        <v>2.2385999999999999</v>
      </c>
      <c r="J1007">
        <v>537433.31999999995</v>
      </c>
      <c r="K1007">
        <v>240075.63655856339</v>
      </c>
    </row>
    <row r="1008" spans="1:11" x14ac:dyDescent="0.25">
      <c r="A1008" t="s">
        <v>896</v>
      </c>
      <c r="B1008" t="s">
        <v>897</v>
      </c>
      <c r="C1008" s="1">
        <v>41535</v>
      </c>
      <c r="D1008" s="1">
        <v>41541</v>
      </c>
      <c r="E1008">
        <v>296</v>
      </c>
      <c r="F1008" t="s">
        <v>887</v>
      </c>
      <c r="G1008" t="s">
        <v>16</v>
      </c>
      <c r="H1008" t="s">
        <v>1516</v>
      </c>
      <c r="I1008">
        <v>2.2616999999999998</v>
      </c>
      <c r="J1008">
        <v>68534.94</v>
      </c>
      <c r="K1008">
        <v>30302.400848918955</v>
      </c>
    </row>
    <row r="1009" spans="1:11" x14ac:dyDescent="0.25">
      <c r="A1009" t="s">
        <v>896</v>
      </c>
      <c r="B1009" t="s">
        <v>897</v>
      </c>
      <c r="C1009" s="1">
        <v>41540</v>
      </c>
      <c r="D1009" s="1">
        <v>41544</v>
      </c>
      <c r="E1009">
        <v>296</v>
      </c>
      <c r="F1009" t="s">
        <v>887</v>
      </c>
      <c r="G1009" t="s">
        <v>16</v>
      </c>
      <c r="H1009" t="s">
        <v>1517</v>
      </c>
      <c r="I1009">
        <v>2.2052999999999998</v>
      </c>
      <c r="J1009">
        <v>41740.15</v>
      </c>
      <c r="K1009">
        <v>18927.198113635332</v>
      </c>
    </row>
    <row r="1010" spans="1:11" x14ac:dyDescent="0.25">
      <c r="A1010" t="s">
        <v>4991</v>
      </c>
      <c r="B1010" t="s">
        <v>4992</v>
      </c>
      <c r="C1010" s="1">
        <v>41516</v>
      </c>
      <c r="D1010" s="1">
        <v>41543</v>
      </c>
      <c r="E1010">
        <v>22</v>
      </c>
      <c r="F1010" t="s">
        <v>887</v>
      </c>
      <c r="G1010" t="s">
        <v>16</v>
      </c>
      <c r="H1010" t="s">
        <v>4993</v>
      </c>
      <c r="I1010">
        <v>2.3578000000000001</v>
      </c>
      <c r="J1010">
        <v>72139.3</v>
      </c>
      <c r="K1010">
        <v>30596.0217151582</v>
      </c>
    </row>
    <row r="1011" spans="1:11" x14ac:dyDescent="0.25">
      <c r="A1011" t="s">
        <v>4991</v>
      </c>
      <c r="B1011" t="s">
        <v>4992</v>
      </c>
      <c r="C1011" s="1">
        <v>41516</v>
      </c>
      <c r="D1011" s="1">
        <v>41543</v>
      </c>
      <c r="E1011">
        <v>22</v>
      </c>
      <c r="F1011" t="s">
        <v>887</v>
      </c>
      <c r="G1011" t="s">
        <v>16</v>
      </c>
      <c r="H1011" t="s">
        <v>4994</v>
      </c>
      <c r="I1011">
        <v>2.3578000000000001</v>
      </c>
      <c r="J1011">
        <v>70595.520000000004</v>
      </c>
      <c r="K1011">
        <v>29941.267283060479</v>
      </c>
    </row>
    <row r="1012" spans="1:11" x14ac:dyDescent="0.25">
      <c r="A1012" t="s">
        <v>896</v>
      </c>
      <c r="B1012" t="s">
        <v>897</v>
      </c>
      <c r="C1012" s="1">
        <v>41537</v>
      </c>
      <c r="D1012" s="1">
        <v>41543</v>
      </c>
      <c r="E1012">
        <v>296</v>
      </c>
      <c r="F1012" t="s">
        <v>887</v>
      </c>
      <c r="G1012" t="s">
        <v>16</v>
      </c>
      <c r="H1012" t="s">
        <v>1518</v>
      </c>
      <c r="I1012">
        <v>2.2035999999999998</v>
      </c>
      <c r="J1012">
        <v>79354.990000000005</v>
      </c>
      <c r="K1012">
        <v>36011.522054819383</v>
      </c>
    </row>
    <row r="1013" spans="1:11" x14ac:dyDescent="0.25">
      <c r="A1013" t="s">
        <v>896</v>
      </c>
      <c r="B1013" t="s">
        <v>897</v>
      </c>
      <c r="C1013" s="1">
        <v>41536</v>
      </c>
      <c r="D1013" s="1">
        <v>41543</v>
      </c>
      <c r="E1013">
        <v>296</v>
      </c>
      <c r="F1013" t="s">
        <v>887</v>
      </c>
      <c r="G1013" t="s">
        <v>16</v>
      </c>
      <c r="H1013" t="s">
        <v>1519</v>
      </c>
      <c r="I1013">
        <v>2.2488999999999999</v>
      </c>
      <c r="J1013">
        <v>50181.5</v>
      </c>
      <c r="K1013">
        <v>22313.797856729958</v>
      </c>
    </row>
    <row r="1014" spans="1:11" x14ac:dyDescent="0.25">
      <c r="A1014" t="s">
        <v>896</v>
      </c>
      <c r="B1014" t="s">
        <v>897</v>
      </c>
      <c r="C1014" s="1">
        <v>41535</v>
      </c>
      <c r="D1014" s="1">
        <v>41540</v>
      </c>
      <c r="E1014">
        <v>296</v>
      </c>
      <c r="F1014" t="s">
        <v>887</v>
      </c>
      <c r="G1014" t="s">
        <v>16</v>
      </c>
      <c r="H1014" t="s">
        <v>1520</v>
      </c>
      <c r="I1014">
        <v>2.2616999999999998</v>
      </c>
      <c r="J1014">
        <v>50240.27</v>
      </c>
      <c r="K1014">
        <v>22213.498695671398</v>
      </c>
    </row>
    <row r="1015" spans="1:11" x14ac:dyDescent="0.25">
      <c r="A1015" t="s">
        <v>1521</v>
      </c>
      <c r="B1015" t="s">
        <v>1522</v>
      </c>
      <c r="C1015" s="1">
        <v>41535</v>
      </c>
      <c r="D1015" s="1">
        <v>41540</v>
      </c>
      <c r="E1015">
        <v>435</v>
      </c>
      <c r="F1015" t="s">
        <v>303</v>
      </c>
      <c r="G1015" t="s">
        <v>16</v>
      </c>
      <c r="H1015" t="s">
        <v>1523</v>
      </c>
      <c r="I1015">
        <v>2.2616999999999998</v>
      </c>
      <c r="J1015">
        <v>304840.96999999997</v>
      </c>
      <c r="K1015">
        <v>134783.99876199319</v>
      </c>
    </row>
    <row r="1016" spans="1:11" x14ac:dyDescent="0.25">
      <c r="A1016" t="s">
        <v>910</v>
      </c>
      <c r="B1016" t="s">
        <v>911</v>
      </c>
      <c r="C1016" s="1">
        <v>41530</v>
      </c>
      <c r="D1016" s="1">
        <v>41531</v>
      </c>
      <c r="E1016">
        <v>3</v>
      </c>
      <c r="F1016" t="s">
        <v>912</v>
      </c>
      <c r="G1016" t="s">
        <v>16</v>
      </c>
      <c r="H1016" t="s">
        <v>4995</v>
      </c>
      <c r="I1016">
        <v>2.2768999999999999</v>
      </c>
      <c r="J1016">
        <v>36771.300000000003</v>
      </c>
      <c r="K1016">
        <v>16149.721112038298</v>
      </c>
    </row>
    <row r="1017" spans="1:11" x14ac:dyDescent="0.25">
      <c r="A1017" t="s">
        <v>1528</v>
      </c>
      <c r="B1017" t="s">
        <v>544</v>
      </c>
      <c r="C1017" s="1">
        <v>41538</v>
      </c>
      <c r="D1017" s="1">
        <v>41541</v>
      </c>
      <c r="E1017">
        <v>6</v>
      </c>
      <c r="F1017" t="s">
        <v>642</v>
      </c>
      <c r="G1017" t="s">
        <v>16</v>
      </c>
      <c r="H1017" t="s">
        <v>4996</v>
      </c>
      <c r="I1017">
        <v>2.2052999999999998</v>
      </c>
      <c r="J1017">
        <v>159470.43</v>
      </c>
      <c r="K1017">
        <v>72312.352060944089</v>
      </c>
    </row>
    <row r="1018" spans="1:11" x14ac:dyDescent="0.25">
      <c r="A1018" t="s">
        <v>885</v>
      </c>
      <c r="B1018" t="s">
        <v>886</v>
      </c>
      <c r="C1018" s="1">
        <v>41503</v>
      </c>
      <c r="D1018" s="1">
        <v>41509</v>
      </c>
      <c r="E1018">
        <v>4</v>
      </c>
      <c r="F1018" t="s">
        <v>887</v>
      </c>
      <c r="G1018" t="s">
        <v>16</v>
      </c>
      <c r="H1018" t="s">
        <v>1524</v>
      </c>
      <c r="I1018">
        <v>2.3559000000000001</v>
      </c>
      <c r="J1018">
        <v>58071.7</v>
      </c>
      <c r="K1018">
        <v>24649.475784201368</v>
      </c>
    </row>
    <row r="1019" spans="1:11" x14ac:dyDescent="0.25">
      <c r="A1019" t="s">
        <v>885</v>
      </c>
      <c r="B1019" t="s">
        <v>886</v>
      </c>
      <c r="C1019" s="1">
        <v>41522</v>
      </c>
      <c r="D1019" s="1">
        <v>41528</v>
      </c>
      <c r="E1019">
        <v>4</v>
      </c>
      <c r="F1019" t="s">
        <v>887</v>
      </c>
      <c r="G1019" t="s">
        <v>16</v>
      </c>
      <c r="H1019" t="s">
        <v>4997</v>
      </c>
      <c r="I1019">
        <v>2.3538000000000001</v>
      </c>
      <c r="J1019">
        <v>59429.68</v>
      </c>
      <c r="K1019">
        <v>25248.398334607868</v>
      </c>
    </row>
    <row r="1020" spans="1:11" x14ac:dyDescent="0.25">
      <c r="A1020" t="s">
        <v>885</v>
      </c>
      <c r="B1020" t="s">
        <v>886</v>
      </c>
      <c r="C1020" s="1">
        <v>41523</v>
      </c>
      <c r="D1020" s="1">
        <v>41528</v>
      </c>
      <c r="E1020">
        <v>4</v>
      </c>
      <c r="F1020" t="s">
        <v>887</v>
      </c>
      <c r="G1020" t="s">
        <v>16</v>
      </c>
      <c r="H1020" t="s">
        <v>1525</v>
      </c>
      <c r="I1020">
        <v>2.3313999999999999</v>
      </c>
      <c r="J1020">
        <v>80796.240000000005</v>
      </c>
      <c r="K1020">
        <v>34655.674701895856</v>
      </c>
    </row>
    <row r="1021" spans="1:11" x14ac:dyDescent="0.25">
      <c r="A1021" t="s">
        <v>885</v>
      </c>
      <c r="B1021" t="s">
        <v>886</v>
      </c>
      <c r="C1021" s="1">
        <v>41523</v>
      </c>
      <c r="D1021" s="1">
        <v>41528</v>
      </c>
      <c r="E1021">
        <v>4</v>
      </c>
      <c r="F1021" t="s">
        <v>887</v>
      </c>
      <c r="G1021" t="s">
        <v>16</v>
      </c>
      <c r="H1021" t="s">
        <v>4998</v>
      </c>
      <c r="I1021">
        <v>2.3313999999999999</v>
      </c>
      <c r="J1021">
        <v>59875.79</v>
      </c>
      <c r="K1021">
        <v>25682.332504074806</v>
      </c>
    </row>
    <row r="1022" spans="1:11" x14ac:dyDescent="0.25">
      <c r="A1022" t="s">
        <v>904</v>
      </c>
      <c r="B1022" t="s">
        <v>905</v>
      </c>
      <c r="C1022" s="1">
        <v>41522</v>
      </c>
      <c r="D1022" s="1">
        <v>41533</v>
      </c>
      <c r="E1022">
        <v>16316</v>
      </c>
      <c r="F1022" t="s">
        <v>887</v>
      </c>
      <c r="G1022" t="s">
        <v>16</v>
      </c>
      <c r="H1022" t="s">
        <v>1526</v>
      </c>
      <c r="I1022">
        <v>2.3538000000000001</v>
      </c>
      <c r="J1022">
        <v>62001.26</v>
      </c>
      <c r="K1022">
        <v>26340.921063811707</v>
      </c>
    </row>
    <row r="1023" spans="1:11" x14ac:dyDescent="0.25">
      <c r="A1023" t="s">
        <v>1510</v>
      </c>
      <c r="B1023" t="s">
        <v>1511</v>
      </c>
      <c r="C1023" s="1">
        <v>41505</v>
      </c>
      <c r="D1023" s="1">
        <v>41509</v>
      </c>
      <c r="E1023">
        <v>283</v>
      </c>
      <c r="F1023" t="s">
        <v>311</v>
      </c>
      <c r="G1023" t="s">
        <v>16</v>
      </c>
      <c r="H1023" t="s">
        <v>4999</v>
      </c>
      <c r="I1023">
        <v>2.3559000000000001</v>
      </c>
      <c r="J1023">
        <v>10855.99</v>
      </c>
      <c r="K1023">
        <v>4608.0011885054546</v>
      </c>
    </row>
    <row r="1024" spans="1:11" x14ac:dyDescent="0.25">
      <c r="A1024" t="s">
        <v>3803</v>
      </c>
      <c r="B1024" t="s">
        <v>3804</v>
      </c>
      <c r="C1024" s="1">
        <v>41506</v>
      </c>
      <c r="D1024" s="1">
        <v>41509</v>
      </c>
      <c r="E1024">
        <v>287</v>
      </c>
      <c r="F1024" t="s">
        <v>311</v>
      </c>
      <c r="G1024" t="s">
        <v>16</v>
      </c>
      <c r="H1024" t="s">
        <v>5000</v>
      </c>
      <c r="I1024">
        <v>2.3980000000000001</v>
      </c>
      <c r="J1024">
        <v>335636</v>
      </c>
      <c r="K1024">
        <v>139964.9708090075</v>
      </c>
    </row>
    <row r="1025" spans="1:11" x14ac:dyDescent="0.25">
      <c r="A1025" t="s">
        <v>907</v>
      </c>
      <c r="B1025" t="s">
        <v>908</v>
      </c>
      <c r="C1025" s="1">
        <v>41530</v>
      </c>
      <c r="D1025" s="1">
        <v>41534</v>
      </c>
      <c r="E1025">
        <v>1</v>
      </c>
      <c r="F1025" t="s">
        <v>887</v>
      </c>
      <c r="G1025" t="s">
        <v>16</v>
      </c>
      <c r="H1025" t="s">
        <v>5001</v>
      </c>
      <c r="I1025">
        <v>2.2768999999999999</v>
      </c>
      <c r="J1025">
        <v>61193.69</v>
      </c>
      <c r="K1025">
        <v>26875.879485265054</v>
      </c>
    </row>
    <row r="1026" spans="1:11" x14ac:dyDescent="0.25">
      <c r="A1026" t="s">
        <v>885</v>
      </c>
      <c r="B1026" t="s">
        <v>886</v>
      </c>
      <c r="C1026" s="1">
        <v>41528</v>
      </c>
      <c r="D1026" s="1">
        <v>41533</v>
      </c>
      <c r="E1026">
        <v>4</v>
      </c>
      <c r="F1026" t="s">
        <v>887</v>
      </c>
      <c r="G1026" t="s">
        <v>16</v>
      </c>
      <c r="H1026" t="s">
        <v>5002</v>
      </c>
      <c r="I1026">
        <v>2.2778999999999998</v>
      </c>
      <c r="J1026">
        <v>81373.36</v>
      </c>
      <c r="K1026">
        <v>35722.972913648533</v>
      </c>
    </row>
    <row r="1027" spans="1:11" x14ac:dyDescent="0.25">
      <c r="A1027" t="s">
        <v>1521</v>
      </c>
      <c r="B1027" t="s">
        <v>1522</v>
      </c>
      <c r="C1027" s="1">
        <v>41534</v>
      </c>
      <c r="D1027" s="1">
        <v>41538</v>
      </c>
      <c r="E1027">
        <v>435</v>
      </c>
      <c r="F1027" t="s">
        <v>303</v>
      </c>
      <c r="G1027" t="s">
        <v>16</v>
      </c>
      <c r="H1027" t="s">
        <v>5003</v>
      </c>
      <c r="I1027">
        <v>2.2648999999999999</v>
      </c>
      <c r="J1027">
        <v>214766.88</v>
      </c>
      <c r="K1027">
        <v>94824.001059649439</v>
      </c>
    </row>
    <row r="1028" spans="1:11" x14ac:dyDescent="0.25">
      <c r="A1028" t="s">
        <v>1521</v>
      </c>
      <c r="B1028" t="s">
        <v>1522</v>
      </c>
      <c r="C1028" s="1">
        <v>41535</v>
      </c>
      <c r="D1028" s="1">
        <v>41538</v>
      </c>
      <c r="E1028">
        <v>435</v>
      </c>
      <c r="F1028" t="s">
        <v>303</v>
      </c>
      <c r="G1028" t="s">
        <v>16</v>
      </c>
      <c r="H1028" t="s">
        <v>1527</v>
      </c>
      <c r="I1028">
        <v>2.2616999999999998</v>
      </c>
      <c r="J1028">
        <v>239450.7</v>
      </c>
      <c r="K1028">
        <v>105871.99893885131</v>
      </c>
    </row>
    <row r="1029" spans="1:11" x14ac:dyDescent="0.25">
      <c r="A1029" t="s">
        <v>1521</v>
      </c>
      <c r="B1029" t="s">
        <v>1522</v>
      </c>
      <c r="C1029" s="1">
        <v>41535</v>
      </c>
      <c r="D1029" s="1">
        <v>41538</v>
      </c>
      <c r="E1029">
        <v>435</v>
      </c>
      <c r="F1029" t="s">
        <v>303</v>
      </c>
      <c r="G1029" t="s">
        <v>16</v>
      </c>
      <c r="H1029" t="s">
        <v>5004</v>
      </c>
      <c r="I1029">
        <v>2.2616999999999998</v>
      </c>
      <c r="J1029">
        <v>304840.96999999997</v>
      </c>
      <c r="K1029">
        <v>134783.99876199319</v>
      </c>
    </row>
    <row r="1030" spans="1:11" x14ac:dyDescent="0.25">
      <c r="A1030" t="s">
        <v>1528</v>
      </c>
      <c r="B1030" t="s">
        <v>544</v>
      </c>
      <c r="C1030" s="1">
        <v>41528</v>
      </c>
      <c r="D1030" s="1">
        <v>41535</v>
      </c>
      <c r="E1030">
        <v>6</v>
      </c>
      <c r="F1030" t="s">
        <v>642</v>
      </c>
      <c r="G1030" t="s">
        <v>16</v>
      </c>
      <c r="H1030" t="s">
        <v>5005</v>
      </c>
      <c r="I1030">
        <v>2.2778999999999998</v>
      </c>
      <c r="J1030">
        <v>159470.43</v>
      </c>
      <c r="K1030">
        <v>70007.651784538393</v>
      </c>
    </row>
    <row r="1031" spans="1:11" x14ac:dyDescent="0.25">
      <c r="A1031" t="s">
        <v>1528</v>
      </c>
      <c r="B1031" t="s">
        <v>544</v>
      </c>
      <c r="C1031" s="1">
        <v>41528</v>
      </c>
      <c r="D1031" s="1">
        <v>41535</v>
      </c>
      <c r="E1031">
        <v>6</v>
      </c>
      <c r="F1031" t="s">
        <v>642</v>
      </c>
      <c r="G1031" t="s">
        <v>16</v>
      </c>
      <c r="H1031" t="s">
        <v>1529</v>
      </c>
      <c r="I1031">
        <v>2.2778999999999998</v>
      </c>
      <c r="J1031">
        <v>159470.43</v>
      </c>
      <c r="K1031">
        <v>70007.651784538393</v>
      </c>
    </row>
    <row r="1032" spans="1:11" x14ac:dyDescent="0.25">
      <c r="A1032" t="s">
        <v>885</v>
      </c>
      <c r="B1032" t="s">
        <v>886</v>
      </c>
      <c r="C1032" s="1">
        <v>41528</v>
      </c>
      <c r="D1032" s="1">
        <v>41535</v>
      </c>
      <c r="E1032">
        <v>4</v>
      </c>
      <c r="F1032" t="s">
        <v>887</v>
      </c>
      <c r="G1032" t="s">
        <v>16</v>
      </c>
      <c r="H1032" t="s">
        <v>5006</v>
      </c>
      <c r="I1032">
        <v>2.2778999999999998</v>
      </c>
      <c r="J1032">
        <v>80956.55</v>
      </c>
      <c r="K1032">
        <v>35539.992975986657</v>
      </c>
    </row>
    <row r="1033" spans="1:11" x14ac:dyDescent="0.25">
      <c r="A1033" t="s">
        <v>907</v>
      </c>
      <c r="B1033" t="s">
        <v>908</v>
      </c>
      <c r="C1033" s="1">
        <v>41530</v>
      </c>
      <c r="D1033" s="1">
        <v>41536</v>
      </c>
      <c r="E1033">
        <v>1</v>
      </c>
      <c r="F1033" t="s">
        <v>887</v>
      </c>
      <c r="G1033" t="s">
        <v>16</v>
      </c>
      <c r="H1033" t="s">
        <v>5007</v>
      </c>
      <c r="I1033">
        <v>2.2768999999999999</v>
      </c>
      <c r="J1033">
        <v>67356.62</v>
      </c>
      <c r="K1033">
        <v>29582.599147964338</v>
      </c>
    </row>
    <row r="1034" spans="1:11" x14ac:dyDescent="0.25">
      <c r="A1034" t="s">
        <v>907</v>
      </c>
      <c r="B1034" t="s">
        <v>908</v>
      </c>
      <c r="C1034" s="1">
        <v>41530</v>
      </c>
      <c r="D1034" s="1">
        <v>41537</v>
      </c>
      <c r="E1034">
        <v>1</v>
      </c>
      <c r="F1034" t="s">
        <v>887</v>
      </c>
      <c r="G1034" t="s">
        <v>16</v>
      </c>
      <c r="H1034" t="s">
        <v>5008</v>
      </c>
      <c r="I1034">
        <v>2.2768999999999999</v>
      </c>
      <c r="J1034">
        <v>50174.91</v>
      </c>
      <c r="K1034">
        <v>22036.501383459967</v>
      </c>
    </row>
    <row r="1035" spans="1:11" x14ac:dyDescent="0.25">
      <c r="A1035" t="s">
        <v>896</v>
      </c>
      <c r="B1035" t="s">
        <v>897</v>
      </c>
      <c r="C1035" s="1">
        <v>41536</v>
      </c>
      <c r="D1035" s="1">
        <v>41542</v>
      </c>
      <c r="E1035">
        <v>296</v>
      </c>
      <c r="F1035" t="s">
        <v>887</v>
      </c>
      <c r="G1035" t="s">
        <v>16</v>
      </c>
      <c r="H1035" t="s">
        <v>5009</v>
      </c>
      <c r="I1035">
        <v>2.2488999999999999</v>
      </c>
      <c r="J1035">
        <v>65539.25</v>
      </c>
      <c r="K1035">
        <v>29142.803148205789</v>
      </c>
    </row>
    <row r="1036" spans="1:11" x14ac:dyDescent="0.25">
      <c r="A1036" t="s">
        <v>885</v>
      </c>
      <c r="B1036" t="s">
        <v>886</v>
      </c>
      <c r="C1036" s="1">
        <v>41535</v>
      </c>
      <c r="D1036" s="1">
        <v>41542</v>
      </c>
      <c r="E1036">
        <v>4</v>
      </c>
      <c r="F1036" t="s">
        <v>887</v>
      </c>
      <c r="G1036" t="s">
        <v>16</v>
      </c>
      <c r="H1036" t="s">
        <v>5010</v>
      </c>
      <c r="I1036">
        <v>2.2616999999999998</v>
      </c>
      <c r="J1036">
        <v>58545.21</v>
      </c>
      <c r="K1036">
        <v>25885.488791616925</v>
      </c>
    </row>
    <row r="1037" spans="1:11" x14ac:dyDescent="0.25">
      <c r="A1037" t="s">
        <v>896</v>
      </c>
      <c r="B1037" t="s">
        <v>897</v>
      </c>
      <c r="C1037" s="1">
        <v>41528</v>
      </c>
      <c r="D1037" s="1">
        <v>41533</v>
      </c>
      <c r="E1037">
        <v>296</v>
      </c>
      <c r="F1037" t="s">
        <v>887</v>
      </c>
      <c r="G1037" t="s">
        <v>16</v>
      </c>
      <c r="H1037" t="s">
        <v>1530</v>
      </c>
      <c r="I1037">
        <v>2.2778999999999998</v>
      </c>
      <c r="J1037">
        <v>50747.97</v>
      </c>
      <c r="K1037">
        <v>22278.401158962202</v>
      </c>
    </row>
    <row r="1038" spans="1:11" x14ac:dyDescent="0.25">
      <c r="A1038" t="s">
        <v>885</v>
      </c>
      <c r="B1038" t="s">
        <v>886</v>
      </c>
      <c r="C1038" s="1">
        <v>41523</v>
      </c>
      <c r="D1038" s="1">
        <v>41534</v>
      </c>
      <c r="E1038">
        <v>4</v>
      </c>
      <c r="F1038" t="s">
        <v>887</v>
      </c>
      <c r="G1038" t="s">
        <v>16</v>
      </c>
      <c r="H1038" t="s">
        <v>5011</v>
      </c>
      <c r="I1038">
        <v>2.3313999999999999</v>
      </c>
      <c r="J1038">
        <v>81084.800000000003</v>
      </c>
      <c r="K1038">
        <v>34779.445826541989</v>
      </c>
    </row>
    <row r="1039" spans="1:11" x14ac:dyDescent="0.25">
      <c r="A1039" t="s">
        <v>885</v>
      </c>
      <c r="B1039" t="s">
        <v>886</v>
      </c>
      <c r="C1039" s="1">
        <v>41528</v>
      </c>
      <c r="D1039" s="1">
        <v>41534</v>
      </c>
      <c r="E1039">
        <v>4</v>
      </c>
      <c r="F1039" t="s">
        <v>887</v>
      </c>
      <c r="G1039" t="s">
        <v>16</v>
      </c>
      <c r="H1039" t="s">
        <v>1531</v>
      </c>
      <c r="I1039">
        <v>2.2778999999999998</v>
      </c>
      <c r="J1039">
        <v>81148.92</v>
      </c>
      <c r="K1039">
        <v>35624.443566442773</v>
      </c>
    </row>
    <row r="1040" spans="1:11" x14ac:dyDescent="0.25">
      <c r="A1040" t="s">
        <v>896</v>
      </c>
      <c r="B1040" t="s">
        <v>897</v>
      </c>
      <c r="C1040" s="1">
        <v>41529</v>
      </c>
      <c r="D1040" s="1">
        <v>41534</v>
      </c>
      <c r="E1040">
        <v>296</v>
      </c>
      <c r="F1040" t="s">
        <v>887</v>
      </c>
      <c r="G1040" t="s">
        <v>16</v>
      </c>
      <c r="H1040" t="s">
        <v>5012</v>
      </c>
      <c r="I1040">
        <v>2.2947000000000002</v>
      </c>
      <c r="J1040">
        <v>66123.16</v>
      </c>
      <c r="K1040">
        <v>28815.601167908659</v>
      </c>
    </row>
    <row r="1041" spans="1:11" x14ac:dyDescent="0.25">
      <c r="A1041" t="s">
        <v>896</v>
      </c>
      <c r="B1041" t="s">
        <v>897</v>
      </c>
      <c r="C1041" s="1">
        <v>41534</v>
      </c>
      <c r="D1041" s="1">
        <v>41538</v>
      </c>
      <c r="E1041">
        <v>296</v>
      </c>
      <c r="F1041" t="s">
        <v>887</v>
      </c>
      <c r="G1041" t="s">
        <v>16</v>
      </c>
      <c r="H1041" t="s">
        <v>5013</v>
      </c>
      <c r="I1041">
        <v>2.2648999999999999</v>
      </c>
      <c r="J1041">
        <v>48600.9</v>
      </c>
      <c r="K1041">
        <v>21458.298379619409</v>
      </c>
    </row>
    <row r="1042" spans="1:11" x14ac:dyDescent="0.25">
      <c r="A1042" t="s">
        <v>885</v>
      </c>
      <c r="B1042" t="s">
        <v>886</v>
      </c>
      <c r="C1042" s="1">
        <v>41552</v>
      </c>
      <c r="D1042" s="1">
        <v>41562</v>
      </c>
      <c r="E1042">
        <v>4</v>
      </c>
      <c r="F1042" t="s">
        <v>887</v>
      </c>
      <c r="G1042" t="s">
        <v>16</v>
      </c>
      <c r="H1042" t="s">
        <v>1532</v>
      </c>
      <c r="I1042">
        <v>2.2050999999999998</v>
      </c>
      <c r="J1042">
        <v>78395.179999999993</v>
      </c>
      <c r="K1042">
        <v>35551.757289918824</v>
      </c>
    </row>
    <row r="1043" spans="1:11" x14ac:dyDescent="0.25">
      <c r="A1043" t="s">
        <v>1558</v>
      </c>
      <c r="B1043" t="s">
        <v>1559</v>
      </c>
      <c r="C1043" s="1">
        <v>41546</v>
      </c>
      <c r="D1043" s="1">
        <v>41562</v>
      </c>
      <c r="E1043">
        <v>2</v>
      </c>
      <c r="F1043" t="s">
        <v>887</v>
      </c>
      <c r="G1043" t="s">
        <v>16</v>
      </c>
      <c r="H1043" t="s">
        <v>5014</v>
      </c>
      <c r="I1043">
        <v>2.2570999999999999</v>
      </c>
      <c r="J1043">
        <v>74946.94</v>
      </c>
      <c r="K1043">
        <v>33204.970980461658</v>
      </c>
    </row>
    <row r="1044" spans="1:11" x14ac:dyDescent="0.25">
      <c r="A1044" t="s">
        <v>921</v>
      </c>
      <c r="B1044" t="s">
        <v>922</v>
      </c>
      <c r="C1044" s="1">
        <v>41550</v>
      </c>
      <c r="D1044" s="1">
        <v>41556</v>
      </c>
      <c r="E1044">
        <v>18399</v>
      </c>
      <c r="F1044" t="s">
        <v>887</v>
      </c>
      <c r="G1044" t="s">
        <v>16</v>
      </c>
      <c r="H1044" t="s">
        <v>1533</v>
      </c>
      <c r="I1044">
        <v>2.2088000000000001</v>
      </c>
      <c r="J1044">
        <v>55727.09</v>
      </c>
      <c r="K1044">
        <v>25229.577145961608</v>
      </c>
    </row>
    <row r="1045" spans="1:11" x14ac:dyDescent="0.25">
      <c r="A1045" t="s">
        <v>896</v>
      </c>
      <c r="B1045" t="s">
        <v>897</v>
      </c>
      <c r="C1045" s="1">
        <v>41551</v>
      </c>
      <c r="D1045" s="1">
        <v>41556</v>
      </c>
      <c r="E1045">
        <v>296</v>
      </c>
      <c r="F1045" t="s">
        <v>887</v>
      </c>
      <c r="G1045" t="s">
        <v>16</v>
      </c>
      <c r="H1045" t="s">
        <v>1534</v>
      </c>
      <c r="I1045">
        <v>2.2069000000000001</v>
      </c>
      <c r="J1045">
        <v>66132.19</v>
      </c>
      <c r="K1045">
        <v>29966.101771715981</v>
      </c>
    </row>
    <row r="1046" spans="1:11" x14ac:dyDescent="0.25">
      <c r="A1046" t="s">
        <v>937</v>
      </c>
      <c r="B1046" t="s">
        <v>938</v>
      </c>
      <c r="C1046" s="1">
        <v>41557</v>
      </c>
      <c r="D1046" s="1">
        <v>41565</v>
      </c>
      <c r="E1046">
        <v>918</v>
      </c>
      <c r="F1046" t="s">
        <v>318</v>
      </c>
      <c r="G1046" t="s">
        <v>16</v>
      </c>
      <c r="H1046" t="s">
        <v>1535</v>
      </c>
      <c r="I1046">
        <v>2.2054</v>
      </c>
      <c r="J1046">
        <v>120511.17</v>
      </c>
      <c r="K1046">
        <v>54643.679151174387</v>
      </c>
    </row>
    <row r="1047" spans="1:11" x14ac:dyDescent="0.25">
      <c r="A1047" t="s">
        <v>896</v>
      </c>
      <c r="B1047" t="s">
        <v>897</v>
      </c>
      <c r="C1047" s="1">
        <v>41543</v>
      </c>
      <c r="D1047" s="1">
        <v>41548</v>
      </c>
      <c r="E1047">
        <v>296</v>
      </c>
      <c r="F1047" t="s">
        <v>887</v>
      </c>
      <c r="G1047" t="s">
        <v>16</v>
      </c>
      <c r="H1047" t="s">
        <v>5015</v>
      </c>
      <c r="I1047">
        <v>2.2223999999999999</v>
      </c>
      <c r="J1047">
        <v>57495.99</v>
      </c>
      <c r="K1047">
        <v>25871.125809935205</v>
      </c>
    </row>
    <row r="1048" spans="1:11" x14ac:dyDescent="0.25">
      <c r="A1048" t="s">
        <v>904</v>
      </c>
      <c r="B1048" t="s">
        <v>905</v>
      </c>
      <c r="C1048" s="1">
        <v>41534</v>
      </c>
      <c r="D1048" s="1">
        <v>41538</v>
      </c>
      <c r="E1048">
        <v>16316</v>
      </c>
      <c r="F1048" t="s">
        <v>887</v>
      </c>
      <c r="G1048" t="s">
        <v>16</v>
      </c>
      <c r="H1048" t="s">
        <v>5016</v>
      </c>
      <c r="I1048">
        <v>2.2648999999999999</v>
      </c>
      <c r="J1048">
        <v>52305.86</v>
      </c>
      <c r="K1048">
        <v>23094.114530442846</v>
      </c>
    </row>
    <row r="1049" spans="1:11" x14ac:dyDescent="0.25">
      <c r="A1049" t="s">
        <v>904</v>
      </c>
      <c r="B1049" t="s">
        <v>905</v>
      </c>
      <c r="C1049" s="1">
        <v>41522</v>
      </c>
      <c r="D1049" s="1">
        <v>41533</v>
      </c>
      <c r="E1049">
        <v>16316</v>
      </c>
      <c r="F1049" t="s">
        <v>887</v>
      </c>
      <c r="G1049" t="s">
        <v>16</v>
      </c>
      <c r="H1049" t="s">
        <v>1536</v>
      </c>
      <c r="I1049">
        <v>2.3538000000000001</v>
      </c>
      <c r="J1049">
        <v>61261.78</v>
      </c>
      <c r="K1049">
        <v>26026.756733792165</v>
      </c>
    </row>
    <row r="1050" spans="1:11" x14ac:dyDescent="0.25">
      <c r="A1050" t="s">
        <v>1521</v>
      </c>
      <c r="B1050" t="s">
        <v>1522</v>
      </c>
      <c r="C1050" s="1">
        <v>41542</v>
      </c>
      <c r="D1050" s="1">
        <v>41556</v>
      </c>
      <c r="E1050">
        <v>435</v>
      </c>
      <c r="F1050" t="s">
        <v>303</v>
      </c>
      <c r="G1050" t="s">
        <v>16</v>
      </c>
      <c r="H1050" t="s">
        <v>1537</v>
      </c>
      <c r="I1050">
        <v>2.2031000000000001</v>
      </c>
      <c r="J1050">
        <v>317141.18</v>
      </c>
      <c r="K1050">
        <v>143952.24002541872</v>
      </c>
    </row>
    <row r="1051" spans="1:11" x14ac:dyDescent="0.25">
      <c r="A1051" t="s">
        <v>921</v>
      </c>
      <c r="B1051" t="s">
        <v>922</v>
      </c>
      <c r="C1051" s="1">
        <v>41545</v>
      </c>
      <c r="D1051" s="1">
        <v>41549</v>
      </c>
      <c r="E1051">
        <v>18399</v>
      </c>
      <c r="F1051" t="s">
        <v>887</v>
      </c>
      <c r="G1051" t="s">
        <v>16</v>
      </c>
      <c r="H1051" t="s">
        <v>1538</v>
      </c>
      <c r="I1051">
        <v>2.2570999999999999</v>
      </c>
      <c r="J1051">
        <v>56670.85</v>
      </c>
      <c r="K1051">
        <v>25107.815338265915</v>
      </c>
    </row>
    <row r="1052" spans="1:11" x14ac:dyDescent="0.25">
      <c r="A1052" t="s">
        <v>896</v>
      </c>
      <c r="B1052" t="s">
        <v>897</v>
      </c>
      <c r="C1052" s="1">
        <v>41551</v>
      </c>
      <c r="D1052" s="1">
        <v>41556</v>
      </c>
      <c r="E1052">
        <v>296</v>
      </c>
      <c r="F1052" t="s">
        <v>887</v>
      </c>
      <c r="G1052" t="s">
        <v>16</v>
      </c>
      <c r="H1052" t="s">
        <v>5017</v>
      </c>
      <c r="I1052">
        <v>2.2069000000000001</v>
      </c>
      <c r="J1052">
        <v>48619.33</v>
      </c>
      <c r="K1052">
        <v>22030.599483438305</v>
      </c>
    </row>
    <row r="1053" spans="1:11" x14ac:dyDescent="0.25">
      <c r="A1053" t="s">
        <v>896</v>
      </c>
      <c r="B1053" t="s">
        <v>897</v>
      </c>
      <c r="C1053" s="1">
        <v>41551</v>
      </c>
      <c r="D1053" s="1">
        <v>41556</v>
      </c>
      <c r="E1053">
        <v>296</v>
      </c>
      <c r="F1053" t="s">
        <v>887</v>
      </c>
      <c r="G1053" t="s">
        <v>16</v>
      </c>
      <c r="H1053" t="s">
        <v>1539</v>
      </c>
      <c r="I1053">
        <v>2.2069000000000001</v>
      </c>
      <c r="J1053">
        <v>65455.11</v>
      </c>
      <c r="K1053">
        <v>29659.300376093161</v>
      </c>
    </row>
    <row r="1054" spans="1:11" x14ac:dyDescent="0.25">
      <c r="A1054" t="s">
        <v>4234</v>
      </c>
      <c r="B1054" t="s">
        <v>4235</v>
      </c>
      <c r="C1054" s="1">
        <v>41541</v>
      </c>
      <c r="D1054" s="1">
        <v>41551</v>
      </c>
      <c r="E1054">
        <v>18319</v>
      </c>
      <c r="F1054" t="s">
        <v>303</v>
      </c>
      <c r="G1054" t="s">
        <v>16</v>
      </c>
      <c r="H1054" t="s">
        <v>5018</v>
      </c>
      <c r="I1054">
        <v>2.2033</v>
      </c>
      <c r="J1054">
        <v>25635.4</v>
      </c>
      <c r="K1054">
        <v>11635.002042390959</v>
      </c>
    </row>
    <row r="1055" spans="1:11" x14ac:dyDescent="0.25">
      <c r="A1055" t="s">
        <v>896</v>
      </c>
      <c r="B1055" t="s">
        <v>897</v>
      </c>
      <c r="C1055" s="1">
        <v>41551</v>
      </c>
      <c r="D1055" s="1">
        <v>41557</v>
      </c>
      <c r="E1055">
        <v>296</v>
      </c>
      <c r="F1055" t="s">
        <v>887</v>
      </c>
      <c r="G1055" t="s">
        <v>16</v>
      </c>
      <c r="H1055" t="s">
        <v>1540</v>
      </c>
      <c r="I1055">
        <v>2.2069000000000001</v>
      </c>
      <c r="J1055">
        <v>49374.53</v>
      </c>
      <c r="K1055">
        <v>22372.798948751642</v>
      </c>
    </row>
    <row r="1056" spans="1:11" x14ac:dyDescent="0.25">
      <c r="A1056" t="s">
        <v>885</v>
      </c>
      <c r="B1056" t="s">
        <v>886</v>
      </c>
      <c r="C1056" s="1">
        <v>41544</v>
      </c>
      <c r="D1056" s="1">
        <v>41550</v>
      </c>
      <c r="E1056">
        <v>4</v>
      </c>
      <c r="F1056" t="s">
        <v>887</v>
      </c>
      <c r="G1056" t="s">
        <v>16</v>
      </c>
      <c r="H1056" t="s">
        <v>5019</v>
      </c>
      <c r="I1056">
        <v>2.2284999999999999</v>
      </c>
      <c r="J1056">
        <v>74572.429999999993</v>
      </c>
      <c r="K1056">
        <v>33463.060354498542</v>
      </c>
    </row>
    <row r="1057" spans="1:11" x14ac:dyDescent="0.25">
      <c r="A1057" t="s">
        <v>896</v>
      </c>
      <c r="B1057" t="s">
        <v>897</v>
      </c>
      <c r="C1057" s="1">
        <v>41536</v>
      </c>
      <c r="D1057" s="1">
        <v>41550</v>
      </c>
      <c r="E1057">
        <v>296</v>
      </c>
      <c r="F1057" t="s">
        <v>887</v>
      </c>
      <c r="G1057" t="s">
        <v>16</v>
      </c>
      <c r="H1057" t="s">
        <v>1541</v>
      </c>
      <c r="I1057">
        <v>2.2488999999999999</v>
      </c>
      <c r="J1057">
        <v>49664.03</v>
      </c>
      <c r="K1057">
        <v>22083.698697140826</v>
      </c>
    </row>
    <row r="1058" spans="1:11" x14ac:dyDescent="0.25">
      <c r="A1058" t="s">
        <v>904</v>
      </c>
      <c r="B1058" t="s">
        <v>905</v>
      </c>
      <c r="C1058" s="1">
        <v>41531</v>
      </c>
      <c r="D1058" s="1">
        <v>41555</v>
      </c>
      <c r="E1058">
        <v>16316</v>
      </c>
      <c r="F1058" t="s">
        <v>887</v>
      </c>
      <c r="G1058" t="s">
        <v>16</v>
      </c>
      <c r="H1058" t="s">
        <v>5020</v>
      </c>
      <c r="I1058">
        <v>2.2785000000000002</v>
      </c>
      <c r="J1058">
        <v>60867.39</v>
      </c>
      <c r="K1058">
        <v>26713.798551678738</v>
      </c>
    </row>
    <row r="1059" spans="1:11" x14ac:dyDescent="0.25">
      <c r="A1059" t="s">
        <v>921</v>
      </c>
      <c r="B1059" t="s">
        <v>922</v>
      </c>
      <c r="C1059" s="1">
        <v>41550</v>
      </c>
      <c r="D1059" s="1">
        <v>41554</v>
      </c>
      <c r="E1059">
        <v>18399</v>
      </c>
      <c r="F1059" t="s">
        <v>887</v>
      </c>
      <c r="G1059" t="s">
        <v>16</v>
      </c>
      <c r="H1059" t="s">
        <v>1542</v>
      </c>
      <c r="I1059">
        <v>2.2088000000000001</v>
      </c>
      <c r="J1059">
        <v>55607.24</v>
      </c>
      <c r="K1059">
        <v>25175.316914161536</v>
      </c>
    </row>
    <row r="1060" spans="1:11" x14ac:dyDescent="0.25">
      <c r="A1060" t="s">
        <v>907</v>
      </c>
      <c r="B1060" t="s">
        <v>908</v>
      </c>
      <c r="C1060" s="1">
        <v>41535</v>
      </c>
      <c r="D1060" s="1">
        <v>41539</v>
      </c>
      <c r="E1060">
        <v>1</v>
      </c>
      <c r="F1060" t="s">
        <v>887</v>
      </c>
      <c r="G1060" t="s">
        <v>16</v>
      </c>
      <c r="H1060" t="s">
        <v>5021</v>
      </c>
      <c r="I1060">
        <v>2.2616999999999998</v>
      </c>
      <c r="J1060">
        <v>76790.14</v>
      </c>
      <c r="K1060">
        <v>33952.398638192513</v>
      </c>
    </row>
    <row r="1061" spans="1:11" x14ac:dyDescent="0.25">
      <c r="A1061" t="s">
        <v>885</v>
      </c>
      <c r="B1061" t="s">
        <v>886</v>
      </c>
      <c r="C1061" s="1">
        <v>41585</v>
      </c>
      <c r="D1061" s="1">
        <v>41599</v>
      </c>
      <c r="E1061">
        <v>4</v>
      </c>
      <c r="F1061" t="s">
        <v>887</v>
      </c>
      <c r="G1061" t="s">
        <v>16</v>
      </c>
      <c r="H1061" t="s">
        <v>1543</v>
      </c>
      <c r="I1061">
        <v>2.2829999999999999</v>
      </c>
      <c r="J1061">
        <v>29334.720000000001</v>
      </c>
      <c r="K1061">
        <v>12849.198423127464</v>
      </c>
    </row>
    <row r="1062" spans="1:11" x14ac:dyDescent="0.25">
      <c r="A1062" t="s">
        <v>2494</v>
      </c>
      <c r="B1062" t="s">
        <v>2495</v>
      </c>
      <c r="C1062" s="1">
        <v>41592</v>
      </c>
      <c r="D1062" s="1">
        <v>41599</v>
      </c>
      <c r="E1062">
        <v>697</v>
      </c>
      <c r="F1062" t="s">
        <v>278</v>
      </c>
      <c r="G1062" t="s">
        <v>16</v>
      </c>
      <c r="H1062" t="s">
        <v>5022</v>
      </c>
      <c r="I1062">
        <v>2.3233999999999999</v>
      </c>
      <c r="J1062">
        <v>175584</v>
      </c>
      <c r="K1062">
        <v>75572.006542136529</v>
      </c>
    </row>
    <row r="1063" spans="1:11" x14ac:dyDescent="0.25">
      <c r="A1063" t="s">
        <v>1544</v>
      </c>
      <c r="B1063" t="s">
        <v>1545</v>
      </c>
      <c r="C1063" s="1">
        <v>41576</v>
      </c>
      <c r="D1063" s="1">
        <v>41584</v>
      </c>
      <c r="E1063">
        <v>18825</v>
      </c>
      <c r="F1063" t="s">
        <v>301</v>
      </c>
      <c r="G1063" t="s">
        <v>16</v>
      </c>
      <c r="H1063" t="s">
        <v>3271</v>
      </c>
      <c r="I1063">
        <v>2.1846000000000001</v>
      </c>
      <c r="J1063">
        <v>61920</v>
      </c>
      <c r="K1063">
        <v>28343.861576489977</v>
      </c>
    </row>
    <row r="1064" spans="1:11" x14ac:dyDescent="0.25">
      <c r="A1064" t="s">
        <v>1544</v>
      </c>
      <c r="B1064" t="s">
        <v>1545</v>
      </c>
      <c r="C1064" s="1">
        <v>41576</v>
      </c>
      <c r="D1064" s="1">
        <v>41584</v>
      </c>
      <c r="E1064">
        <v>18825</v>
      </c>
      <c r="F1064" t="s">
        <v>301</v>
      </c>
      <c r="G1064" t="s">
        <v>16</v>
      </c>
      <c r="H1064" t="s">
        <v>1546</v>
      </c>
      <c r="I1064">
        <v>2.1846000000000001</v>
      </c>
      <c r="J1064">
        <v>61920</v>
      </c>
      <c r="K1064">
        <v>28343.861576489977</v>
      </c>
    </row>
    <row r="1065" spans="1:11" x14ac:dyDescent="0.25">
      <c r="A1065" t="s">
        <v>1544</v>
      </c>
      <c r="B1065" t="s">
        <v>1545</v>
      </c>
      <c r="C1065" s="1">
        <v>41577</v>
      </c>
      <c r="D1065" s="1">
        <v>41584</v>
      </c>
      <c r="E1065">
        <v>18825</v>
      </c>
      <c r="F1065" t="s">
        <v>301</v>
      </c>
      <c r="G1065" t="s">
        <v>16</v>
      </c>
      <c r="H1065" t="s">
        <v>1547</v>
      </c>
      <c r="I1065">
        <v>2.1804000000000001</v>
      </c>
      <c r="J1065">
        <v>61695.01</v>
      </c>
      <c r="K1065">
        <v>28295.271509814713</v>
      </c>
    </row>
    <row r="1066" spans="1:11" x14ac:dyDescent="0.25">
      <c r="A1066" t="s">
        <v>1548</v>
      </c>
      <c r="B1066" t="s">
        <v>1549</v>
      </c>
      <c r="C1066" s="1">
        <v>41557</v>
      </c>
      <c r="D1066" s="1">
        <v>41565</v>
      </c>
      <c r="E1066">
        <v>18541</v>
      </c>
      <c r="F1066" t="s">
        <v>318</v>
      </c>
      <c r="G1066" t="s">
        <v>16</v>
      </c>
      <c r="H1066" t="s">
        <v>1550</v>
      </c>
      <c r="I1066">
        <v>2.2054</v>
      </c>
      <c r="J1066">
        <v>266853.40000000002</v>
      </c>
      <c r="K1066">
        <v>121000</v>
      </c>
    </row>
    <row r="1067" spans="1:11" x14ac:dyDescent="0.25">
      <c r="A1067" t="s">
        <v>2014</v>
      </c>
      <c r="B1067" t="s">
        <v>2015</v>
      </c>
      <c r="C1067" s="1">
        <v>41569</v>
      </c>
      <c r="D1067" s="1">
        <v>41576</v>
      </c>
      <c r="E1067">
        <v>6</v>
      </c>
      <c r="F1067" t="s">
        <v>887</v>
      </c>
      <c r="G1067" t="s">
        <v>16</v>
      </c>
      <c r="H1067" t="s">
        <v>5023</v>
      </c>
      <c r="I1067">
        <v>2.1738</v>
      </c>
      <c r="J1067">
        <v>75115.63</v>
      </c>
      <c r="K1067">
        <v>34554.986659306283</v>
      </c>
    </row>
    <row r="1068" spans="1:11" x14ac:dyDescent="0.25">
      <c r="A1068" t="s">
        <v>1551</v>
      </c>
      <c r="B1068" t="s">
        <v>1552</v>
      </c>
      <c r="C1068" s="1">
        <v>41576</v>
      </c>
      <c r="D1068" s="1">
        <v>41585</v>
      </c>
      <c r="E1068">
        <v>18802</v>
      </c>
      <c r="F1068" t="s">
        <v>1553</v>
      </c>
      <c r="G1068" t="s">
        <v>16</v>
      </c>
      <c r="H1068" t="s">
        <v>1554</v>
      </c>
      <c r="I1068">
        <v>2.1846000000000001</v>
      </c>
      <c r="J1068">
        <v>72428.67</v>
      </c>
      <c r="K1068">
        <v>33154.202142268608</v>
      </c>
    </row>
    <row r="1069" spans="1:11" x14ac:dyDescent="0.25">
      <c r="A1069" t="s">
        <v>1555</v>
      </c>
      <c r="B1069" t="s">
        <v>1556</v>
      </c>
      <c r="C1069" s="1">
        <v>41570</v>
      </c>
      <c r="D1069" s="1">
        <v>41575</v>
      </c>
      <c r="E1069">
        <v>18573</v>
      </c>
      <c r="F1069" t="s">
        <v>301</v>
      </c>
      <c r="G1069" t="s">
        <v>16</v>
      </c>
      <c r="H1069" t="s">
        <v>1557</v>
      </c>
      <c r="I1069">
        <v>2.1760000000000002</v>
      </c>
      <c r="J1069">
        <v>13690</v>
      </c>
      <c r="K1069">
        <v>6291.3602941176468</v>
      </c>
    </row>
    <row r="1070" spans="1:11" x14ac:dyDescent="0.25">
      <c r="A1070" t="s">
        <v>1558</v>
      </c>
      <c r="B1070" t="s">
        <v>1559</v>
      </c>
      <c r="C1070" s="1">
        <v>41562</v>
      </c>
      <c r="D1070" s="1">
        <v>41575</v>
      </c>
      <c r="E1070">
        <v>2</v>
      </c>
      <c r="F1070" t="s">
        <v>887</v>
      </c>
      <c r="G1070" t="s">
        <v>16</v>
      </c>
      <c r="H1070" t="s">
        <v>1560</v>
      </c>
      <c r="I1070">
        <v>2.1817000000000002</v>
      </c>
      <c r="J1070">
        <v>48404.82</v>
      </c>
      <c r="K1070">
        <v>22186.744281981941</v>
      </c>
    </row>
    <row r="1071" spans="1:11" x14ac:dyDescent="0.25">
      <c r="A1071" t="s">
        <v>1558</v>
      </c>
      <c r="B1071" t="s">
        <v>1559</v>
      </c>
      <c r="C1071" s="1">
        <v>41562</v>
      </c>
      <c r="D1071" s="1">
        <v>41575</v>
      </c>
      <c r="E1071">
        <v>2</v>
      </c>
      <c r="F1071" t="s">
        <v>887</v>
      </c>
      <c r="G1071" t="s">
        <v>16</v>
      </c>
      <c r="H1071" t="s">
        <v>5024</v>
      </c>
      <c r="I1071">
        <v>2.1817000000000002</v>
      </c>
      <c r="J1071">
        <v>48274.52</v>
      </c>
      <c r="K1071">
        <v>22127.020213594904</v>
      </c>
    </row>
    <row r="1072" spans="1:11" x14ac:dyDescent="0.25">
      <c r="A1072" t="s">
        <v>1561</v>
      </c>
      <c r="B1072" t="s">
        <v>1562</v>
      </c>
      <c r="C1072" s="1">
        <v>41577</v>
      </c>
      <c r="D1072" s="1">
        <v>41589</v>
      </c>
      <c r="E1072">
        <v>5</v>
      </c>
      <c r="F1072" t="s">
        <v>887</v>
      </c>
      <c r="G1072" t="s">
        <v>16</v>
      </c>
      <c r="H1072" t="s">
        <v>1563</v>
      </c>
      <c r="I1072">
        <v>2.1804000000000001</v>
      </c>
      <c r="J1072">
        <v>47649.57</v>
      </c>
      <c r="K1072">
        <v>21853.591084204734</v>
      </c>
    </row>
    <row r="1073" spans="1:11" x14ac:dyDescent="0.25">
      <c r="A1073" t="s">
        <v>896</v>
      </c>
      <c r="B1073" t="s">
        <v>897</v>
      </c>
      <c r="C1073" s="1">
        <v>41563</v>
      </c>
      <c r="D1073" s="1">
        <v>41571</v>
      </c>
      <c r="E1073">
        <v>296</v>
      </c>
      <c r="F1073" t="s">
        <v>887</v>
      </c>
      <c r="G1073" t="s">
        <v>16</v>
      </c>
      <c r="H1073" t="s">
        <v>5025</v>
      </c>
      <c r="I1073">
        <v>2.1818</v>
      </c>
      <c r="J1073">
        <v>48756.61</v>
      </c>
      <c r="K1073">
        <v>22346.965808048401</v>
      </c>
    </row>
    <row r="1074" spans="1:11" x14ac:dyDescent="0.25">
      <c r="A1074" t="s">
        <v>896</v>
      </c>
      <c r="B1074" t="s">
        <v>897</v>
      </c>
      <c r="C1074" s="1">
        <v>41563</v>
      </c>
      <c r="D1074" s="1">
        <v>41571</v>
      </c>
      <c r="E1074">
        <v>296</v>
      </c>
      <c r="F1074" t="s">
        <v>887</v>
      </c>
      <c r="G1074" t="s">
        <v>16</v>
      </c>
      <c r="H1074" t="s">
        <v>5026</v>
      </c>
      <c r="I1074">
        <v>2.1818</v>
      </c>
      <c r="J1074">
        <v>49160.53</v>
      </c>
      <c r="K1074">
        <v>22532.097350811258</v>
      </c>
    </row>
    <row r="1075" spans="1:11" x14ac:dyDescent="0.25">
      <c r="A1075" t="s">
        <v>896</v>
      </c>
      <c r="B1075" t="s">
        <v>897</v>
      </c>
      <c r="C1075" s="1">
        <v>41563</v>
      </c>
      <c r="D1075" s="1">
        <v>41571</v>
      </c>
      <c r="E1075">
        <v>296</v>
      </c>
      <c r="F1075" t="s">
        <v>887</v>
      </c>
      <c r="G1075" t="s">
        <v>16</v>
      </c>
      <c r="H1075" t="s">
        <v>1564</v>
      </c>
      <c r="I1075">
        <v>2.1818</v>
      </c>
      <c r="J1075">
        <v>48978.12</v>
      </c>
      <c r="K1075">
        <v>22448.492070767257</v>
      </c>
    </row>
    <row r="1076" spans="1:11" x14ac:dyDescent="0.25">
      <c r="A1076" t="s">
        <v>896</v>
      </c>
      <c r="B1076" t="s">
        <v>897</v>
      </c>
      <c r="C1076" s="1">
        <v>41563</v>
      </c>
      <c r="D1076" s="1">
        <v>41571</v>
      </c>
      <c r="E1076">
        <v>296</v>
      </c>
      <c r="F1076" t="s">
        <v>887</v>
      </c>
      <c r="G1076" t="s">
        <v>16</v>
      </c>
      <c r="H1076" t="s">
        <v>5027</v>
      </c>
      <c r="I1076">
        <v>2.1818</v>
      </c>
      <c r="J1076">
        <v>47623.040000000001</v>
      </c>
      <c r="K1076">
        <v>21827.408561738015</v>
      </c>
    </row>
    <row r="1077" spans="1:11" x14ac:dyDescent="0.25">
      <c r="A1077" t="s">
        <v>1565</v>
      </c>
      <c r="B1077" t="s">
        <v>1566</v>
      </c>
      <c r="C1077" s="1">
        <v>41575</v>
      </c>
      <c r="D1077" s="1">
        <v>41584</v>
      </c>
      <c r="E1077">
        <v>18631</v>
      </c>
      <c r="F1077" t="s">
        <v>1553</v>
      </c>
      <c r="G1077" t="s">
        <v>16</v>
      </c>
      <c r="H1077" t="s">
        <v>1567</v>
      </c>
      <c r="I1077">
        <v>2.1848000000000001</v>
      </c>
      <c r="J1077">
        <v>16025.51</v>
      </c>
      <c r="K1077">
        <v>7335.0009154155987</v>
      </c>
    </row>
    <row r="1078" spans="1:11" x14ac:dyDescent="0.25">
      <c r="A1078" t="s">
        <v>1573</v>
      </c>
      <c r="B1078" t="s">
        <v>1574</v>
      </c>
      <c r="C1078" s="1">
        <v>41613</v>
      </c>
      <c r="D1078" s="1">
        <v>41618</v>
      </c>
      <c r="E1078">
        <v>18794</v>
      </c>
      <c r="F1078" t="s">
        <v>301</v>
      </c>
      <c r="G1078" t="s">
        <v>16</v>
      </c>
      <c r="H1078" t="s">
        <v>5028</v>
      </c>
      <c r="I1078">
        <v>2.3740000000000001</v>
      </c>
      <c r="J1078">
        <v>9932.7900000000009</v>
      </c>
      <c r="K1078">
        <v>4183.9890480202193</v>
      </c>
    </row>
    <row r="1079" spans="1:11" x14ac:dyDescent="0.25">
      <c r="A1079" t="s">
        <v>958</v>
      </c>
      <c r="B1079" t="s">
        <v>959</v>
      </c>
      <c r="C1079" s="1">
        <v>41634</v>
      </c>
      <c r="D1079" s="1">
        <v>41647</v>
      </c>
      <c r="E1079">
        <v>20364</v>
      </c>
      <c r="F1079" t="s">
        <v>318</v>
      </c>
      <c r="G1079" t="s">
        <v>16</v>
      </c>
      <c r="H1079" t="s">
        <v>1568</v>
      </c>
      <c r="I1079">
        <v>2.3553999999999999</v>
      </c>
      <c r="J1079">
        <v>74548.41</v>
      </c>
      <c r="K1079">
        <v>31650</v>
      </c>
    </row>
    <row r="1080" spans="1:11" x14ac:dyDescent="0.25">
      <c r="A1080" t="s">
        <v>972</v>
      </c>
      <c r="B1080" t="s">
        <v>973</v>
      </c>
      <c r="C1080" s="1">
        <v>41606</v>
      </c>
      <c r="D1080" s="1">
        <v>41612</v>
      </c>
      <c r="E1080">
        <v>19543</v>
      </c>
      <c r="F1080" t="s">
        <v>301</v>
      </c>
      <c r="G1080" t="s">
        <v>16</v>
      </c>
      <c r="H1080" t="s">
        <v>5029</v>
      </c>
      <c r="I1080">
        <v>2.3058000000000001</v>
      </c>
      <c r="J1080">
        <v>133884.35999999999</v>
      </c>
      <c r="K1080">
        <v>58064.16861826698</v>
      </c>
    </row>
    <row r="1081" spans="1:11" x14ac:dyDescent="0.25">
      <c r="A1081" t="s">
        <v>950</v>
      </c>
      <c r="B1081" t="s">
        <v>951</v>
      </c>
      <c r="C1081" s="1">
        <v>41600</v>
      </c>
      <c r="D1081" s="1">
        <v>41605</v>
      </c>
      <c r="E1081">
        <v>501</v>
      </c>
      <c r="F1081" t="s">
        <v>309</v>
      </c>
      <c r="G1081" t="s">
        <v>16</v>
      </c>
      <c r="H1081" t="s">
        <v>5030</v>
      </c>
      <c r="I1081">
        <v>2.3067000000000002</v>
      </c>
      <c r="J1081">
        <v>92420.800000000003</v>
      </c>
      <c r="K1081">
        <v>40066.241817314782</v>
      </c>
    </row>
    <row r="1082" spans="1:11" x14ac:dyDescent="0.25">
      <c r="A1082" t="s">
        <v>964</v>
      </c>
      <c r="B1082" t="s">
        <v>965</v>
      </c>
      <c r="C1082" s="1">
        <v>41606</v>
      </c>
      <c r="D1082" s="1">
        <v>41610</v>
      </c>
      <c r="E1082">
        <v>18802</v>
      </c>
      <c r="F1082" t="s">
        <v>301</v>
      </c>
      <c r="G1082" t="s">
        <v>16</v>
      </c>
      <c r="H1082" t="s">
        <v>1569</v>
      </c>
      <c r="I1082">
        <v>2.3058000000000001</v>
      </c>
      <c r="J1082">
        <v>9980.01</v>
      </c>
      <c r="K1082">
        <v>4328.2201405152227</v>
      </c>
    </row>
    <row r="1083" spans="1:11" x14ac:dyDescent="0.25">
      <c r="A1083" t="s">
        <v>967</v>
      </c>
      <c r="B1083" t="s">
        <v>968</v>
      </c>
      <c r="C1083" s="1">
        <v>41618</v>
      </c>
      <c r="D1083" s="1">
        <v>41635</v>
      </c>
      <c r="E1083">
        <v>53</v>
      </c>
      <c r="F1083" t="s">
        <v>301</v>
      </c>
      <c r="G1083" t="s">
        <v>16</v>
      </c>
      <c r="H1083" t="s">
        <v>1570</v>
      </c>
      <c r="I1083">
        <v>2.3224999999999998</v>
      </c>
      <c r="J1083">
        <v>36414.99</v>
      </c>
      <c r="K1083">
        <v>15679.220667384285</v>
      </c>
    </row>
    <row r="1084" spans="1:11" x14ac:dyDescent="0.25">
      <c r="A1084" t="s">
        <v>1571</v>
      </c>
      <c r="B1084" t="s">
        <v>297</v>
      </c>
      <c r="C1084" s="1">
        <v>41613</v>
      </c>
      <c r="D1084" s="1">
        <v>41621</v>
      </c>
      <c r="E1084">
        <v>18741</v>
      </c>
      <c r="F1084" t="s">
        <v>370</v>
      </c>
      <c r="G1084" t="s">
        <v>16</v>
      </c>
      <c r="H1084" t="s">
        <v>1572</v>
      </c>
      <c r="I1084">
        <v>2.3740000000000001</v>
      </c>
      <c r="J1084">
        <v>40880.28</v>
      </c>
      <c r="K1084">
        <v>17220</v>
      </c>
    </row>
    <row r="1085" spans="1:11" x14ac:dyDescent="0.25">
      <c r="A1085" t="s">
        <v>1573</v>
      </c>
      <c r="B1085" t="s">
        <v>1574</v>
      </c>
      <c r="C1085" s="1">
        <v>41618</v>
      </c>
      <c r="D1085" s="1">
        <v>41624</v>
      </c>
      <c r="E1085">
        <v>18794</v>
      </c>
      <c r="F1085" t="s">
        <v>301</v>
      </c>
      <c r="G1085" t="s">
        <v>16</v>
      </c>
      <c r="H1085" t="s">
        <v>1575</v>
      </c>
      <c r="I1085">
        <v>2.3224999999999998</v>
      </c>
      <c r="J1085">
        <v>13050.01</v>
      </c>
      <c r="K1085">
        <v>5618.9494079655542</v>
      </c>
    </row>
    <row r="1086" spans="1:11" x14ac:dyDescent="0.25">
      <c r="A1086" t="s">
        <v>1020</v>
      </c>
      <c r="B1086" t="s">
        <v>1021</v>
      </c>
      <c r="C1086" s="1">
        <v>41635</v>
      </c>
      <c r="D1086" s="1">
        <v>41645</v>
      </c>
      <c r="E1086">
        <v>19971</v>
      </c>
      <c r="F1086" t="s">
        <v>309</v>
      </c>
      <c r="G1086" t="s">
        <v>16</v>
      </c>
      <c r="H1086" t="s">
        <v>1576</v>
      </c>
      <c r="I1086">
        <v>2.3506999999999998</v>
      </c>
      <c r="J1086">
        <v>50439.51</v>
      </c>
      <c r="K1086">
        <v>21457.229761347684</v>
      </c>
    </row>
    <row r="1087" spans="1:11" x14ac:dyDescent="0.25">
      <c r="A1087" t="s">
        <v>1020</v>
      </c>
      <c r="B1087" t="s">
        <v>1021</v>
      </c>
      <c r="C1087" s="1">
        <v>41635</v>
      </c>
      <c r="D1087" s="1">
        <v>41645</v>
      </c>
      <c r="E1087">
        <v>19971</v>
      </c>
      <c r="F1087" t="s">
        <v>309</v>
      </c>
      <c r="G1087" t="s">
        <v>16</v>
      </c>
      <c r="H1087" t="s">
        <v>5031</v>
      </c>
      <c r="I1087">
        <v>2.3506999999999998</v>
      </c>
      <c r="J1087">
        <v>50439.51</v>
      </c>
      <c r="K1087">
        <v>21457.229761347684</v>
      </c>
    </row>
    <row r="1088" spans="1:11" x14ac:dyDescent="0.25">
      <c r="A1088" t="s">
        <v>972</v>
      </c>
      <c r="B1088" t="s">
        <v>973</v>
      </c>
      <c r="C1088" s="1">
        <v>41605</v>
      </c>
      <c r="D1088" s="1">
        <v>41610</v>
      </c>
      <c r="E1088">
        <v>19543</v>
      </c>
      <c r="F1088" t="s">
        <v>301</v>
      </c>
      <c r="G1088" t="s">
        <v>16</v>
      </c>
      <c r="H1088" t="s">
        <v>3066</v>
      </c>
      <c r="I1088">
        <v>2.3039999999999998</v>
      </c>
      <c r="J1088">
        <v>189912.41</v>
      </c>
      <c r="K1088">
        <v>82427.261284722219</v>
      </c>
    </row>
    <row r="1089" spans="1:11" x14ac:dyDescent="0.25">
      <c r="A1089" t="s">
        <v>972</v>
      </c>
      <c r="B1089" t="s">
        <v>973</v>
      </c>
      <c r="C1089" s="1">
        <v>41605</v>
      </c>
      <c r="D1089" s="1">
        <v>41610</v>
      </c>
      <c r="E1089">
        <v>19543</v>
      </c>
      <c r="F1089" t="s">
        <v>301</v>
      </c>
      <c r="G1089" t="s">
        <v>16</v>
      </c>
      <c r="H1089" t="s">
        <v>5032</v>
      </c>
      <c r="I1089">
        <v>2.3039999999999998</v>
      </c>
      <c r="J1089">
        <v>266521.40000000002</v>
      </c>
      <c r="K1089">
        <v>115677.69097222222</v>
      </c>
    </row>
    <row r="1090" spans="1:11" x14ac:dyDescent="0.25">
      <c r="A1090" t="s">
        <v>972</v>
      </c>
      <c r="B1090" t="s">
        <v>973</v>
      </c>
      <c r="C1090" s="1">
        <v>41606</v>
      </c>
      <c r="D1090" s="1">
        <v>41610</v>
      </c>
      <c r="E1090">
        <v>19543</v>
      </c>
      <c r="F1090" t="s">
        <v>301</v>
      </c>
      <c r="G1090" t="s">
        <v>16</v>
      </c>
      <c r="H1090" t="s">
        <v>1577</v>
      </c>
      <c r="I1090">
        <v>2.3058000000000001</v>
      </c>
      <c r="J1090">
        <v>13572.79</v>
      </c>
      <c r="K1090">
        <v>5886.3691560412872</v>
      </c>
    </row>
    <row r="1091" spans="1:11" x14ac:dyDescent="0.25">
      <c r="A1091" t="s">
        <v>961</v>
      </c>
      <c r="B1091" t="s">
        <v>962</v>
      </c>
      <c r="C1091" s="1">
        <v>41626</v>
      </c>
      <c r="D1091" s="1">
        <v>41634</v>
      </c>
      <c r="E1091">
        <v>695</v>
      </c>
      <c r="F1091" t="s">
        <v>278</v>
      </c>
      <c r="G1091" t="s">
        <v>16</v>
      </c>
      <c r="H1091" t="s">
        <v>1578</v>
      </c>
      <c r="I1091">
        <v>2.3220999999999998</v>
      </c>
      <c r="J1091">
        <v>198813.6</v>
      </c>
      <c r="K1091">
        <v>85618.018173205288</v>
      </c>
    </row>
    <row r="1092" spans="1:11" x14ac:dyDescent="0.25">
      <c r="A1092" t="s">
        <v>950</v>
      </c>
      <c r="B1092" t="s">
        <v>951</v>
      </c>
      <c r="C1092" s="1">
        <v>41600</v>
      </c>
      <c r="D1092" s="1">
        <v>41611</v>
      </c>
      <c r="E1092">
        <v>501</v>
      </c>
      <c r="F1092" t="s">
        <v>309</v>
      </c>
      <c r="G1092" t="s">
        <v>16</v>
      </c>
      <c r="H1092" t="s">
        <v>1579</v>
      </c>
      <c r="I1092">
        <v>2.3067000000000002</v>
      </c>
      <c r="J1092">
        <v>94387.199999999997</v>
      </c>
      <c r="K1092">
        <v>40918.71504747041</v>
      </c>
    </row>
    <row r="1093" spans="1:11" x14ac:dyDescent="0.25">
      <c r="A1093" t="s">
        <v>972</v>
      </c>
      <c r="B1093" t="s">
        <v>973</v>
      </c>
      <c r="C1093" s="1">
        <v>41625</v>
      </c>
      <c r="D1093" s="1">
        <v>41635</v>
      </c>
      <c r="E1093">
        <v>19543</v>
      </c>
      <c r="F1093" t="s">
        <v>301</v>
      </c>
      <c r="G1093" t="s">
        <v>16</v>
      </c>
      <c r="H1093" t="s">
        <v>1580</v>
      </c>
      <c r="I1093">
        <v>2.3254999999999999</v>
      </c>
      <c r="J1093">
        <v>139416.31</v>
      </c>
      <c r="K1093">
        <v>59951.111588905609</v>
      </c>
    </row>
    <row r="1094" spans="1:11" x14ac:dyDescent="0.25">
      <c r="A1094" t="s">
        <v>2029</v>
      </c>
      <c r="B1094" t="s">
        <v>2030</v>
      </c>
      <c r="C1094" s="1">
        <v>41635</v>
      </c>
      <c r="D1094" s="1">
        <v>41636</v>
      </c>
      <c r="E1094">
        <v>19678</v>
      </c>
      <c r="F1094" t="s">
        <v>309</v>
      </c>
      <c r="G1094" t="s">
        <v>16</v>
      </c>
      <c r="H1094" t="s">
        <v>5033</v>
      </c>
      <c r="I1094">
        <v>2.3506999999999998</v>
      </c>
      <c r="J1094">
        <v>50439.51</v>
      </c>
      <c r="K1094">
        <v>21457.229761347684</v>
      </c>
    </row>
    <row r="1095" spans="1:11" x14ac:dyDescent="0.25">
      <c r="A1095" t="s">
        <v>5034</v>
      </c>
      <c r="B1095" t="s">
        <v>5035</v>
      </c>
      <c r="C1095" s="1">
        <v>41646</v>
      </c>
      <c r="D1095" s="1">
        <v>41659</v>
      </c>
      <c r="E1095">
        <v>18160</v>
      </c>
      <c r="F1095" t="s">
        <v>642</v>
      </c>
      <c r="G1095" t="s">
        <v>16</v>
      </c>
      <c r="H1095" t="s">
        <v>5036</v>
      </c>
      <c r="I1095">
        <v>2.3788999999999998</v>
      </c>
      <c r="J1095">
        <v>23409.599999999999</v>
      </c>
      <c r="K1095">
        <v>9840.514523519274</v>
      </c>
    </row>
    <row r="1096" spans="1:11" x14ac:dyDescent="0.25">
      <c r="A1096" t="s">
        <v>964</v>
      </c>
      <c r="B1096" t="s">
        <v>965</v>
      </c>
      <c r="C1096" s="1">
        <v>41648</v>
      </c>
      <c r="D1096" s="1">
        <v>41659</v>
      </c>
      <c r="E1096">
        <v>18802</v>
      </c>
      <c r="F1096" t="s">
        <v>675</v>
      </c>
      <c r="G1096" t="s">
        <v>16</v>
      </c>
      <c r="H1096" t="s">
        <v>1581</v>
      </c>
      <c r="I1096">
        <v>2.3778999999999999</v>
      </c>
      <c r="J1096">
        <v>107055</v>
      </c>
      <c r="K1096">
        <v>45020.816686992723</v>
      </c>
    </row>
    <row r="1097" spans="1:11" x14ac:dyDescent="0.25">
      <c r="A1097" t="s">
        <v>1582</v>
      </c>
      <c r="B1097" t="s">
        <v>1583</v>
      </c>
      <c r="C1097" s="1">
        <v>41653</v>
      </c>
      <c r="D1097" s="1">
        <v>41659</v>
      </c>
      <c r="E1097">
        <v>20372</v>
      </c>
      <c r="F1097" t="s">
        <v>309</v>
      </c>
      <c r="G1097" t="s">
        <v>16</v>
      </c>
      <c r="H1097" t="s">
        <v>5037</v>
      </c>
      <c r="I1097">
        <v>2.3491</v>
      </c>
      <c r="J1097">
        <v>34091.99</v>
      </c>
      <c r="K1097">
        <v>14512.787876207909</v>
      </c>
    </row>
    <row r="1098" spans="1:11" x14ac:dyDescent="0.25">
      <c r="A1098" t="s">
        <v>1582</v>
      </c>
      <c r="B1098" t="s">
        <v>1583</v>
      </c>
      <c r="C1098" s="1">
        <v>41653</v>
      </c>
      <c r="D1098" s="1">
        <v>41656</v>
      </c>
      <c r="E1098">
        <v>20372</v>
      </c>
      <c r="F1098" t="s">
        <v>309</v>
      </c>
      <c r="G1098" t="s">
        <v>16</v>
      </c>
      <c r="H1098" t="s">
        <v>1584</v>
      </c>
      <c r="I1098">
        <v>2.3491</v>
      </c>
      <c r="J1098">
        <v>24425.11</v>
      </c>
      <c r="K1098">
        <v>10397.645906943084</v>
      </c>
    </row>
    <row r="1099" spans="1:11" x14ac:dyDescent="0.25">
      <c r="A1099" t="s">
        <v>1020</v>
      </c>
      <c r="B1099" t="s">
        <v>1021</v>
      </c>
      <c r="C1099" s="1">
        <v>41647</v>
      </c>
      <c r="D1099" s="1">
        <v>41651</v>
      </c>
      <c r="E1099">
        <v>19971</v>
      </c>
      <c r="F1099" t="s">
        <v>309</v>
      </c>
      <c r="G1099" t="s">
        <v>16</v>
      </c>
      <c r="H1099" t="s">
        <v>5038</v>
      </c>
      <c r="I1099">
        <v>2.3633999999999999</v>
      </c>
      <c r="J1099">
        <v>50439.51</v>
      </c>
      <c r="K1099">
        <v>21341.926884996192</v>
      </c>
    </row>
    <row r="1100" spans="1:11" x14ac:dyDescent="0.25">
      <c r="A1100" t="s">
        <v>979</v>
      </c>
      <c r="B1100" t="s">
        <v>980</v>
      </c>
      <c r="C1100" s="1">
        <v>41661</v>
      </c>
      <c r="D1100" s="1">
        <v>41667</v>
      </c>
      <c r="E1100">
        <v>20659</v>
      </c>
      <c r="F1100" t="s">
        <v>887</v>
      </c>
      <c r="G1100" t="s">
        <v>16</v>
      </c>
      <c r="H1100" t="s">
        <v>1585</v>
      </c>
      <c r="I1100">
        <v>2.3607999999999998</v>
      </c>
      <c r="J1100">
        <v>53423.02</v>
      </c>
      <c r="K1100">
        <v>22629.201965435444</v>
      </c>
    </row>
    <row r="1101" spans="1:11" x14ac:dyDescent="0.25">
      <c r="A1101" t="s">
        <v>976</v>
      </c>
      <c r="B1101" t="s">
        <v>977</v>
      </c>
      <c r="C1101" s="1">
        <v>41675</v>
      </c>
      <c r="D1101" s="1">
        <v>41680</v>
      </c>
      <c r="E1101">
        <v>20661</v>
      </c>
      <c r="F1101" t="s">
        <v>309</v>
      </c>
      <c r="G1101" t="s">
        <v>16</v>
      </c>
      <c r="H1101" t="s">
        <v>5039</v>
      </c>
      <c r="I1101">
        <v>2.4177</v>
      </c>
      <c r="J1101">
        <v>34491.47</v>
      </c>
      <c r="K1101">
        <v>14266.232369607478</v>
      </c>
    </row>
    <row r="1102" spans="1:11" x14ac:dyDescent="0.25">
      <c r="A1102" t="s">
        <v>976</v>
      </c>
      <c r="B1102" t="s">
        <v>977</v>
      </c>
      <c r="C1102" s="1">
        <v>41656</v>
      </c>
      <c r="D1102" s="1">
        <v>41660</v>
      </c>
      <c r="E1102">
        <v>20661</v>
      </c>
      <c r="F1102" t="s">
        <v>309</v>
      </c>
      <c r="G1102" t="s">
        <v>16</v>
      </c>
      <c r="H1102" t="s">
        <v>5040</v>
      </c>
      <c r="I1102">
        <v>2.3683000000000001</v>
      </c>
      <c r="J1102">
        <v>25221.98</v>
      </c>
      <c r="K1102">
        <v>10649.824768821518</v>
      </c>
    </row>
    <row r="1103" spans="1:11" x14ac:dyDescent="0.25">
      <c r="A1103" t="s">
        <v>1009</v>
      </c>
      <c r="B1103" t="s">
        <v>1010</v>
      </c>
      <c r="C1103" s="1">
        <v>41677</v>
      </c>
      <c r="D1103" s="1">
        <v>41682</v>
      </c>
      <c r="E1103">
        <v>21373</v>
      </c>
      <c r="F1103" t="s">
        <v>331</v>
      </c>
      <c r="G1103" t="s">
        <v>16</v>
      </c>
      <c r="H1103" t="s">
        <v>1586</v>
      </c>
      <c r="I1103">
        <v>2.4041000000000001</v>
      </c>
      <c r="J1103">
        <v>26789.62</v>
      </c>
      <c r="K1103">
        <v>11143.305186972255</v>
      </c>
    </row>
    <row r="1104" spans="1:11" x14ac:dyDescent="0.25">
      <c r="A1104" t="s">
        <v>989</v>
      </c>
      <c r="B1104" t="s">
        <v>990</v>
      </c>
      <c r="C1104" s="1">
        <v>41676</v>
      </c>
      <c r="D1104" s="1">
        <v>41682</v>
      </c>
      <c r="E1104">
        <v>21501</v>
      </c>
      <c r="F1104" t="s">
        <v>309</v>
      </c>
      <c r="G1104" t="s">
        <v>16</v>
      </c>
      <c r="H1104" t="s">
        <v>1587</v>
      </c>
      <c r="I1104">
        <v>2.4106000000000001</v>
      </c>
      <c r="J1104">
        <v>60533.85</v>
      </c>
      <c r="K1104">
        <v>25111.528250228159</v>
      </c>
    </row>
    <row r="1105" spans="1:11" x14ac:dyDescent="0.25">
      <c r="A1105" t="s">
        <v>1009</v>
      </c>
      <c r="B1105" t="s">
        <v>1010</v>
      </c>
      <c r="C1105" s="1">
        <v>41675</v>
      </c>
      <c r="D1105" s="1">
        <v>41684</v>
      </c>
      <c r="E1105">
        <v>21373</v>
      </c>
      <c r="F1105" t="s">
        <v>331</v>
      </c>
      <c r="G1105" t="s">
        <v>16</v>
      </c>
      <c r="H1105" t="s">
        <v>1588</v>
      </c>
      <c r="I1105">
        <v>2.4177</v>
      </c>
      <c r="J1105">
        <v>30812.26</v>
      </c>
      <c r="K1105">
        <v>12744.451338048559</v>
      </c>
    </row>
    <row r="1106" spans="1:11" x14ac:dyDescent="0.25">
      <c r="A1106" t="s">
        <v>1009</v>
      </c>
      <c r="B1106" t="s">
        <v>1010</v>
      </c>
      <c r="C1106" s="1">
        <v>41678</v>
      </c>
      <c r="D1106" s="1">
        <v>41684</v>
      </c>
      <c r="E1106">
        <v>21373</v>
      </c>
      <c r="F1106" t="s">
        <v>331</v>
      </c>
      <c r="G1106" t="s">
        <v>16</v>
      </c>
      <c r="H1106" t="s">
        <v>1589</v>
      </c>
      <c r="I1106">
        <v>2.3816999999999999</v>
      </c>
      <c r="J1106">
        <v>26100.98</v>
      </c>
      <c r="K1106">
        <v>10958.970483268255</v>
      </c>
    </row>
    <row r="1107" spans="1:11" x14ac:dyDescent="0.25">
      <c r="A1107" t="s">
        <v>4285</v>
      </c>
      <c r="B1107" t="s">
        <v>4286</v>
      </c>
      <c r="C1107" s="1">
        <v>41628</v>
      </c>
      <c r="D1107" s="1">
        <v>41654</v>
      </c>
      <c r="E1107">
        <v>20480</v>
      </c>
      <c r="F1107" t="s">
        <v>318</v>
      </c>
      <c r="G1107" t="s">
        <v>16</v>
      </c>
      <c r="H1107" t="s">
        <v>5041</v>
      </c>
      <c r="I1107">
        <v>2.3527999999999998</v>
      </c>
      <c r="J1107">
        <v>130144.85</v>
      </c>
      <c r="K1107">
        <v>55314.880142808572</v>
      </c>
    </row>
    <row r="1108" spans="1:11" x14ac:dyDescent="0.25">
      <c r="A1108" t="s">
        <v>976</v>
      </c>
      <c r="B1108" t="s">
        <v>977</v>
      </c>
      <c r="C1108" s="1">
        <v>41654</v>
      </c>
      <c r="D1108" s="1">
        <v>41660</v>
      </c>
      <c r="E1108">
        <v>20661</v>
      </c>
      <c r="F1108" t="s">
        <v>309</v>
      </c>
      <c r="G1108" t="s">
        <v>16</v>
      </c>
      <c r="H1108" t="s">
        <v>1590</v>
      </c>
      <c r="I1108">
        <v>2.3616999999999999</v>
      </c>
      <c r="J1108">
        <v>20434.88</v>
      </c>
      <c r="K1108">
        <v>8652.6146419951729</v>
      </c>
    </row>
    <row r="1109" spans="1:11" x14ac:dyDescent="0.25">
      <c r="A1109" t="s">
        <v>976</v>
      </c>
      <c r="B1109" t="s">
        <v>977</v>
      </c>
      <c r="C1109" s="1">
        <v>41655</v>
      </c>
      <c r="D1109" s="1">
        <v>41660</v>
      </c>
      <c r="E1109">
        <v>20661</v>
      </c>
      <c r="F1109" t="s">
        <v>309</v>
      </c>
      <c r="G1109" t="s">
        <v>16</v>
      </c>
      <c r="H1109" t="s">
        <v>5042</v>
      </c>
      <c r="I1109">
        <v>2.347</v>
      </c>
      <c r="J1109">
        <v>25249.06</v>
      </c>
      <c r="K1109">
        <v>10758.014486578611</v>
      </c>
    </row>
    <row r="1110" spans="1:11" x14ac:dyDescent="0.25">
      <c r="A1110" t="s">
        <v>993</v>
      </c>
      <c r="B1110" t="s">
        <v>994</v>
      </c>
      <c r="C1110" s="1">
        <v>41650</v>
      </c>
      <c r="D1110" s="1">
        <v>41655</v>
      </c>
      <c r="E1110">
        <v>20658</v>
      </c>
      <c r="F1110" t="s">
        <v>887</v>
      </c>
      <c r="G1110" t="s">
        <v>16</v>
      </c>
      <c r="H1110" t="s">
        <v>5043</v>
      </c>
      <c r="I1110">
        <v>2.3818999999999999</v>
      </c>
      <c r="J1110">
        <v>50410.53</v>
      </c>
      <c r="K1110">
        <v>21163.999328267349</v>
      </c>
    </row>
    <row r="1111" spans="1:11" x14ac:dyDescent="0.25">
      <c r="A1111" t="s">
        <v>1020</v>
      </c>
      <c r="B1111" t="s">
        <v>1021</v>
      </c>
      <c r="C1111" s="1">
        <v>41646</v>
      </c>
      <c r="D1111" s="1">
        <v>41649</v>
      </c>
      <c r="E1111">
        <v>19971</v>
      </c>
      <c r="F1111" t="s">
        <v>309</v>
      </c>
      <c r="G1111" t="s">
        <v>16</v>
      </c>
      <c r="H1111" t="s">
        <v>1591</v>
      </c>
      <c r="I1111">
        <v>2.3788999999999998</v>
      </c>
      <c r="J1111">
        <v>66798.27</v>
      </c>
      <c r="K1111">
        <v>28079.477909958383</v>
      </c>
    </row>
    <row r="1112" spans="1:11" x14ac:dyDescent="0.25">
      <c r="A1112" t="s">
        <v>993</v>
      </c>
      <c r="B1112" t="s">
        <v>994</v>
      </c>
      <c r="C1112" s="1">
        <v>41649</v>
      </c>
      <c r="D1112" s="1">
        <v>41655</v>
      </c>
      <c r="E1112">
        <v>20658</v>
      </c>
      <c r="F1112" t="s">
        <v>887</v>
      </c>
      <c r="G1112" t="s">
        <v>16</v>
      </c>
      <c r="H1112" t="s">
        <v>5044</v>
      </c>
      <c r="I1112">
        <v>2.3959999999999999</v>
      </c>
      <c r="J1112">
        <v>65428.77</v>
      </c>
      <c r="K1112">
        <v>27307.5</v>
      </c>
    </row>
    <row r="1113" spans="1:11" x14ac:dyDescent="0.25">
      <c r="A1113" t="s">
        <v>1020</v>
      </c>
      <c r="B1113" t="s">
        <v>1021</v>
      </c>
      <c r="C1113" s="1">
        <v>41646</v>
      </c>
      <c r="D1113" s="1">
        <v>41649</v>
      </c>
      <c r="E1113">
        <v>19971</v>
      </c>
      <c r="F1113" t="s">
        <v>309</v>
      </c>
      <c r="G1113" t="s">
        <v>16</v>
      </c>
      <c r="H1113" t="s">
        <v>5045</v>
      </c>
      <c r="I1113">
        <v>2.3788999999999998</v>
      </c>
      <c r="J1113">
        <v>66798.27</v>
      </c>
      <c r="K1113">
        <v>28079.477909958383</v>
      </c>
    </row>
    <row r="1114" spans="1:11" x14ac:dyDescent="0.25">
      <c r="A1114" t="s">
        <v>2534</v>
      </c>
      <c r="B1114" t="s">
        <v>2535</v>
      </c>
      <c r="C1114" s="1">
        <v>41650</v>
      </c>
      <c r="D1114" s="1">
        <v>41656</v>
      </c>
      <c r="E1114">
        <v>20370</v>
      </c>
      <c r="F1114" t="s">
        <v>887</v>
      </c>
      <c r="G1114" t="s">
        <v>16</v>
      </c>
      <c r="H1114" t="s">
        <v>5046</v>
      </c>
      <c r="I1114">
        <v>2.3818999999999999</v>
      </c>
      <c r="J1114">
        <v>47345.03</v>
      </c>
      <c r="K1114">
        <v>19877.001553381753</v>
      </c>
    </row>
    <row r="1115" spans="1:11" x14ac:dyDescent="0.25">
      <c r="A1115" t="s">
        <v>1009</v>
      </c>
      <c r="B1115" t="s">
        <v>1010</v>
      </c>
      <c r="C1115" s="1">
        <v>41675</v>
      </c>
      <c r="D1115" s="1">
        <v>41679</v>
      </c>
      <c r="E1115">
        <v>21373</v>
      </c>
      <c r="F1115" t="s">
        <v>331</v>
      </c>
      <c r="G1115" t="s">
        <v>16</v>
      </c>
      <c r="H1115" t="s">
        <v>1592</v>
      </c>
      <c r="I1115">
        <v>2.4177</v>
      </c>
      <c r="J1115">
        <v>21776.01</v>
      </c>
      <c r="K1115">
        <v>9006.9115274847991</v>
      </c>
    </row>
    <row r="1116" spans="1:11" x14ac:dyDescent="0.25">
      <c r="A1116" t="s">
        <v>976</v>
      </c>
      <c r="B1116" t="s">
        <v>977</v>
      </c>
      <c r="C1116" s="1">
        <v>41654</v>
      </c>
      <c r="D1116" s="1">
        <v>41657</v>
      </c>
      <c r="E1116">
        <v>20661</v>
      </c>
      <c r="F1116" t="s">
        <v>309</v>
      </c>
      <c r="G1116" t="s">
        <v>16</v>
      </c>
      <c r="H1116" t="s">
        <v>5047</v>
      </c>
      <c r="I1116">
        <v>2.3616999999999999</v>
      </c>
      <c r="J1116">
        <v>24896.97</v>
      </c>
      <c r="K1116">
        <v>10541.969767540331</v>
      </c>
    </row>
    <row r="1117" spans="1:11" x14ac:dyDescent="0.25">
      <c r="A1117" t="s">
        <v>976</v>
      </c>
      <c r="B1117" t="s">
        <v>977</v>
      </c>
      <c r="C1117" s="1">
        <v>41654</v>
      </c>
      <c r="D1117" s="1">
        <v>41657</v>
      </c>
      <c r="E1117">
        <v>20661</v>
      </c>
      <c r="F1117" t="s">
        <v>309</v>
      </c>
      <c r="G1117" t="s">
        <v>16</v>
      </c>
      <c r="H1117" t="s">
        <v>1593</v>
      </c>
      <c r="I1117">
        <v>2.3616999999999999</v>
      </c>
      <c r="J1117">
        <v>25445.42</v>
      </c>
      <c r="K1117">
        <v>10774.196553330228</v>
      </c>
    </row>
    <row r="1118" spans="1:11" x14ac:dyDescent="0.25">
      <c r="A1118" t="s">
        <v>976</v>
      </c>
      <c r="B1118" t="s">
        <v>977</v>
      </c>
      <c r="C1118" s="1">
        <v>41676</v>
      </c>
      <c r="D1118" s="1">
        <v>41680</v>
      </c>
      <c r="E1118">
        <v>20661</v>
      </c>
      <c r="F1118" t="s">
        <v>309</v>
      </c>
      <c r="G1118" t="s">
        <v>16</v>
      </c>
      <c r="H1118" t="s">
        <v>5048</v>
      </c>
      <c r="I1118">
        <v>2.4106000000000001</v>
      </c>
      <c r="J1118">
        <v>24307.89</v>
      </c>
      <c r="K1118">
        <v>10083.750933377582</v>
      </c>
    </row>
    <row r="1119" spans="1:11" x14ac:dyDescent="0.25">
      <c r="A1119" t="s">
        <v>976</v>
      </c>
      <c r="B1119" t="s">
        <v>977</v>
      </c>
      <c r="C1119" s="1">
        <v>41676</v>
      </c>
      <c r="D1119" s="1">
        <v>41680</v>
      </c>
      <c r="E1119">
        <v>20661</v>
      </c>
      <c r="F1119" t="s">
        <v>309</v>
      </c>
      <c r="G1119" t="s">
        <v>16</v>
      </c>
      <c r="H1119" t="s">
        <v>5049</v>
      </c>
      <c r="I1119">
        <v>2.4106000000000001</v>
      </c>
      <c r="J1119">
        <v>23881.32</v>
      </c>
      <c r="K1119">
        <v>9906.7949887994691</v>
      </c>
    </row>
    <row r="1120" spans="1:11" x14ac:dyDescent="0.25">
      <c r="A1120" t="s">
        <v>1594</v>
      </c>
      <c r="B1120" t="s">
        <v>1595</v>
      </c>
      <c r="C1120" s="1">
        <v>41575</v>
      </c>
      <c r="D1120" s="1">
        <v>41652</v>
      </c>
      <c r="E1120">
        <v>9</v>
      </c>
      <c r="F1120" t="s">
        <v>665</v>
      </c>
      <c r="G1120" t="s">
        <v>16</v>
      </c>
      <c r="H1120" t="s">
        <v>1017</v>
      </c>
      <c r="I1120">
        <v>2.1848000000000001</v>
      </c>
      <c r="J1120">
        <v>10766.69</v>
      </c>
      <c r="K1120">
        <v>4927.9979860856829</v>
      </c>
    </row>
    <row r="1121" spans="1:11" x14ac:dyDescent="0.25">
      <c r="A1121" t="s">
        <v>1009</v>
      </c>
      <c r="B1121" t="s">
        <v>1010</v>
      </c>
      <c r="C1121" s="1">
        <v>41675</v>
      </c>
      <c r="D1121" s="1">
        <v>41681</v>
      </c>
      <c r="E1121">
        <v>21373</v>
      </c>
      <c r="F1121" t="s">
        <v>331</v>
      </c>
      <c r="G1121" t="s">
        <v>16</v>
      </c>
      <c r="H1121" t="s">
        <v>1596</v>
      </c>
      <c r="I1121">
        <v>2.4177</v>
      </c>
      <c r="J1121">
        <v>20331.560000000001</v>
      </c>
      <c r="K1121">
        <v>8409.4635397278398</v>
      </c>
    </row>
    <row r="1122" spans="1:11" x14ac:dyDescent="0.25">
      <c r="A1122" t="s">
        <v>976</v>
      </c>
      <c r="B1122" t="s">
        <v>977</v>
      </c>
      <c r="C1122" s="1">
        <v>41678</v>
      </c>
      <c r="D1122" s="1">
        <v>41681</v>
      </c>
      <c r="E1122">
        <v>20661</v>
      </c>
      <c r="F1122" t="s">
        <v>309</v>
      </c>
      <c r="G1122" t="s">
        <v>16</v>
      </c>
      <c r="H1122" t="s">
        <v>1597</v>
      </c>
      <c r="I1122">
        <v>2.3816999999999999</v>
      </c>
      <c r="J1122">
        <v>25228.75</v>
      </c>
      <c r="K1122">
        <v>10592.748876852669</v>
      </c>
    </row>
    <row r="1123" spans="1:11" x14ac:dyDescent="0.25">
      <c r="A1123" t="s">
        <v>1020</v>
      </c>
      <c r="B1123" t="s">
        <v>1021</v>
      </c>
      <c r="C1123" s="1">
        <v>41701</v>
      </c>
      <c r="D1123" s="1">
        <v>41706</v>
      </c>
      <c r="E1123">
        <v>19971</v>
      </c>
      <c r="F1123" t="s">
        <v>309</v>
      </c>
      <c r="G1123" t="s">
        <v>16</v>
      </c>
      <c r="H1123" t="s">
        <v>5050</v>
      </c>
      <c r="I1123">
        <v>2.3334000000000001</v>
      </c>
      <c r="J1123">
        <v>50439.51</v>
      </c>
      <c r="K1123">
        <v>21616.315248135768</v>
      </c>
    </row>
    <row r="1124" spans="1:11" x14ac:dyDescent="0.25">
      <c r="A1124" t="s">
        <v>976</v>
      </c>
      <c r="B1124" t="s">
        <v>977</v>
      </c>
      <c r="C1124" s="1">
        <v>41688</v>
      </c>
      <c r="D1124" s="1">
        <v>41694</v>
      </c>
      <c r="E1124">
        <v>20661</v>
      </c>
      <c r="F1124" t="s">
        <v>309</v>
      </c>
      <c r="G1124" t="s">
        <v>16</v>
      </c>
      <c r="H1124" t="s">
        <v>5051</v>
      </c>
      <c r="I1124">
        <v>2.387</v>
      </c>
      <c r="J1124">
        <v>34234.18</v>
      </c>
      <c r="K1124">
        <v>14341.927105152912</v>
      </c>
    </row>
    <row r="1125" spans="1:11" x14ac:dyDescent="0.25">
      <c r="A1125" t="s">
        <v>976</v>
      </c>
      <c r="B1125" t="s">
        <v>977</v>
      </c>
      <c r="C1125" s="1">
        <v>41689</v>
      </c>
      <c r="D1125" s="1">
        <v>41694</v>
      </c>
      <c r="E1125">
        <v>20661</v>
      </c>
      <c r="F1125" t="s">
        <v>309</v>
      </c>
      <c r="G1125" t="s">
        <v>16</v>
      </c>
      <c r="H1125" t="s">
        <v>1598</v>
      </c>
      <c r="I1125">
        <v>2.3982999999999999</v>
      </c>
      <c r="J1125">
        <v>21145.83</v>
      </c>
      <c r="K1125">
        <v>8817.0078805820795</v>
      </c>
    </row>
    <row r="1126" spans="1:11" x14ac:dyDescent="0.25">
      <c r="A1126" t="s">
        <v>976</v>
      </c>
      <c r="B1126" t="s">
        <v>977</v>
      </c>
      <c r="C1126" s="1">
        <v>41685</v>
      </c>
      <c r="D1126" s="1">
        <v>41691</v>
      </c>
      <c r="E1126">
        <v>20661</v>
      </c>
      <c r="F1126" t="s">
        <v>309</v>
      </c>
      <c r="G1126" t="s">
        <v>16</v>
      </c>
      <c r="H1126" t="s">
        <v>1599</v>
      </c>
      <c r="I1126">
        <v>2.3923999999999999</v>
      </c>
      <c r="J1126">
        <v>33516.449999999997</v>
      </c>
      <c r="K1126">
        <v>14009.551078414981</v>
      </c>
    </row>
    <row r="1127" spans="1:11" x14ac:dyDescent="0.25">
      <c r="A1127" t="s">
        <v>1020</v>
      </c>
      <c r="B1127" t="s">
        <v>1021</v>
      </c>
      <c r="C1127" s="1">
        <v>41701</v>
      </c>
      <c r="D1127" s="1">
        <v>41704</v>
      </c>
      <c r="E1127">
        <v>19971</v>
      </c>
      <c r="F1127" t="s">
        <v>309</v>
      </c>
      <c r="G1127" t="s">
        <v>16</v>
      </c>
      <c r="H1127" t="s">
        <v>1600</v>
      </c>
      <c r="I1127">
        <v>2.3334000000000001</v>
      </c>
      <c r="J1127">
        <v>50439.51</v>
      </c>
      <c r="K1127">
        <v>21616.315248135768</v>
      </c>
    </row>
    <row r="1128" spans="1:11" x14ac:dyDescent="0.25">
      <c r="A1128" t="s">
        <v>1601</v>
      </c>
      <c r="B1128" t="s">
        <v>1602</v>
      </c>
      <c r="C1128" s="1">
        <v>41704</v>
      </c>
      <c r="D1128" s="1">
        <v>41710</v>
      </c>
      <c r="E1128">
        <v>21474</v>
      </c>
      <c r="F1128" t="s">
        <v>301</v>
      </c>
      <c r="G1128" t="s">
        <v>16</v>
      </c>
      <c r="H1128" t="s">
        <v>1603</v>
      </c>
      <c r="I1128">
        <v>2.3239999999999998</v>
      </c>
      <c r="J1128">
        <v>170341.6</v>
      </c>
      <c r="K1128">
        <v>73296.729776247856</v>
      </c>
    </row>
    <row r="1129" spans="1:11" x14ac:dyDescent="0.25">
      <c r="A1129" t="s">
        <v>1024</v>
      </c>
      <c r="B1129" t="s">
        <v>1025</v>
      </c>
      <c r="C1129" s="1">
        <v>41706</v>
      </c>
      <c r="D1129" s="1">
        <v>41709</v>
      </c>
      <c r="E1129">
        <v>1</v>
      </c>
      <c r="F1129" t="s">
        <v>331</v>
      </c>
      <c r="G1129" t="s">
        <v>16</v>
      </c>
      <c r="H1129" t="s">
        <v>5052</v>
      </c>
      <c r="I1129">
        <v>2.3382000000000001</v>
      </c>
      <c r="J1129">
        <v>30341.97</v>
      </c>
      <c r="K1129">
        <v>12976.635873749037</v>
      </c>
    </row>
    <row r="1130" spans="1:11" x14ac:dyDescent="0.25">
      <c r="A1130" t="s">
        <v>1604</v>
      </c>
      <c r="B1130" t="s">
        <v>1605</v>
      </c>
      <c r="C1130" s="1">
        <v>41682</v>
      </c>
      <c r="D1130" s="1">
        <v>41682</v>
      </c>
      <c r="E1130">
        <v>19035</v>
      </c>
      <c r="F1130" t="s">
        <v>887</v>
      </c>
      <c r="G1130" t="s">
        <v>16</v>
      </c>
      <c r="H1130" t="s">
        <v>1606</v>
      </c>
      <c r="I1130">
        <v>2.4085999999999999</v>
      </c>
      <c r="J1130">
        <v>68597.3</v>
      </c>
      <c r="K1130">
        <v>28480.15444656647</v>
      </c>
    </row>
    <row r="1131" spans="1:11" x14ac:dyDescent="0.25">
      <c r="A1131" t="s">
        <v>1020</v>
      </c>
      <c r="B1131" t="s">
        <v>1021</v>
      </c>
      <c r="C1131" s="1">
        <v>41701</v>
      </c>
      <c r="D1131" s="1">
        <v>41704</v>
      </c>
      <c r="E1131">
        <v>19971</v>
      </c>
      <c r="F1131" t="s">
        <v>309</v>
      </c>
      <c r="G1131" t="s">
        <v>16</v>
      </c>
      <c r="H1131" t="s">
        <v>1607</v>
      </c>
      <c r="I1131">
        <v>2.3334000000000001</v>
      </c>
      <c r="J1131">
        <v>65435.040000000001</v>
      </c>
      <c r="K1131">
        <v>28042.787348932889</v>
      </c>
    </row>
    <row r="1132" spans="1:11" x14ac:dyDescent="0.25">
      <c r="A1132" t="s">
        <v>976</v>
      </c>
      <c r="B1132" t="s">
        <v>977</v>
      </c>
      <c r="C1132" s="1">
        <v>41688</v>
      </c>
      <c r="D1132" s="1">
        <v>41692</v>
      </c>
      <c r="E1132">
        <v>20661</v>
      </c>
      <c r="F1132" t="s">
        <v>309</v>
      </c>
      <c r="G1132" t="s">
        <v>16</v>
      </c>
      <c r="H1132" t="s">
        <v>5053</v>
      </c>
      <c r="I1132">
        <v>2.387</v>
      </c>
      <c r="J1132">
        <v>32202.880000000001</v>
      </c>
      <c r="K1132">
        <v>13490.942605781316</v>
      </c>
    </row>
    <row r="1133" spans="1:11" x14ac:dyDescent="0.25">
      <c r="A1133" t="s">
        <v>976</v>
      </c>
      <c r="B1133" t="s">
        <v>977</v>
      </c>
      <c r="C1133" s="1">
        <v>41689</v>
      </c>
      <c r="D1133" s="1">
        <v>41693</v>
      </c>
      <c r="E1133">
        <v>20661</v>
      </c>
      <c r="F1133" t="s">
        <v>309</v>
      </c>
      <c r="G1133" t="s">
        <v>16</v>
      </c>
      <c r="H1133" t="s">
        <v>5054</v>
      </c>
      <c r="I1133">
        <v>2.3982999999999999</v>
      </c>
      <c r="J1133">
        <v>25073.01</v>
      </c>
      <c r="K1133">
        <v>10454.492765709045</v>
      </c>
    </row>
    <row r="1134" spans="1:11" x14ac:dyDescent="0.25">
      <c r="A1134" t="s">
        <v>1604</v>
      </c>
      <c r="B1134" t="s">
        <v>1605</v>
      </c>
      <c r="C1134" s="1">
        <v>41682</v>
      </c>
      <c r="D1134" s="1">
        <v>41689</v>
      </c>
      <c r="E1134">
        <v>19035</v>
      </c>
      <c r="F1134" t="s">
        <v>887</v>
      </c>
      <c r="G1134" t="s">
        <v>16</v>
      </c>
      <c r="H1134" t="s">
        <v>5055</v>
      </c>
      <c r="I1134">
        <v>2.4085999999999999</v>
      </c>
      <c r="J1134">
        <v>71939.429999999993</v>
      </c>
      <c r="K1134">
        <v>29867.736444407539</v>
      </c>
    </row>
    <row r="1135" spans="1:11" x14ac:dyDescent="0.25">
      <c r="A1135" t="s">
        <v>1024</v>
      </c>
      <c r="B1135" t="s">
        <v>1025</v>
      </c>
      <c r="C1135" s="1">
        <v>41711</v>
      </c>
      <c r="D1135" s="1">
        <v>41718</v>
      </c>
      <c r="E1135">
        <v>1</v>
      </c>
      <c r="F1135" t="s">
        <v>331</v>
      </c>
      <c r="G1135" t="s">
        <v>16</v>
      </c>
      <c r="H1135" t="s">
        <v>5056</v>
      </c>
      <c r="I1135">
        <v>2.3649</v>
      </c>
      <c r="J1135">
        <v>42015.19</v>
      </c>
      <c r="K1135">
        <v>17766.159245634066</v>
      </c>
    </row>
    <row r="1136" spans="1:11" x14ac:dyDescent="0.25">
      <c r="A1136" t="s">
        <v>976</v>
      </c>
      <c r="B1136" t="s">
        <v>977</v>
      </c>
      <c r="C1136" s="1">
        <v>41714</v>
      </c>
      <c r="D1136" s="1">
        <v>41718</v>
      </c>
      <c r="E1136">
        <v>20661</v>
      </c>
      <c r="F1136" t="s">
        <v>309</v>
      </c>
      <c r="G1136" t="s">
        <v>16</v>
      </c>
      <c r="H1136" t="s">
        <v>5057</v>
      </c>
      <c r="I1136">
        <v>2.3637999999999999</v>
      </c>
      <c r="J1136">
        <v>42589.59</v>
      </c>
      <c r="K1136">
        <v>18017.425332092393</v>
      </c>
    </row>
    <row r="1137" spans="1:11" x14ac:dyDescent="0.25">
      <c r="A1137" t="s">
        <v>976</v>
      </c>
      <c r="B1137" t="s">
        <v>977</v>
      </c>
      <c r="C1137" s="1">
        <v>41713</v>
      </c>
      <c r="D1137" s="1">
        <v>41718</v>
      </c>
      <c r="E1137">
        <v>20661</v>
      </c>
      <c r="F1137" t="s">
        <v>309</v>
      </c>
      <c r="G1137" t="s">
        <v>16</v>
      </c>
      <c r="H1137" t="s">
        <v>1608</v>
      </c>
      <c r="I1137">
        <v>2.3637999999999999</v>
      </c>
      <c r="J1137">
        <v>42589.59</v>
      </c>
      <c r="K1137">
        <v>18017.425332092393</v>
      </c>
    </row>
    <row r="1138" spans="1:11" x14ac:dyDescent="0.25">
      <c r="A1138" t="s">
        <v>1582</v>
      </c>
      <c r="B1138" t="s">
        <v>1583</v>
      </c>
      <c r="C1138" s="1">
        <v>41703</v>
      </c>
      <c r="D1138" s="1">
        <v>41710</v>
      </c>
      <c r="E1138">
        <v>20372</v>
      </c>
      <c r="F1138" t="s">
        <v>309</v>
      </c>
      <c r="G1138" t="s">
        <v>16</v>
      </c>
      <c r="H1138" t="s">
        <v>1609</v>
      </c>
      <c r="I1138">
        <v>2.3334000000000001</v>
      </c>
      <c r="J1138">
        <v>42589.59</v>
      </c>
      <c r="K1138">
        <v>18252.159938287477</v>
      </c>
    </row>
    <row r="1139" spans="1:11" x14ac:dyDescent="0.25">
      <c r="A1139" t="s">
        <v>976</v>
      </c>
      <c r="B1139" t="s">
        <v>977</v>
      </c>
      <c r="C1139" s="1">
        <v>41688</v>
      </c>
      <c r="D1139" s="1">
        <v>41695</v>
      </c>
      <c r="E1139">
        <v>20661</v>
      </c>
      <c r="F1139" t="s">
        <v>309</v>
      </c>
      <c r="G1139" t="s">
        <v>16</v>
      </c>
      <c r="H1139" t="s">
        <v>1610</v>
      </c>
      <c r="I1139">
        <v>2.387</v>
      </c>
      <c r="J1139">
        <v>33760.21</v>
      </c>
      <c r="K1139">
        <v>14143.364055299538</v>
      </c>
    </row>
    <row r="1140" spans="1:11" x14ac:dyDescent="0.25">
      <c r="A1140" t="s">
        <v>1024</v>
      </c>
      <c r="B1140" t="s">
        <v>1025</v>
      </c>
      <c r="C1140" s="1">
        <v>41706</v>
      </c>
      <c r="D1140" s="1">
        <v>41711</v>
      </c>
      <c r="E1140">
        <v>1</v>
      </c>
      <c r="F1140" t="s">
        <v>331</v>
      </c>
      <c r="G1140" t="s">
        <v>16</v>
      </c>
      <c r="H1140" t="s">
        <v>1611</v>
      </c>
      <c r="I1140">
        <v>2.3382000000000001</v>
      </c>
      <c r="J1140">
        <v>26730.83</v>
      </c>
      <c r="K1140">
        <v>11432.225643657514</v>
      </c>
    </row>
    <row r="1141" spans="1:11" x14ac:dyDescent="0.25">
      <c r="A1141" t="s">
        <v>1024</v>
      </c>
      <c r="B1141" t="s">
        <v>1025</v>
      </c>
      <c r="C1141" s="1">
        <v>41706</v>
      </c>
      <c r="D1141" s="1">
        <v>41711</v>
      </c>
      <c r="E1141">
        <v>1</v>
      </c>
      <c r="F1141" t="s">
        <v>331</v>
      </c>
      <c r="G1141" t="s">
        <v>16</v>
      </c>
      <c r="H1141" t="s">
        <v>1612</v>
      </c>
      <c r="I1141">
        <v>2.3382000000000001</v>
      </c>
      <c r="J1141">
        <v>30543.53</v>
      </c>
      <c r="K1141">
        <v>13062.838935933623</v>
      </c>
    </row>
    <row r="1142" spans="1:11" x14ac:dyDescent="0.25">
      <c r="A1142" t="s">
        <v>976</v>
      </c>
      <c r="B1142" t="s">
        <v>977</v>
      </c>
      <c r="C1142" s="1">
        <v>41714</v>
      </c>
      <c r="D1142" s="1">
        <v>41716</v>
      </c>
      <c r="E1142">
        <v>20661</v>
      </c>
      <c r="F1142" t="s">
        <v>309</v>
      </c>
      <c r="G1142" t="s">
        <v>16</v>
      </c>
      <c r="H1142" t="s">
        <v>5058</v>
      </c>
      <c r="I1142">
        <v>2.3637999999999999</v>
      </c>
      <c r="J1142">
        <v>55251.360000000001</v>
      </c>
      <c r="K1142">
        <v>23373.957187579323</v>
      </c>
    </row>
    <row r="1143" spans="1:11" x14ac:dyDescent="0.25">
      <c r="A1143" t="s">
        <v>1582</v>
      </c>
      <c r="B1143" t="s">
        <v>1583</v>
      </c>
      <c r="C1143" s="1">
        <v>41704</v>
      </c>
      <c r="D1143" s="1">
        <v>41712</v>
      </c>
      <c r="E1143">
        <v>20372</v>
      </c>
      <c r="F1143" t="s">
        <v>309</v>
      </c>
      <c r="G1143" t="s">
        <v>16</v>
      </c>
      <c r="H1143" t="s">
        <v>5059</v>
      </c>
      <c r="I1143">
        <v>2.3239999999999998</v>
      </c>
      <c r="J1143">
        <v>42589.59</v>
      </c>
      <c r="K1143">
        <v>18325.985370051636</v>
      </c>
    </row>
    <row r="1144" spans="1:11" x14ac:dyDescent="0.25">
      <c r="A1144" t="s">
        <v>976</v>
      </c>
      <c r="B1144" t="s">
        <v>977</v>
      </c>
      <c r="C1144" s="1">
        <v>41712</v>
      </c>
      <c r="D1144" s="1">
        <v>41716</v>
      </c>
      <c r="E1144">
        <v>20661</v>
      </c>
      <c r="F1144" t="s">
        <v>309</v>
      </c>
      <c r="G1144" t="s">
        <v>16</v>
      </c>
      <c r="H1144" t="s">
        <v>5060</v>
      </c>
      <c r="I1144">
        <v>2.3485999999999998</v>
      </c>
      <c r="J1144">
        <v>42589.59</v>
      </c>
      <c r="K1144">
        <v>18134.033040960574</v>
      </c>
    </row>
    <row r="1145" spans="1:11" x14ac:dyDescent="0.25">
      <c r="A1145" t="s">
        <v>976</v>
      </c>
      <c r="B1145" t="s">
        <v>977</v>
      </c>
      <c r="C1145" s="1">
        <v>41712</v>
      </c>
      <c r="D1145" s="1">
        <v>41716</v>
      </c>
      <c r="E1145">
        <v>20661</v>
      </c>
      <c r="F1145" t="s">
        <v>309</v>
      </c>
      <c r="G1145" t="s">
        <v>16</v>
      </c>
      <c r="H1145" t="s">
        <v>1613</v>
      </c>
      <c r="I1145">
        <v>2.3485999999999998</v>
      </c>
      <c r="J1145">
        <v>51798.15</v>
      </c>
      <c r="K1145">
        <v>22054.905049816913</v>
      </c>
    </row>
    <row r="1146" spans="1:11" x14ac:dyDescent="0.25">
      <c r="A1146" t="s">
        <v>976</v>
      </c>
      <c r="B1146" t="s">
        <v>977</v>
      </c>
      <c r="C1146" s="1">
        <v>41713</v>
      </c>
      <c r="D1146" s="1">
        <v>41716</v>
      </c>
      <c r="E1146">
        <v>20661</v>
      </c>
      <c r="F1146" t="s">
        <v>309</v>
      </c>
      <c r="G1146" t="s">
        <v>16</v>
      </c>
      <c r="H1146" t="s">
        <v>5061</v>
      </c>
      <c r="I1146">
        <v>2.3637999999999999</v>
      </c>
      <c r="J1146">
        <v>42589.59</v>
      </c>
      <c r="K1146">
        <v>18017.425332092393</v>
      </c>
    </row>
    <row r="1147" spans="1:11" x14ac:dyDescent="0.25">
      <c r="A1147" t="s">
        <v>976</v>
      </c>
      <c r="B1147" t="s">
        <v>977</v>
      </c>
      <c r="C1147" s="1">
        <v>41690</v>
      </c>
      <c r="D1147" s="1">
        <v>41696</v>
      </c>
      <c r="E1147">
        <v>20661</v>
      </c>
      <c r="F1147" t="s">
        <v>309</v>
      </c>
      <c r="G1147" t="s">
        <v>16</v>
      </c>
      <c r="H1147" t="s">
        <v>1614</v>
      </c>
      <c r="I1147">
        <v>2.3986000000000001</v>
      </c>
      <c r="J1147">
        <v>33083.11</v>
      </c>
      <c r="K1147">
        <v>13792.674893687985</v>
      </c>
    </row>
    <row r="1148" spans="1:11" x14ac:dyDescent="0.25">
      <c r="A1148" t="s">
        <v>5062</v>
      </c>
      <c r="B1148" t="s">
        <v>5063</v>
      </c>
      <c r="C1148" s="1">
        <v>41684</v>
      </c>
      <c r="D1148" s="1">
        <v>41688</v>
      </c>
      <c r="E1148">
        <v>21403</v>
      </c>
      <c r="F1148" t="s">
        <v>278</v>
      </c>
      <c r="G1148" t="s">
        <v>16</v>
      </c>
      <c r="H1148" t="s">
        <v>5064</v>
      </c>
      <c r="I1148">
        <v>2.4238</v>
      </c>
      <c r="J1148">
        <v>325750</v>
      </c>
      <c r="K1148">
        <v>134396.40234342768</v>
      </c>
    </row>
    <row r="1149" spans="1:11" x14ac:dyDescent="0.25">
      <c r="A1149" t="s">
        <v>1024</v>
      </c>
      <c r="B1149" t="s">
        <v>1025</v>
      </c>
      <c r="C1149" s="1">
        <v>41709</v>
      </c>
      <c r="D1149" s="1">
        <v>41715</v>
      </c>
      <c r="E1149">
        <v>1</v>
      </c>
      <c r="F1149" t="s">
        <v>331</v>
      </c>
      <c r="G1149" t="s">
        <v>16</v>
      </c>
      <c r="H1149" t="s">
        <v>5065</v>
      </c>
      <c r="I1149">
        <v>2.3410000000000002</v>
      </c>
      <c r="J1149">
        <v>29888.48</v>
      </c>
      <c r="K1149">
        <v>12767.398547629218</v>
      </c>
    </row>
    <row r="1150" spans="1:11" x14ac:dyDescent="0.25">
      <c r="A1150" t="s">
        <v>1024</v>
      </c>
      <c r="B1150" t="s">
        <v>1025</v>
      </c>
      <c r="C1150" s="1">
        <v>41708</v>
      </c>
      <c r="D1150" s="1">
        <v>41715</v>
      </c>
      <c r="E1150">
        <v>1</v>
      </c>
      <c r="F1150" t="s">
        <v>331</v>
      </c>
      <c r="G1150" t="s">
        <v>16</v>
      </c>
      <c r="H1150" t="s">
        <v>5066</v>
      </c>
      <c r="I1150">
        <v>2.3382000000000001</v>
      </c>
      <c r="J1150">
        <v>30997.02</v>
      </c>
      <c r="K1150">
        <v>13256.787272260714</v>
      </c>
    </row>
    <row r="1151" spans="1:11" x14ac:dyDescent="0.25">
      <c r="A1151" t="s">
        <v>1024</v>
      </c>
      <c r="B1151" t="s">
        <v>1025</v>
      </c>
      <c r="C1151" s="1">
        <v>41708</v>
      </c>
      <c r="D1151" s="1">
        <v>41715</v>
      </c>
      <c r="E1151">
        <v>1</v>
      </c>
      <c r="F1151" t="s">
        <v>331</v>
      </c>
      <c r="G1151" t="s">
        <v>16</v>
      </c>
      <c r="H1151" t="s">
        <v>1615</v>
      </c>
      <c r="I1151">
        <v>2.3382000000000001</v>
      </c>
      <c r="J1151">
        <v>25739.87</v>
      </c>
      <c r="K1151">
        <v>11008.412454024463</v>
      </c>
    </row>
    <row r="1152" spans="1:11" x14ac:dyDescent="0.25">
      <c r="A1152" t="s">
        <v>976</v>
      </c>
      <c r="B1152" t="s">
        <v>977</v>
      </c>
      <c r="C1152" s="1">
        <v>41713</v>
      </c>
      <c r="D1152" s="1">
        <v>41715</v>
      </c>
      <c r="E1152">
        <v>20661</v>
      </c>
      <c r="F1152" t="s">
        <v>309</v>
      </c>
      <c r="G1152" t="s">
        <v>16</v>
      </c>
      <c r="H1152" t="s">
        <v>411</v>
      </c>
      <c r="I1152">
        <v>2.3637999999999999</v>
      </c>
      <c r="J1152">
        <v>42589.59</v>
      </c>
      <c r="K1152">
        <v>18017.425332092393</v>
      </c>
    </row>
    <row r="1153" spans="1:11" x14ac:dyDescent="0.25">
      <c r="A1153" t="s">
        <v>976</v>
      </c>
      <c r="B1153" t="s">
        <v>977</v>
      </c>
      <c r="C1153" s="1">
        <v>41712</v>
      </c>
      <c r="D1153" s="1">
        <v>41715</v>
      </c>
      <c r="E1153">
        <v>20661</v>
      </c>
      <c r="F1153" t="s">
        <v>309</v>
      </c>
      <c r="G1153" t="s">
        <v>16</v>
      </c>
      <c r="H1153" t="s">
        <v>1616</v>
      </c>
      <c r="I1153">
        <v>2.3485999999999998</v>
      </c>
      <c r="J1153">
        <v>51798.15</v>
      </c>
      <c r="K1153">
        <v>22054.905049816913</v>
      </c>
    </row>
    <row r="1154" spans="1:11" x14ac:dyDescent="0.25">
      <c r="A1154" t="s">
        <v>976</v>
      </c>
      <c r="B1154" t="s">
        <v>977</v>
      </c>
      <c r="C1154" s="1">
        <v>41713</v>
      </c>
      <c r="D1154" s="1">
        <v>41715</v>
      </c>
      <c r="E1154">
        <v>20661</v>
      </c>
      <c r="F1154" t="s">
        <v>309</v>
      </c>
      <c r="G1154" t="s">
        <v>16</v>
      </c>
      <c r="H1154" t="s">
        <v>1617</v>
      </c>
      <c r="I1154">
        <v>2.3637999999999999</v>
      </c>
      <c r="J1154">
        <v>51798.15</v>
      </c>
      <c r="K1154">
        <v>21913.084863355612</v>
      </c>
    </row>
    <row r="1155" spans="1:11" x14ac:dyDescent="0.25">
      <c r="A1155" t="s">
        <v>976</v>
      </c>
      <c r="B1155" t="s">
        <v>977</v>
      </c>
      <c r="C1155" s="1">
        <v>41704</v>
      </c>
      <c r="D1155" s="1">
        <v>41715</v>
      </c>
      <c r="E1155">
        <v>20661</v>
      </c>
      <c r="F1155" t="s">
        <v>309</v>
      </c>
      <c r="G1155" t="s">
        <v>16</v>
      </c>
      <c r="H1155" t="s">
        <v>3567</v>
      </c>
      <c r="I1155">
        <v>2.3239999999999998</v>
      </c>
      <c r="J1155">
        <v>18180.14</v>
      </c>
      <c r="K1155">
        <v>7822.7796901893289</v>
      </c>
    </row>
    <row r="1156" spans="1:11" x14ac:dyDescent="0.25">
      <c r="A1156" t="s">
        <v>976</v>
      </c>
      <c r="B1156" t="s">
        <v>977</v>
      </c>
      <c r="C1156" s="1">
        <v>41690</v>
      </c>
      <c r="D1156" s="1">
        <v>41697</v>
      </c>
      <c r="E1156">
        <v>20661</v>
      </c>
      <c r="F1156" t="s">
        <v>309</v>
      </c>
      <c r="G1156" t="s">
        <v>16</v>
      </c>
      <c r="H1156" t="s">
        <v>1618</v>
      </c>
      <c r="I1156">
        <v>2.3986000000000001</v>
      </c>
      <c r="J1156">
        <v>1726.61</v>
      </c>
      <c r="K1156">
        <v>719.84074043191868</v>
      </c>
    </row>
    <row r="1157" spans="1:11" x14ac:dyDescent="0.25">
      <c r="A1157" t="s">
        <v>1024</v>
      </c>
      <c r="B1157" t="s">
        <v>1025</v>
      </c>
      <c r="C1157" s="1">
        <v>41705</v>
      </c>
      <c r="D1157" s="1">
        <v>41712</v>
      </c>
      <c r="E1157">
        <v>1</v>
      </c>
      <c r="F1157" t="s">
        <v>331</v>
      </c>
      <c r="G1157" t="s">
        <v>16</v>
      </c>
      <c r="H1157" t="s">
        <v>1619</v>
      </c>
      <c r="I1157">
        <v>2.3094000000000001</v>
      </c>
      <c r="J1157">
        <v>31475.7</v>
      </c>
      <c r="K1157">
        <v>13629.384255650819</v>
      </c>
    </row>
    <row r="1158" spans="1:11" x14ac:dyDescent="0.25">
      <c r="A1158" t="s">
        <v>1024</v>
      </c>
      <c r="B1158" t="s">
        <v>1025</v>
      </c>
      <c r="C1158" s="1">
        <v>41706</v>
      </c>
      <c r="D1158" s="1">
        <v>41712</v>
      </c>
      <c r="E1158">
        <v>1</v>
      </c>
      <c r="F1158" t="s">
        <v>331</v>
      </c>
      <c r="G1158" t="s">
        <v>16</v>
      </c>
      <c r="H1158" t="s">
        <v>1620</v>
      </c>
      <c r="I1158">
        <v>2.3382000000000001</v>
      </c>
      <c r="J1158">
        <v>19718.5</v>
      </c>
      <c r="K1158">
        <v>8433.1964759216498</v>
      </c>
    </row>
    <row r="1159" spans="1:11" x14ac:dyDescent="0.25">
      <c r="A1159" t="s">
        <v>1024</v>
      </c>
      <c r="B1159" t="s">
        <v>1025</v>
      </c>
      <c r="C1159" s="1">
        <v>41708</v>
      </c>
      <c r="D1159" s="1">
        <v>41712</v>
      </c>
      <c r="E1159">
        <v>1</v>
      </c>
      <c r="F1159" t="s">
        <v>331</v>
      </c>
      <c r="G1159" t="s">
        <v>16</v>
      </c>
      <c r="H1159" t="s">
        <v>1621</v>
      </c>
      <c r="I1159">
        <v>2.3382000000000001</v>
      </c>
      <c r="J1159">
        <v>31290.95</v>
      </c>
      <c r="K1159">
        <v>13382.495081686768</v>
      </c>
    </row>
    <row r="1160" spans="1:11" x14ac:dyDescent="0.25">
      <c r="A1160" t="s">
        <v>976</v>
      </c>
      <c r="B1160" t="s">
        <v>977</v>
      </c>
      <c r="C1160" s="1">
        <v>41713</v>
      </c>
      <c r="D1160" s="1">
        <v>41717</v>
      </c>
      <c r="E1160">
        <v>20661</v>
      </c>
      <c r="F1160" t="s">
        <v>309</v>
      </c>
      <c r="G1160" t="s">
        <v>16</v>
      </c>
      <c r="H1160" t="s">
        <v>5067</v>
      </c>
      <c r="I1160">
        <v>2.3637999999999999</v>
      </c>
      <c r="J1160">
        <v>55251.360000000001</v>
      </c>
      <c r="K1160">
        <v>23373.957187579323</v>
      </c>
    </row>
    <row r="1161" spans="1:11" x14ac:dyDescent="0.25">
      <c r="A1161" t="s">
        <v>976</v>
      </c>
      <c r="B1161" t="s">
        <v>977</v>
      </c>
      <c r="C1161" s="1">
        <v>41688</v>
      </c>
      <c r="D1161" s="1">
        <v>41692</v>
      </c>
      <c r="E1161">
        <v>20661</v>
      </c>
      <c r="F1161" t="s">
        <v>309</v>
      </c>
      <c r="G1161" t="s">
        <v>16</v>
      </c>
      <c r="H1161" t="s">
        <v>5068</v>
      </c>
      <c r="I1161">
        <v>2.387</v>
      </c>
      <c r="J1161">
        <v>25607.919999999998</v>
      </c>
      <c r="K1161">
        <v>10728.077084206116</v>
      </c>
    </row>
    <row r="1162" spans="1:11" x14ac:dyDescent="0.25">
      <c r="A1162" t="s">
        <v>1024</v>
      </c>
      <c r="B1162" t="s">
        <v>1025</v>
      </c>
      <c r="C1162" s="1">
        <v>41706</v>
      </c>
      <c r="D1162" s="1">
        <v>41710</v>
      </c>
      <c r="E1162">
        <v>1</v>
      </c>
      <c r="F1162" t="s">
        <v>331</v>
      </c>
      <c r="G1162" t="s">
        <v>16</v>
      </c>
      <c r="H1162" t="s">
        <v>1622</v>
      </c>
      <c r="I1162">
        <v>2.3382000000000001</v>
      </c>
      <c r="J1162">
        <v>30787.07</v>
      </c>
      <c r="K1162">
        <v>13166.995979813531</v>
      </c>
    </row>
    <row r="1163" spans="1:11" x14ac:dyDescent="0.25">
      <c r="A1163" t="s">
        <v>1024</v>
      </c>
      <c r="B1163" t="s">
        <v>1025</v>
      </c>
      <c r="C1163" s="1">
        <v>41705</v>
      </c>
      <c r="D1163" s="1">
        <v>41710</v>
      </c>
      <c r="E1163">
        <v>1</v>
      </c>
      <c r="F1163" t="s">
        <v>331</v>
      </c>
      <c r="G1163" t="s">
        <v>16</v>
      </c>
      <c r="H1163" t="s">
        <v>5069</v>
      </c>
      <c r="I1163">
        <v>2.3094000000000001</v>
      </c>
      <c r="J1163">
        <v>42300.73</v>
      </c>
      <c r="K1163">
        <v>18316.761929505501</v>
      </c>
    </row>
    <row r="1164" spans="1:11" x14ac:dyDescent="0.25">
      <c r="A1164" t="s">
        <v>972</v>
      </c>
      <c r="B1164" t="s">
        <v>973</v>
      </c>
      <c r="C1164" s="1">
        <v>41709</v>
      </c>
      <c r="D1164" s="1">
        <v>41715</v>
      </c>
      <c r="E1164">
        <v>19543</v>
      </c>
      <c r="F1164" t="s">
        <v>675</v>
      </c>
      <c r="G1164" t="s">
        <v>16</v>
      </c>
      <c r="H1164" t="s">
        <v>5070</v>
      </c>
      <c r="I1164">
        <v>2.3410000000000002</v>
      </c>
      <c r="J1164">
        <v>276527.87</v>
      </c>
      <c r="K1164">
        <v>118123.82315249894</v>
      </c>
    </row>
    <row r="1165" spans="1:11" x14ac:dyDescent="0.25">
      <c r="A1165" t="s">
        <v>1039</v>
      </c>
      <c r="C1165" s="1">
        <v>41733</v>
      </c>
      <c r="D1165" s="1">
        <v>41737</v>
      </c>
      <c r="E1165">
        <v>22692</v>
      </c>
      <c r="F1165" t="s">
        <v>421</v>
      </c>
      <c r="G1165" t="s">
        <v>16</v>
      </c>
      <c r="H1165" t="s">
        <v>5071</v>
      </c>
      <c r="I1165">
        <v>2.2810999999999999</v>
      </c>
      <c r="J1165">
        <v>1368.47</v>
      </c>
      <c r="K1165">
        <v>599.91670685195743</v>
      </c>
    </row>
    <row r="1166" spans="1:11" x14ac:dyDescent="0.25">
      <c r="A1166" t="s">
        <v>1039</v>
      </c>
      <c r="C1166" s="1">
        <v>41736</v>
      </c>
      <c r="D1166" s="1">
        <v>41737</v>
      </c>
      <c r="E1166">
        <v>22692</v>
      </c>
      <c r="F1166" t="s">
        <v>421</v>
      </c>
      <c r="G1166" t="s">
        <v>16</v>
      </c>
      <c r="H1166" t="s">
        <v>1623</v>
      </c>
      <c r="I1166">
        <v>2.242</v>
      </c>
      <c r="J1166">
        <v>114.43</v>
      </c>
      <c r="K1166">
        <v>51.039250669045494</v>
      </c>
    </row>
    <row r="1167" spans="1:11" x14ac:dyDescent="0.25">
      <c r="A1167" t="s">
        <v>1039</v>
      </c>
      <c r="C1167" s="1">
        <v>41736</v>
      </c>
      <c r="D1167" s="1">
        <v>41737</v>
      </c>
      <c r="E1167">
        <v>22692</v>
      </c>
      <c r="F1167" t="s">
        <v>421</v>
      </c>
      <c r="G1167" t="s">
        <v>16</v>
      </c>
      <c r="H1167" t="s">
        <v>1624</v>
      </c>
      <c r="I1167">
        <v>2.242</v>
      </c>
      <c r="J1167">
        <v>107.75</v>
      </c>
      <c r="K1167">
        <v>48.059768064228365</v>
      </c>
    </row>
    <row r="1168" spans="1:11" x14ac:dyDescent="0.25">
      <c r="A1168" t="s">
        <v>1039</v>
      </c>
      <c r="C1168" s="1">
        <v>41736</v>
      </c>
      <c r="D1168" s="1">
        <v>41737</v>
      </c>
      <c r="E1168">
        <v>22692</v>
      </c>
      <c r="F1168" t="s">
        <v>421</v>
      </c>
      <c r="G1168" t="s">
        <v>16</v>
      </c>
      <c r="H1168" t="s">
        <v>1625</v>
      </c>
      <c r="I1168">
        <v>2.242</v>
      </c>
      <c r="J1168">
        <v>57.67</v>
      </c>
      <c r="K1168">
        <v>25.72256913470116</v>
      </c>
    </row>
    <row r="1169" spans="1:11" x14ac:dyDescent="0.25">
      <c r="A1169" t="s">
        <v>1039</v>
      </c>
      <c r="C1169" s="1">
        <v>41736</v>
      </c>
      <c r="D1169" s="1">
        <v>41737</v>
      </c>
      <c r="E1169">
        <v>22692</v>
      </c>
      <c r="F1169" t="s">
        <v>421</v>
      </c>
      <c r="G1169" t="s">
        <v>16</v>
      </c>
      <c r="H1169" t="s">
        <v>5072</v>
      </c>
      <c r="I1169">
        <v>2.242</v>
      </c>
      <c r="J1169">
        <v>46.94</v>
      </c>
      <c r="K1169">
        <v>20.936663693131134</v>
      </c>
    </row>
    <row r="1170" spans="1:11" x14ac:dyDescent="0.25">
      <c r="A1170" t="s">
        <v>1039</v>
      </c>
      <c r="C1170" s="1">
        <v>41736</v>
      </c>
      <c r="D1170" s="1">
        <v>41737</v>
      </c>
      <c r="E1170">
        <v>22692</v>
      </c>
      <c r="F1170" t="s">
        <v>421</v>
      </c>
      <c r="G1170" t="s">
        <v>16</v>
      </c>
      <c r="H1170" t="s">
        <v>5073</v>
      </c>
      <c r="I1170">
        <v>2.242</v>
      </c>
      <c r="J1170">
        <v>114.62</v>
      </c>
      <c r="K1170">
        <v>51.123996431757362</v>
      </c>
    </row>
    <row r="1171" spans="1:11" x14ac:dyDescent="0.25">
      <c r="A1171" t="s">
        <v>1039</v>
      </c>
      <c r="C1171" s="1">
        <v>41736</v>
      </c>
      <c r="D1171" s="1">
        <v>41737</v>
      </c>
      <c r="E1171">
        <v>22692</v>
      </c>
      <c r="F1171" t="s">
        <v>421</v>
      </c>
      <c r="G1171" t="s">
        <v>16</v>
      </c>
      <c r="H1171" t="s">
        <v>5074</v>
      </c>
      <c r="I1171">
        <v>2.242</v>
      </c>
      <c r="J1171">
        <v>134.22999999999999</v>
      </c>
      <c r="K1171">
        <v>59.870651204281891</v>
      </c>
    </row>
    <row r="1172" spans="1:11" x14ac:dyDescent="0.25">
      <c r="A1172" t="s">
        <v>976</v>
      </c>
      <c r="B1172" t="s">
        <v>977</v>
      </c>
      <c r="C1172" s="1">
        <v>41716</v>
      </c>
      <c r="D1172" s="1">
        <v>41719</v>
      </c>
      <c r="E1172">
        <v>20661</v>
      </c>
      <c r="F1172" t="s">
        <v>309</v>
      </c>
      <c r="G1172" t="s">
        <v>16</v>
      </c>
      <c r="H1172" t="s">
        <v>5075</v>
      </c>
      <c r="I1172">
        <v>2.3517999999999999</v>
      </c>
      <c r="J1172">
        <v>42589.59</v>
      </c>
      <c r="K1172">
        <v>18109.358789012673</v>
      </c>
    </row>
    <row r="1173" spans="1:11" x14ac:dyDescent="0.25">
      <c r="A1173" t="s">
        <v>976</v>
      </c>
      <c r="B1173" t="s">
        <v>977</v>
      </c>
      <c r="C1173" s="1">
        <v>41734</v>
      </c>
      <c r="D1173" s="1">
        <v>41737</v>
      </c>
      <c r="E1173">
        <v>20661</v>
      </c>
      <c r="F1173" t="s">
        <v>309</v>
      </c>
      <c r="G1173" t="s">
        <v>16</v>
      </c>
      <c r="H1173" t="s">
        <v>1626</v>
      </c>
      <c r="I1173">
        <v>2.242</v>
      </c>
      <c r="J1173">
        <v>121.88</v>
      </c>
      <c r="K1173">
        <v>54.362176628010708</v>
      </c>
    </row>
    <row r="1174" spans="1:11" x14ac:dyDescent="0.25">
      <c r="A1174" t="s">
        <v>3005</v>
      </c>
      <c r="B1174" t="s">
        <v>3006</v>
      </c>
      <c r="C1174" s="1">
        <v>41764</v>
      </c>
      <c r="D1174" s="1">
        <v>41766</v>
      </c>
      <c r="E1174">
        <v>23607</v>
      </c>
      <c r="F1174" t="s">
        <v>278</v>
      </c>
      <c r="G1174" t="s">
        <v>16</v>
      </c>
      <c r="H1174" t="s">
        <v>5076</v>
      </c>
      <c r="I1174">
        <v>2.2221000000000002</v>
      </c>
      <c r="J1174">
        <v>239200</v>
      </c>
      <c r="K1174">
        <v>107645.92052562891</v>
      </c>
    </row>
    <row r="1175" spans="1:11" x14ac:dyDescent="0.25">
      <c r="A1175" t="s">
        <v>1582</v>
      </c>
      <c r="B1175" t="s">
        <v>1583</v>
      </c>
      <c r="C1175" s="1">
        <v>41703</v>
      </c>
      <c r="D1175" s="1">
        <v>41710</v>
      </c>
      <c r="E1175">
        <v>20372</v>
      </c>
      <c r="F1175" t="s">
        <v>309</v>
      </c>
      <c r="G1175" t="s">
        <v>16</v>
      </c>
      <c r="H1175" t="s">
        <v>1627</v>
      </c>
      <c r="I1175">
        <v>2.3334000000000001</v>
      </c>
      <c r="J1175">
        <v>43740.66</v>
      </c>
      <c r="K1175">
        <v>18745.461558241193</v>
      </c>
    </row>
    <row r="1176" spans="1:11" x14ac:dyDescent="0.25">
      <c r="A1176" t="s">
        <v>896</v>
      </c>
      <c r="B1176" t="s">
        <v>897</v>
      </c>
      <c r="C1176" s="1">
        <v>41716</v>
      </c>
      <c r="D1176" s="1">
        <v>41722</v>
      </c>
      <c r="E1176">
        <v>296</v>
      </c>
      <c r="F1176" t="s">
        <v>887</v>
      </c>
      <c r="G1176" t="s">
        <v>16</v>
      </c>
      <c r="H1176" t="s">
        <v>5077</v>
      </c>
      <c r="I1176">
        <v>2.3517999999999999</v>
      </c>
      <c r="J1176">
        <v>48679.74</v>
      </c>
      <c r="K1176">
        <v>20698.928480312952</v>
      </c>
    </row>
    <row r="1177" spans="1:11" x14ac:dyDescent="0.25">
      <c r="A1177" t="s">
        <v>1628</v>
      </c>
      <c r="C1177" s="1">
        <v>41717</v>
      </c>
      <c r="D1177" s="1">
        <v>41732</v>
      </c>
      <c r="E1177">
        <v>80</v>
      </c>
      <c r="F1177" t="s">
        <v>519</v>
      </c>
      <c r="G1177" t="s">
        <v>16</v>
      </c>
      <c r="H1177" t="s">
        <v>1629</v>
      </c>
      <c r="I1177">
        <v>2.3521999999999998</v>
      </c>
      <c r="J1177">
        <v>225.99</v>
      </c>
      <c r="K1177">
        <v>96.076013944392486</v>
      </c>
    </row>
    <row r="1178" spans="1:11" x14ac:dyDescent="0.25">
      <c r="A1178" t="s">
        <v>1630</v>
      </c>
      <c r="C1178" s="1">
        <v>41726</v>
      </c>
      <c r="D1178" s="1">
        <v>41736</v>
      </c>
      <c r="E1178">
        <v>98</v>
      </c>
      <c r="F1178" t="s">
        <v>519</v>
      </c>
      <c r="G1178" t="s">
        <v>16</v>
      </c>
      <c r="H1178" t="s">
        <v>1631</v>
      </c>
      <c r="I1178">
        <v>2.2829999999999999</v>
      </c>
      <c r="J1178">
        <v>72.540000000000006</v>
      </c>
      <c r="K1178">
        <v>31.773981603153747</v>
      </c>
    </row>
    <row r="1179" spans="1:11" x14ac:dyDescent="0.25">
      <c r="A1179" t="s">
        <v>1582</v>
      </c>
      <c r="B1179" t="s">
        <v>1583</v>
      </c>
      <c r="C1179" s="1">
        <v>41746</v>
      </c>
      <c r="D1179" s="1">
        <v>41757</v>
      </c>
      <c r="E1179">
        <v>20372</v>
      </c>
      <c r="F1179" t="s">
        <v>309</v>
      </c>
      <c r="G1179" t="s">
        <v>16</v>
      </c>
      <c r="H1179" t="s">
        <v>1632</v>
      </c>
      <c r="I1179">
        <v>2.2342</v>
      </c>
      <c r="J1179">
        <v>14963.91</v>
      </c>
      <c r="K1179">
        <v>6697.6591173574434</v>
      </c>
    </row>
    <row r="1180" spans="1:11" x14ac:dyDescent="0.25">
      <c r="A1180" t="s">
        <v>1057</v>
      </c>
      <c r="B1180" t="s">
        <v>1058</v>
      </c>
      <c r="C1180" s="1">
        <v>41786</v>
      </c>
      <c r="D1180" s="1">
        <v>41789</v>
      </c>
      <c r="E1180">
        <v>19681</v>
      </c>
      <c r="F1180" t="s">
        <v>309</v>
      </c>
      <c r="G1180" t="s">
        <v>16</v>
      </c>
      <c r="H1180" t="s">
        <v>5078</v>
      </c>
      <c r="I1180">
        <v>2.2208999999999999</v>
      </c>
      <c r="J1180">
        <v>36630.949999999997</v>
      </c>
      <c r="K1180">
        <v>16493.741276059256</v>
      </c>
    </row>
    <row r="1181" spans="1:11" x14ac:dyDescent="0.25">
      <c r="A1181" t="s">
        <v>1060</v>
      </c>
      <c r="B1181" t="s">
        <v>1061</v>
      </c>
      <c r="C1181" s="1">
        <v>41783</v>
      </c>
      <c r="D1181" s="1">
        <v>41788</v>
      </c>
      <c r="E1181">
        <v>19976</v>
      </c>
      <c r="F1181" t="s">
        <v>309</v>
      </c>
      <c r="G1181" t="s">
        <v>16</v>
      </c>
      <c r="H1181" t="s">
        <v>5079</v>
      </c>
      <c r="I1181">
        <v>2.2187000000000001</v>
      </c>
      <c r="J1181">
        <v>36472.75</v>
      </c>
      <c r="K1181">
        <v>16438.792986884211</v>
      </c>
    </row>
    <row r="1182" spans="1:11" x14ac:dyDescent="0.25">
      <c r="A1182" t="s">
        <v>1060</v>
      </c>
      <c r="B1182" t="s">
        <v>1061</v>
      </c>
      <c r="C1182" s="1">
        <v>41786</v>
      </c>
      <c r="D1182" s="1">
        <v>41788</v>
      </c>
      <c r="E1182">
        <v>19976</v>
      </c>
      <c r="F1182" t="s">
        <v>309</v>
      </c>
      <c r="G1182" t="s">
        <v>16</v>
      </c>
      <c r="H1182" t="s">
        <v>1633</v>
      </c>
      <c r="I1182">
        <v>2.2208999999999999</v>
      </c>
      <c r="J1182">
        <v>35847.14</v>
      </c>
      <c r="K1182">
        <v>16140.816785987663</v>
      </c>
    </row>
    <row r="1183" spans="1:11" x14ac:dyDescent="0.25">
      <c r="A1183" t="s">
        <v>1057</v>
      </c>
      <c r="B1183" t="s">
        <v>1058</v>
      </c>
      <c r="C1183" s="1">
        <v>41782</v>
      </c>
      <c r="D1183" s="1">
        <v>41794</v>
      </c>
      <c r="E1183">
        <v>19681</v>
      </c>
      <c r="F1183" t="s">
        <v>309</v>
      </c>
      <c r="G1183" t="s">
        <v>16</v>
      </c>
      <c r="H1183" t="s">
        <v>1634</v>
      </c>
      <c r="I1183">
        <v>2.2130999999999998</v>
      </c>
      <c r="J1183">
        <v>24053.9</v>
      </c>
      <c r="K1183">
        <v>10868.871718404049</v>
      </c>
    </row>
    <row r="1184" spans="1:11" x14ac:dyDescent="0.25">
      <c r="A1184" t="s">
        <v>1060</v>
      </c>
      <c r="B1184" t="s">
        <v>1061</v>
      </c>
      <c r="C1184" s="1">
        <v>41794</v>
      </c>
      <c r="D1184" s="1">
        <v>41798</v>
      </c>
      <c r="E1184">
        <v>19976</v>
      </c>
      <c r="F1184" t="s">
        <v>309</v>
      </c>
      <c r="G1184" t="s">
        <v>16</v>
      </c>
      <c r="H1184" t="s">
        <v>1635</v>
      </c>
      <c r="I1184">
        <v>2.2654000000000001</v>
      </c>
      <c r="J1184">
        <v>36731.629999999997</v>
      </c>
      <c r="K1184">
        <v>16214.191754215592</v>
      </c>
    </row>
    <row r="1185" spans="1:11" x14ac:dyDescent="0.25">
      <c r="A1185" t="s">
        <v>1060</v>
      </c>
      <c r="B1185" t="s">
        <v>1061</v>
      </c>
      <c r="C1185" s="1">
        <v>41794</v>
      </c>
      <c r="D1185" s="1">
        <v>41798</v>
      </c>
      <c r="E1185">
        <v>19976</v>
      </c>
      <c r="F1185" t="s">
        <v>309</v>
      </c>
      <c r="G1185" t="s">
        <v>16</v>
      </c>
      <c r="H1185" t="s">
        <v>1636</v>
      </c>
      <c r="I1185">
        <v>2.2654000000000001</v>
      </c>
      <c r="J1185">
        <v>36458.370000000003</v>
      </c>
      <c r="K1185">
        <v>16093.56846473029</v>
      </c>
    </row>
    <row r="1186" spans="1:11" x14ac:dyDescent="0.25">
      <c r="A1186" t="s">
        <v>1060</v>
      </c>
      <c r="B1186" t="s">
        <v>1061</v>
      </c>
      <c r="C1186" s="1">
        <v>41788</v>
      </c>
      <c r="D1186" s="1">
        <v>41791</v>
      </c>
      <c r="E1186">
        <v>19976</v>
      </c>
      <c r="F1186" t="s">
        <v>309</v>
      </c>
      <c r="G1186" t="s">
        <v>16</v>
      </c>
      <c r="H1186" t="s">
        <v>5080</v>
      </c>
      <c r="I1186">
        <v>2.2404999999999999</v>
      </c>
      <c r="J1186">
        <v>36702.86</v>
      </c>
      <c r="K1186">
        <v>16381.54876143718</v>
      </c>
    </row>
    <row r="1187" spans="1:11" x14ac:dyDescent="0.25">
      <c r="A1187" t="s">
        <v>1060</v>
      </c>
      <c r="B1187" t="s">
        <v>1061</v>
      </c>
      <c r="C1187" s="1">
        <v>41790</v>
      </c>
      <c r="D1187" s="1">
        <v>41794</v>
      </c>
      <c r="E1187">
        <v>19976</v>
      </c>
      <c r="F1187" t="s">
        <v>309</v>
      </c>
      <c r="G1187" t="s">
        <v>16</v>
      </c>
      <c r="H1187" t="s">
        <v>1637</v>
      </c>
      <c r="I1187">
        <v>2.2389999999999999</v>
      </c>
      <c r="J1187">
        <v>36278.6</v>
      </c>
      <c r="K1187">
        <v>16203.03707012059</v>
      </c>
    </row>
    <row r="1188" spans="1:11" x14ac:dyDescent="0.25">
      <c r="A1188" t="s">
        <v>1060</v>
      </c>
      <c r="B1188" t="s">
        <v>1061</v>
      </c>
      <c r="C1188" s="1">
        <v>41783</v>
      </c>
      <c r="D1188" s="1">
        <v>41786</v>
      </c>
      <c r="E1188">
        <v>19976</v>
      </c>
      <c r="F1188" t="s">
        <v>309</v>
      </c>
      <c r="G1188" t="s">
        <v>16</v>
      </c>
      <c r="H1188" t="s">
        <v>1638</v>
      </c>
      <c r="I1188">
        <v>2.2187000000000001</v>
      </c>
      <c r="J1188">
        <v>34746.910000000003</v>
      </c>
      <c r="K1188">
        <v>15660.932077342588</v>
      </c>
    </row>
    <row r="1189" spans="1:11" x14ac:dyDescent="0.25">
      <c r="A1189" t="s">
        <v>1057</v>
      </c>
      <c r="B1189" t="s">
        <v>1058</v>
      </c>
      <c r="C1189" s="1">
        <v>41785</v>
      </c>
      <c r="D1189" s="1">
        <v>41788</v>
      </c>
      <c r="E1189">
        <v>19681</v>
      </c>
      <c r="F1189" t="s">
        <v>309</v>
      </c>
      <c r="G1189" t="s">
        <v>16</v>
      </c>
      <c r="H1189" t="s">
        <v>5081</v>
      </c>
      <c r="I1189">
        <v>2.2187000000000001</v>
      </c>
      <c r="J1189">
        <v>36587.81</v>
      </c>
      <c r="K1189">
        <v>16490.652183711183</v>
      </c>
    </row>
    <row r="1190" spans="1:11" x14ac:dyDescent="0.25">
      <c r="A1190" t="s">
        <v>1060</v>
      </c>
      <c r="B1190" t="s">
        <v>1061</v>
      </c>
      <c r="C1190" s="1">
        <v>41789</v>
      </c>
      <c r="D1190" s="1">
        <v>41795</v>
      </c>
      <c r="E1190">
        <v>19976</v>
      </c>
      <c r="F1190" t="s">
        <v>309</v>
      </c>
      <c r="G1190" t="s">
        <v>16</v>
      </c>
      <c r="H1190" t="s">
        <v>1639</v>
      </c>
      <c r="I1190">
        <v>2.2250999999999999</v>
      </c>
      <c r="J1190">
        <v>34329.83</v>
      </c>
      <c r="K1190">
        <v>15428.443665453238</v>
      </c>
    </row>
    <row r="1191" spans="1:11" x14ac:dyDescent="0.25">
      <c r="A1191" t="s">
        <v>1060</v>
      </c>
      <c r="B1191" t="s">
        <v>1061</v>
      </c>
      <c r="C1191" s="1">
        <v>41789</v>
      </c>
      <c r="D1191" s="1">
        <v>41793</v>
      </c>
      <c r="E1191">
        <v>19976</v>
      </c>
      <c r="F1191" t="s">
        <v>309</v>
      </c>
      <c r="G1191" t="s">
        <v>16</v>
      </c>
      <c r="H1191" t="s">
        <v>5082</v>
      </c>
      <c r="I1191">
        <v>2.2250999999999999</v>
      </c>
      <c r="J1191">
        <v>36997.699999999997</v>
      </c>
      <c r="K1191">
        <v>16627.432474944948</v>
      </c>
    </row>
    <row r="1192" spans="1:11" x14ac:dyDescent="0.25">
      <c r="A1192" t="s">
        <v>1060</v>
      </c>
      <c r="B1192" t="s">
        <v>1061</v>
      </c>
      <c r="C1192" s="1">
        <v>41790</v>
      </c>
      <c r="D1192" s="1">
        <v>41795</v>
      </c>
      <c r="E1192">
        <v>19976</v>
      </c>
      <c r="F1192" t="s">
        <v>309</v>
      </c>
      <c r="G1192" t="s">
        <v>16</v>
      </c>
      <c r="H1192" t="s">
        <v>1640</v>
      </c>
      <c r="I1192">
        <v>2.2389999999999999</v>
      </c>
      <c r="J1192">
        <v>35890.28</v>
      </c>
      <c r="K1192">
        <v>16029.602501116569</v>
      </c>
    </row>
    <row r="1193" spans="1:11" x14ac:dyDescent="0.25">
      <c r="A1193" t="s">
        <v>1060</v>
      </c>
      <c r="B1193" t="s">
        <v>1061</v>
      </c>
      <c r="C1193" s="1">
        <v>41782</v>
      </c>
      <c r="D1193" s="1">
        <v>41791</v>
      </c>
      <c r="E1193">
        <v>19976</v>
      </c>
      <c r="F1193" t="s">
        <v>309</v>
      </c>
      <c r="G1193" t="s">
        <v>16</v>
      </c>
      <c r="H1193" t="s">
        <v>5083</v>
      </c>
      <c r="I1193">
        <v>2.2130999999999998</v>
      </c>
      <c r="J1193">
        <v>25966.7</v>
      </c>
      <c r="K1193">
        <v>11733.179702679499</v>
      </c>
    </row>
    <row r="1194" spans="1:11" x14ac:dyDescent="0.25">
      <c r="A1194" t="s">
        <v>1060</v>
      </c>
      <c r="B1194" t="s">
        <v>1061</v>
      </c>
      <c r="C1194" s="1">
        <v>41788</v>
      </c>
      <c r="D1194" s="1">
        <v>41791</v>
      </c>
      <c r="E1194">
        <v>19976</v>
      </c>
      <c r="F1194" t="s">
        <v>309</v>
      </c>
      <c r="G1194" t="s">
        <v>16</v>
      </c>
      <c r="H1194" t="s">
        <v>5084</v>
      </c>
      <c r="I1194">
        <v>2.2404999999999999</v>
      </c>
      <c r="J1194">
        <v>35839.94</v>
      </c>
      <c r="K1194">
        <v>15996.402588707877</v>
      </c>
    </row>
    <row r="1195" spans="1:11" x14ac:dyDescent="0.25">
      <c r="A1195" t="s">
        <v>1060</v>
      </c>
      <c r="B1195" t="s">
        <v>1061</v>
      </c>
      <c r="C1195" s="1">
        <v>41788</v>
      </c>
      <c r="D1195" s="1">
        <v>41791</v>
      </c>
      <c r="E1195">
        <v>19976</v>
      </c>
      <c r="F1195" t="s">
        <v>309</v>
      </c>
      <c r="G1195" t="s">
        <v>16</v>
      </c>
      <c r="H1195" t="s">
        <v>1641</v>
      </c>
      <c r="I1195">
        <v>2.2404999999999999</v>
      </c>
      <c r="J1195">
        <v>27196.36</v>
      </c>
      <c r="K1195">
        <v>12138.522651193929</v>
      </c>
    </row>
    <row r="1196" spans="1:11" x14ac:dyDescent="0.25">
      <c r="A1196" t="s">
        <v>1072</v>
      </c>
      <c r="B1196" t="s">
        <v>1073</v>
      </c>
      <c r="C1196" s="1">
        <v>41823</v>
      </c>
      <c r="D1196" s="1">
        <v>41827</v>
      </c>
      <c r="E1196">
        <v>19972</v>
      </c>
      <c r="F1196" t="s">
        <v>368</v>
      </c>
      <c r="G1196" t="s">
        <v>16</v>
      </c>
      <c r="H1196" t="s">
        <v>1642</v>
      </c>
      <c r="I1196">
        <v>2.2134</v>
      </c>
      <c r="J1196">
        <v>23777.69</v>
      </c>
      <c r="K1196">
        <v>10742.608656365772</v>
      </c>
    </row>
    <row r="1197" spans="1:11" x14ac:dyDescent="0.25">
      <c r="A1197" t="s">
        <v>2088</v>
      </c>
      <c r="B1197" t="s">
        <v>2089</v>
      </c>
      <c r="C1197" s="1">
        <v>41835</v>
      </c>
      <c r="D1197" s="1">
        <v>41842</v>
      </c>
      <c r="E1197">
        <v>19979</v>
      </c>
      <c r="F1197" t="s">
        <v>301</v>
      </c>
      <c r="G1197" t="s">
        <v>16</v>
      </c>
      <c r="H1197" t="s">
        <v>5085</v>
      </c>
      <c r="I1197">
        <v>2.2176</v>
      </c>
      <c r="J1197">
        <v>57959.99</v>
      </c>
      <c r="K1197">
        <v>26136.359126984127</v>
      </c>
    </row>
    <row r="1198" spans="1:11" x14ac:dyDescent="0.25">
      <c r="A1198" t="s">
        <v>1072</v>
      </c>
      <c r="B1198" t="s">
        <v>1073</v>
      </c>
      <c r="C1198" s="1">
        <v>41833</v>
      </c>
      <c r="D1198" s="1">
        <v>41835</v>
      </c>
      <c r="E1198">
        <v>19972</v>
      </c>
      <c r="F1198" t="s">
        <v>368</v>
      </c>
      <c r="G1198" t="s">
        <v>16</v>
      </c>
      <c r="H1198" t="s">
        <v>5086</v>
      </c>
      <c r="I1198">
        <v>2.2227999999999999</v>
      </c>
      <c r="J1198">
        <v>24908.07</v>
      </c>
      <c r="K1198">
        <v>11205.718013316538</v>
      </c>
    </row>
    <row r="1199" spans="1:11" x14ac:dyDescent="0.25">
      <c r="A1199" t="s">
        <v>1072</v>
      </c>
      <c r="B1199" t="s">
        <v>1073</v>
      </c>
      <c r="C1199" s="1">
        <v>41835</v>
      </c>
      <c r="D1199" s="1">
        <v>41837</v>
      </c>
      <c r="E1199">
        <v>19972</v>
      </c>
      <c r="F1199" t="s">
        <v>368</v>
      </c>
      <c r="G1199" t="s">
        <v>16</v>
      </c>
      <c r="H1199" t="s">
        <v>1643</v>
      </c>
      <c r="I1199">
        <v>2.2176</v>
      </c>
      <c r="J1199">
        <v>32780.769999999997</v>
      </c>
      <c r="K1199">
        <v>14782.093253968254</v>
      </c>
    </row>
    <row r="1200" spans="1:11" x14ac:dyDescent="0.25">
      <c r="A1200" t="s">
        <v>1072</v>
      </c>
      <c r="B1200" t="s">
        <v>1073</v>
      </c>
      <c r="C1200" s="1">
        <v>41828</v>
      </c>
      <c r="D1200" s="1">
        <v>41830</v>
      </c>
      <c r="E1200">
        <v>19972</v>
      </c>
      <c r="F1200" t="s">
        <v>368</v>
      </c>
      <c r="G1200" t="s">
        <v>16</v>
      </c>
      <c r="H1200" t="s">
        <v>5087</v>
      </c>
      <c r="I1200">
        <v>2.2201</v>
      </c>
      <c r="J1200">
        <v>32913.769999999997</v>
      </c>
      <c r="K1200">
        <v>14825.354713751633</v>
      </c>
    </row>
    <row r="1201" spans="1:11" x14ac:dyDescent="0.25">
      <c r="A1201" t="s">
        <v>1072</v>
      </c>
      <c r="B1201" t="s">
        <v>1073</v>
      </c>
      <c r="C1201" s="1">
        <v>41828</v>
      </c>
      <c r="D1201" s="1">
        <v>41830</v>
      </c>
      <c r="E1201">
        <v>19972</v>
      </c>
      <c r="F1201" t="s">
        <v>368</v>
      </c>
      <c r="G1201" t="s">
        <v>16</v>
      </c>
      <c r="H1201" t="s">
        <v>5088</v>
      </c>
      <c r="I1201">
        <v>2.2201</v>
      </c>
      <c r="J1201">
        <v>33698.36</v>
      </c>
      <c r="K1201">
        <v>15178.757713616504</v>
      </c>
    </row>
    <row r="1202" spans="1:11" x14ac:dyDescent="0.25">
      <c r="A1202" t="s">
        <v>1072</v>
      </c>
      <c r="B1202" t="s">
        <v>1073</v>
      </c>
      <c r="C1202" s="1">
        <v>41829</v>
      </c>
      <c r="D1202" s="1">
        <v>41831</v>
      </c>
      <c r="E1202">
        <v>19972</v>
      </c>
      <c r="F1202" t="s">
        <v>368</v>
      </c>
      <c r="G1202" t="s">
        <v>16</v>
      </c>
      <c r="H1202" t="s">
        <v>1644</v>
      </c>
      <c r="I1202">
        <v>2.2149999999999999</v>
      </c>
      <c r="J1202">
        <v>33977.64</v>
      </c>
      <c r="K1202">
        <v>15339.792325056433</v>
      </c>
    </row>
    <row r="1203" spans="1:11" x14ac:dyDescent="0.25">
      <c r="A1203" t="s">
        <v>1075</v>
      </c>
      <c r="B1203" t="s">
        <v>1076</v>
      </c>
      <c r="C1203" s="1">
        <v>41835</v>
      </c>
      <c r="D1203" s="1">
        <v>41838</v>
      </c>
      <c r="E1203">
        <v>19680</v>
      </c>
      <c r="F1203" t="s">
        <v>368</v>
      </c>
      <c r="G1203" t="s">
        <v>16</v>
      </c>
      <c r="H1203" t="s">
        <v>1645</v>
      </c>
      <c r="I1203">
        <v>2.2176</v>
      </c>
      <c r="J1203">
        <v>33738.26</v>
      </c>
      <c r="K1203">
        <v>15213.861832611832</v>
      </c>
    </row>
    <row r="1204" spans="1:11" x14ac:dyDescent="0.25">
      <c r="A1204" t="s">
        <v>1072</v>
      </c>
      <c r="B1204" t="s">
        <v>1073</v>
      </c>
      <c r="C1204" s="1">
        <v>41826</v>
      </c>
      <c r="D1204" s="1">
        <v>41828</v>
      </c>
      <c r="E1204">
        <v>19972</v>
      </c>
      <c r="F1204" t="s">
        <v>368</v>
      </c>
      <c r="G1204" t="s">
        <v>16</v>
      </c>
      <c r="H1204" t="s">
        <v>5089</v>
      </c>
      <c r="I1204">
        <v>2.2149000000000001</v>
      </c>
      <c r="J1204">
        <v>32568.01</v>
      </c>
      <c r="K1204">
        <v>14704.054359113279</v>
      </c>
    </row>
    <row r="1205" spans="1:11" x14ac:dyDescent="0.25">
      <c r="A1205" t="s">
        <v>382</v>
      </c>
      <c r="B1205" t="s">
        <v>1646</v>
      </c>
      <c r="C1205" s="1">
        <v>41827</v>
      </c>
      <c r="D1205" s="1">
        <v>41842</v>
      </c>
      <c r="E1205">
        <v>19975</v>
      </c>
      <c r="F1205" t="s">
        <v>309</v>
      </c>
      <c r="G1205" t="s">
        <v>16</v>
      </c>
      <c r="H1205" t="s">
        <v>1647</v>
      </c>
      <c r="I1205">
        <v>2.2149000000000001</v>
      </c>
      <c r="J1205">
        <v>103400</v>
      </c>
      <c r="K1205">
        <v>46683.823197435551</v>
      </c>
    </row>
    <row r="1206" spans="1:11" x14ac:dyDescent="0.25">
      <c r="A1206" t="s">
        <v>1054</v>
      </c>
      <c r="B1206" t="s">
        <v>1055</v>
      </c>
      <c r="C1206" s="1">
        <v>41753</v>
      </c>
      <c r="D1206" s="1">
        <v>41759</v>
      </c>
      <c r="E1206">
        <v>23599</v>
      </c>
      <c r="F1206" t="s">
        <v>301</v>
      </c>
      <c r="G1206" t="s">
        <v>16</v>
      </c>
      <c r="H1206" t="s">
        <v>5090</v>
      </c>
      <c r="I1206">
        <v>2.2425999999999999</v>
      </c>
      <c r="J1206">
        <v>306205.01</v>
      </c>
      <c r="K1206">
        <v>136540.18103986443</v>
      </c>
    </row>
    <row r="1207" spans="1:11" x14ac:dyDescent="0.25">
      <c r="A1207" t="s">
        <v>1648</v>
      </c>
      <c r="C1207" s="1">
        <v>41866</v>
      </c>
      <c r="D1207" s="1">
        <v>41871</v>
      </c>
      <c r="E1207">
        <v>27261</v>
      </c>
      <c r="F1207" t="s">
        <v>291</v>
      </c>
      <c r="G1207" t="s">
        <v>16</v>
      </c>
      <c r="H1207" t="s">
        <v>1649</v>
      </c>
      <c r="I1207">
        <v>2.2703000000000002</v>
      </c>
      <c r="J1207">
        <v>82.29</v>
      </c>
      <c r="K1207">
        <v>36.246311060212307</v>
      </c>
    </row>
    <row r="1208" spans="1:11" x14ac:dyDescent="0.25">
      <c r="A1208" t="s">
        <v>1650</v>
      </c>
      <c r="B1208" t="s">
        <v>1651</v>
      </c>
      <c r="C1208" s="1">
        <v>41529</v>
      </c>
      <c r="D1208" s="1">
        <v>41543</v>
      </c>
      <c r="E1208">
        <v>23</v>
      </c>
      <c r="F1208" t="s">
        <v>887</v>
      </c>
      <c r="G1208" t="s">
        <v>16</v>
      </c>
      <c r="H1208" t="s">
        <v>1652</v>
      </c>
      <c r="I1208">
        <v>2.2947000000000002</v>
      </c>
      <c r="J1208">
        <v>61426.49</v>
      </c>
      <c r="K1208">
        <v>26768.854316468383</v>
      </c>
    </row>
    <row r="1209" spans="1:11" x14ac:dyDescent="0.25">
      <c r="A1209" t="s">
        <v>1653</v>
      </c>
      <c r="B1209" t="s">
        <v>1654</v>
      </c>
      <c r="C1209" s="1">
        <v>41852</v>
      </c>
      <c r="D1209" s="1">
        <v>41858</v>
      </c>
      <c r="E1209">
        <v>1</v>
      </c>
      <c r="F1209" t="s">
        <v>368</v>
      </c>
      <c r="G1209" t="s">
        <v>16</v>
      </c>
      <c r="H1209" t="s">
        <v>5091</v>
      </c>
      <c r="I1209">
        <v>2.2673999999999999</v>
      </c>
      <c r="J1209">
        <v>50326.64</v>
      </c>
      <c r="K1209">
        <v>22195.748434330071</v>
      </c>
    </row>
    <row r="1210" spans="1:11" x14ac:dyDescent="0.25">
      <c r="A1210" t="s">
        <v>1653</v>
      </c>
      <c r="B1210" t="s">
        <v>1654</v>
      </c>
      <c r="C1210" s="1">
        <v>41852</v>
      </c>
      <c r="D1210" s="1">
        <v>41858</v>
      </c>
      <c r="E1210">
        <v>1</v>
      </c>
      <c r="F1210" t="s">
        <v>368</v>
      </c>
      <c r="G1210" t="s">
        <v>16</v>
      </c>
      <c r="H1210" t="s">
        <v>515</v>
      </c>
      <c r="I1210">
        <v>2.2673999999999999</v>
      </c>
      <c r="J1210">
        <v>50326.64</v>
      </c>
      <c r="K1210">
        <v>22195.748434330071</v>
      </c>
    </row>
    <row r="1211" spans="1:11" x14ac:dyDescent="0.25">
      <c r="A1211" t="s">
        <v>1083</v>
      </c>
      <c r="B1211" t="s">
        <v>1084</v>
      </c>
      <c r="C1211" s="1">
        <v>41850</v>
      </c>
      <c r="D1211" s="1">
        <v>41853</v>
      </c>
      <c r="E1211">
        <v>19679</v>
      </c>
      <c r="F1211" t="s">
        <v>368</v>
      </c>
      <c r="G1211" t="s">
        <v>16</v>
      </c>
      <c r="H1211" t="s">
        <v>1655</v>
      </c>
      <c r="I1211">
        <v>2.2277999999999998</v>
      </c>
      <c r="J1211">
        <v>38951.42</v>
      </c>
      <c r="K1211">
        <v>17484.253523655625</v>
      </c>
    </row>
    <row r="1212" spans="1:11" x14ac:dyDescent="0.25">
      <c r="A1212" t="s">
        <v>1083</v>
      </c>
      <c r="B1212" t="s">
        <v>1084</v>
      </c>
      <c r="C1212" s="1">
        <v>41850</v>
      </c>
      <c r="D1212" s="1">
        <v>41853</v>
      </c>
      <c r="E1212">
        <v>19679</v>
      </c>
      <c r="F1212" t="s">
        <v>368</v>
      </c>
      <c r="G1212" t="s">
        <v>16</v>
      </c>
      <c r="H1212" t="s">
        <v>1656</v>
      </c>
      <c r="I1212">
        <v>2.2277999999999998</v>
      </c>
      <c r="J1212">
        <v>50493.35</v>
      </c>
      <c r="K1212">
        <v>22665.118053685252</v>
      </c>
    </row>
    <row r="1213" spans="1:11" x14ac:dyDescent="0.25">
      <c r="A1213" t="s">
        <v>1083</v>
      </c>
      <c r="B1213" t="s">
        <v>1084</v>
      </c>
      <c r="C1213" s="1">
        <v>41850</v>
      </c>
      <c r="D1213" s="1">
        <v>41853</v>
      </c>
      <c r="E1213">
        <v>19679</v>
      </c>
      <c r="F1213" t="s">
        <v>368</v>
      </c>
      <c r="G1213" t="s">
        <v>16</v>
      </c>
      <c r="H1213" t="s">
        <v>1657</v>
      </c>
      <c r="I1213">
        <v>2.2277999999999998</v>
      </c>
      <c r="J1213">
        <v>39159.39</v>
      </c>
      <c r="K1213">
        <v>17577.605709668733</v>
      </c>
    </row>
    <row r="1214" spans="1:11" x14ac:dyDescent="0.25">
      <c r="A1214" t="s">
        <v>1083</v>
      </c>
      <c r="B1214" t="s">
        <v>1084</v>
      </c>
      <c r="C1214" s="1">
        <v>41849</v>
      </c>
      <c r="D1214" s="1">
        <v>41853</v>
      </c>
      <c r="E1214">
        <v>19679</v>
      </c>
      <c r="F1214" t="s">
        <v>368</v>
      </c>
      <c r="G1214" t="s">
        <v>16</v>
      </c>
      <c r="H1214" t="s">
        <v>5092</v>
      </c>
      <c r="I1214">
        <v>2.2302</v>
      </c>
      <c r="J1214">
        <v>52843.33</v>
      </c>
      <c r="K1214">
        <v>23694.435476638868</v>
      </c>
    </row>
    <row r="1215" spans="1:11" x14ac:dyDescent="0.25">
      <c r="A1215" t="s">
        <v>1072</v>
      </c>
      <c r="B1215" t="s">
        <v>1073</v>
      </c>
      <c r="C1215" s="1">
        <v>41870</v>
      </c>
      <c r="D1215" s="1">
        <v>41872</v>
      </c>
      <c r="E1215">
        <v>19972</v>
      </c>
      <c r="F1215" t="s">
        <v>368</v>
      </c>
      <c r="G1215" t="s">
        <v>16</v>
      </c>
      <c r="H1215" t="s">
        <v>1658</v>
      </c>
      <c r="I1215">
        <v>2.2595000000000001</v>
      </c>
      <c r="J1215">
        <v>25134.15</v>
      </c>
      <c r="K1215">
        <v>11123.766319982296</v>
      </c>
    </row>
    <row r="1216" spans="1:11" x14ac:dyDescent="0.25">
      <c r="A1216" t="s">
        <v>3471</v>
      </c>
      <c r="B1216" t="s">
        <v>3472</v>
      </c>
      <c r="C1216" s="1">
        <v>41852</v>
      </c>
      <c r="D1216" s="1">
        <v>41857</v>
      </c>
      <c r="E1216">
        <v>1</v>
      </c>
      <c r="F1216" t="s">
        <v>368</v>
      </c>
      <c r="G1216" t="s">
        <v>16</v>
      </c>
      <c r="H1216" t="s">
        <v>4376</v>
      </c>
      <c r="I1216">
        <v>2.2673999999999999</v>
      </c>
      <c r="J1216">
        <v>36349.22</v>
      </c>
      <c r="K1216">
        <v>16031.23401252536</v>
      </c>
    </row>
    <row r="1217" spans="1:11" x14ac:dyDescent="0.25">
      <c r="A1217" t="s">
        <v>3471</v>
      </c>
      <c r="B1217" t="s">
        <v>3472</v>
      </c>
      <c r="C1217" s="1">
        <v>41852</v>
      </c>
      <c r="D1217" s="1">
        <v>41857</v>
      </c>
      <c r="E1217">
        <v>1</v>
      </c>
      <c r="F1217" t="s">
        <v>368</v>
      </c>
      <c r="G1217" t="s">
        <v>16</v>
      </c>
      <c r="H1217" t="s">
        <v>1283</v>
      </c>
      <c r="I1217">
        <v>2.2673999999999999</v>
      </c>
      <c r="J1217">
        <v>36804.57</v>
      </c>
      <c r="K1217">
        <v>16232.05874569992</v>
      </c>
    </row>
    <row r="1218" spans="1:11" x14ac:dyDescent="0.25">
      <c r="A1218" t="s">
        <v>1072</v>
      </c>
      <c r="B1218" t="s">
        <v>1073</v>
      </c>
      <c r="C1218" s="1">
        <v>41859</v>
      </c>
      <c r="D1218" s="1">
        <v>41863</v>
      </c>
      <c r="E1218">
        <v>19972</v>
      </c>
      <c r="F1218" t="s">
        <v>368</v>
      </c>
      <c r="G1218" t="s">
        <v>16</v>
      </c>
      <c r="H1218" t="s">
        <v>1659</v>
      </c>
      <c r="I1218">
        <v>2.2801999999999998</v>
      </c>
      <c r="J1218">
        <v>32847.26</v>
      </c>
      <c r="K1218">
        <v>14405.429348302781</v>
      </c>
    </row>
    <row r="1219" spans="1:11" x14ac:dyDescent="0.25">
      <c r="A1219" t="s">
        <v>1072</v>
      </c>
      <c r="B1219" t="s">
        <v>1073</v>
      </c>
      <c r="C1219" s="1">
        <v>41860</v>
      </c>
      <c r="D1219" s="1">
        <v>41863</v>
      </c>
      <c r="E1219">
        <v>19972</v>
      </c>
      <c r="F1219" t="s">
        <v>368</v>
      </c>
      <c r="G1219" t="s">
        <v>16</v>
      </c>
      <c r="H1219" t="s">
        <v>5093</v>
      </c>
      <c r="I1219">
        <v>2.2986</v>
      </c>
      <c r="J1219">
        <v>33738.26</v>
      </c>
      <c r="K1219">
        <v>14677.742973984165</v>
      </c>
    </row>
    <row r="1220" spans="1:11" x14ac:dyDescent="0.25">
      <c r="A1220" t="s">
        <v>1072</v>
      </c>
      <c r="B1220" t="s">
        <v>1073</v>
      </c>
      <c r="C1220" s="1">
        <v>41861</v>
      </c>
      <c r="D1220" s="1">
        <v>41863</v>
      </c>
      <c r="E1220">
        <v>19972</v>
      </c>
      <c r="F1220" t="s">
        <v>368</v>
      </c>
      <c r="G1220" t="s">
        <v>16</v>
      </c>
      <c r="H1220" t="s">
        <v>1660</v>
      </c>
      <c r="I1220">
        <v>2.2986</v>
      </c>
      <c r="J1220">
        <v>25107.54</v>
      </c>
      <c r="K1220">
        <v>10922.970503784913</v>
      </c>
    </row>
    <row r="1221" spans="1:11" x14ac:dyDescent="0.25">
      <c r="A1221" t="s">
        <v>2590</v>
      </c>
      <c r="B1221" t="s">
        <v>2591</v>
      </c>
      <c r="C1221" s="1">
        <v>41850</v>
      </c>
      <c r="D1221" s="1">
        <v>41852</v>
      </c>
      <c r="E1221">
        <v>1</v>
      </c>
      <c r="F1221" t="s">
        <v>368</v>
      </c>
      <c r="G1221" t="s">
        <v>16</v>
      </c>
      <c r="H1221" t="s">
        <v>5094</v>
      </c>
      <c r="I1221">
        <v>2.2277999999999998</v>
      </c>
      <c r="J1221">
        <v>50465.23</v>
      </c>
      <c r="K1221">
        <v>22652.495735703385</v>
      </c>
    </row>
    <row r="1222" spans="1:11" x14ac:dyDescent="0.25">
      <c r="A1222" t="s">
        <v>2590</v>
      </c>
      <c r="B1222" t="s">
        <v>2591</v>
      </c>
      <c r="C1222" s="1">
        <v>41850</v>
      </c>
      <c r="D1222" s="1">
        <v>41852</v>
      </c>
      <c r="E1222">
        <v>1</v>
      </c>
      <c r="F1222" t="s">
        <v>368</v>
      </c>
      <c r="G1222" t="s">
        <v>16</v>
      </c>
      <c r="H1222" t="s">
        <v>5095</v>
      </c>
      <c r="I1222">
        <v>2.2277999999999998</v>
      </c>
      <c r="J1222">
        <v>49297.14</v>
      </c>
      <c r="K1222">
        <v>22128.171290061946</v>
      </c>
    </row>
    <row r="1223" spans="1:11" x14ac:dyDescent="0.25">
      <c r="A1223" t="s">
        <v>1088</v>
      </c>
      <c r="B1223" t="s">
        <v>1089</v>
      </c>
      <c r="C1223" s="1">
        <v>41864</v>
      </c>
      <c r="D1223" s="1">
        <v>41866</v>
      </c>
      <c r="E1223">
        <v>2</v>
      </c>
      <c r="F1223" t="s">
        <v>368</v>
      </c>
      <c r="G1223" t="s">
        <v>16</v>
      </c>
      <c r="H1223" t="s">
        <v>1661</v>
      </c>
      <c r="I1223">
        <v>2.2770000000000001</v>
      </c>
      <c r="J1223">
        <v>28266.85</v>
      </c>
      <c r="K1223">
        <v>12414.075537988581</v>
      </c>
    </row>
    <row r="1224" spans="1:11" x14ac:dyDescent="0.25">
      <c r="A1224" t="s">
        <v>1072</v>
      </c>
      <c r="B1224" t="s">
        <v>1073</v>
      </c>
      <c r="C1224" s="1">
        <v>41859</v>
      </c>
      <c r="D1224" s="1">
        <v>41864</v>
      </c>
      <c r="E1224">
        <v>19972</v>
      </c>
      <c r="F1224" t="s">
        <v>368</v>
      </c>
      <c r="G1224" t="s">
        <v>16</v>
      </c>
      <c r="H1224" t="s">
        <v>5096</v>
      </c>
      <c r="I1224">
        <v>2.2801999999999998</v>
      </c>
      <c r="J1224">
        <v>25107.54</v>
      </c>
      <c r="K1224">
        <v>11011.113060257872</v>
      </c>
    </row>
    <row r="1225" spans="1:11" x14ac:dyDescent="0.25">
      <c r="A1225" t="s">
        <v>1075</v>
      </c>
      <c r="B1225" t="s">
        <v>1076</v>
      </c>
      <c r="C1225" s="1">
        <v>41862</v>
      </c>
      <c r="D1225" s="1">
        <v>41863</v>
      </c>
      <c r="E1225">
        <v>19680</v>
      </c>
      <c r="F1225" t="s">
        <v>368</v>
      </c>
      <c r="G1225" t="s">
        <v>16</v>
      </c>
      <c r="H1225" t="s">
        <v>5097</v>
      </c>
      <c r="I1225">
        <v>2.2986</v>
      </c>
      <c r="J1225">
        <v>30320.560000000001</v>
      </c>
      <c r="K1225">
        <v>13190.881406073262</v>
      </c>
    </row>
    <row r="1226" spans="1:11" x14ac:dyDescent="0.25">
      <c r="A1226" t="s">
        <v>1072</v>
      </c>
      <c r="B1226" t="s">
        <v>1073</v>
      </c>
      <c r="C1226" s="1">
        <v>41860</v>
      </c>
      <c r="D1226" s="1">
        <v>41862</v>
      </c>
      <c r="E1226">
        <v>19972</v>
      </c>
      <c r="F1226" t="s">
        <v>368</v>
      </c>
      <c r="G1226" t="s">
        <v>16</v>
      </c>
      <c r="H1226" t="s">
        <v>1662</v>
      </c>
      <c r="I1226">
        <v>2.2986</v>
      </c>
      <c r="J1226">
        <v>33897.85</v>
      </c>
      <c r="K1226">
        <v>14747.172191768903</v>
      </c>
    </row>
    <row r="1227" spans="1:11" x14ac:dyDescent="0.25">
      <c r="A1227" t="s">
        <v>1072</v>
      </c>
      <c r="B1227" t="s">
        <v>1073</v>
      </c>
      <c r="C1227" s="1">
        <v>41859</v>
      </c>
      <c r="D1227" s="1">
        <v>41862</v>
      </c>
      <c r="E1227">
        <v>19972</v>
      </c>
      <c r="F1227" t="s">
        <v>368</v>
      </c>
      <c r="G1227" t="s">
        <v>16</v>
      </c>
      <c r="H1227" t="s">
        <v>5098</v>
      </c>
      <c r="I1227">
        <v>2.2801999999999998</v>
      </c>
      <c r="J1227">
        <v>24575.62</v>
      </c>
      <c r="K1227">
        <v>10777.835277607228</v>
      </c>
    </row>
    <row r="1228" spans="1:11" x14ac:dyDescent="0.25">
      <c r="A1228" t="s">
        <v>1653</v>
      </c>
      <c r="B1228" t="s">
        <v>1654</v>
      </c>
      <c r="C1228" s="1">
        <v>41857</v>
      </c>
      <c r="D1228" s="1">
        <v>41866</v>
      </c>
      <c r="E1228">
        <v>1</v>
      </c>
      <c r="F1228" t="s">
        <v>368</v>
      </c>
      <c r="G1228" t="s">
        <v>16</v>
      </c>
      <c r="H1228" t="s">
        <v>1663</v>
      </c>
      <c r="I1228">
        <v>2.2755999999999998</v>
      </c>
      <c r="J1228">
        <v>28548.79</v>
      </c>
      <c r="K1228">
        <v>12545.609949024432</v>
      </c>
    </row>
    <row r="1229" spans="1:11" x14ac:dyDescent="0.25">
      <c r="A1229" t="s">
        <v>471</v>
      </c>
      <c r="B1229" t="s">
        <v>2594</v>
      </c>
      <c r="C1229" s="1">
        <v>41906</v>
      </c>
      <c r="D1229" s="1">
        <v>41909</v>
      </c>
      <c r="E1229">
        <v>19708</v>
      </c>
      <c r="F1229" t="s">
        <v>278</v>
      </c>
      <c r="G1229" t="s">
        <v>16</v>
      </c>
      <c r="H1229" t="s">
        <v>5099</v>
      </c>
      <c r="I1229">
        <v>2.4026000000000001</v>
      </c>
      <c r="J1229">
        <v>259630</v>
      </c>
      <c r="K1229">
        <v>108062.09939232498</v>
      </c>
    </row>
    <row r="1230" spans="1:11" x14ac:dyDescent="0.25">
      <c r="A1230" t="s">
        <v>1664</v>
      </c>
      <c r="B1230" t="s">
        <v>1665</v>
      </c>
      <c r="C1230" s="1">
        <v>41874</v>
      </c>
      <c r="D1230" s="1">
        <v>41883</v>
      </c>
      <c r="E1230">
        <v>2</v>
      </c>
      <c r="F1230" t="s">
        <v>368</v>
      </c>
      <c r="G1230" t="s">
        <v>16</v>
      </c>
      <c r="H1230" t="s">
        <v>5100</v>
      </c>
      <c r="I1230">
        <v>2.2778</v>
      </c>
      <c r="J1230">
        <v>16687.29</v>
      </c>
      <c r="K1230">
        <v>7326.0558433576261</v>
      </c>
    </row>
    <row r="1231" spans="1:11" x14ac:dyDescent="0.25">
      <c r="A1231" t="s">
        <v>3049</v>
      </c>
      <c r="B1231" t="s">
        <v>3050</v>
      </c>
      <c r="C1231" s="1">
        <v>41852</v>
      </c>
      <c r="D1231" s="1">
        <v>41883</v>
      </c>
      <c r="E1231">
        <v>1</v>
      </c>
      <c r="F1231" t="s">
        <v>368</v>
      </c>
      <c r="G1231" t="s">
        <v>16</v>
      </c>
      <c r="H1231" t="s">
        <v>500</v>
      </c>
      <c r="I1231">
        <v>2.2673999999999999</v>
      </c>
      <c r="J1231">
        <v>49297.14</v>
      </c>
      <c r="K1231">
        <v>21741.704154538238</v>
      </c>
    </row>
    <row r="1232" spans="1:11" x14ac:dyDescent="0.25">
      <c r="A1232" t="s">
        <v>3049</v>
      </c>
      <c r="B1232" t="s">
        <v>3050</v>
      </c>
      <c r="C1232" s="1">
        <v>41852</v>
      </c>
      <c r="D1232" s="1">
        <v>41883</v>
      </c>
      <c r="E1232">
        <v>1</v>
      </c>
      <c r="F1232" t="s">
        <v>368</v>
      </c>
      <c r="G1232" t="s">
        <v>16</v>
      </c>
      <c r="H1232" t="s">
        <v>5101</v>
      </c>
      <c r="I1232">
        <v>2.2673999999999999</v>
      </c>
      <c r="J1232">
        <v>36705.58</v>
      </c>
      <c r="K1232">
        <v>16188.400811502161</v>
      </c>
    </row>
    <row r="1233" spans="1:11" x14ac:dyDescent="0.25">
      <c r="A1233" t="s">
        <v>1102</v>
      </c>
      <c r="B1233" t="s">
        <v>1103</v>
      </c>
      <c r="C1233" s="1">
        <v>41906</v>
      </c>
      <c r="D1233" s="1">
        <v>41911</v>
      </c>
      <c r="E1233">
        <v>19980</v>
      </c>
      <c r="F1233" t="s">
        <v>301</v>
      </c>
      <c r="G1233" t="s">
        <v>16</v>
      </c>
      <c r="H1233" t="s">
        <v>5102</v>
      </c>
      <c r="I1233">
        <v>2.4026000000000001</v>
      </c>
      <c r="J1233">
        <v>62370.01</v>
      </c>
      <c r="K1233">
        <v>25959.381503371347</v>
      </c>
    </row>
    <row r="1234" spans="1:11" x14ac:dyDescent="0.25">
      <c r="A1234" t="s">
        <v>337</v>
      </c>
      <c r="B1234" t="s">
        <v>1105</v>
      </c>
      <c r="C1234" s="1">
        <v>41905</v>
      </c>
      <c r="D1234" s="1">
        <v>41919</v>
      </c>
      <c r="E1234">
        <v>20192</v>
      </c>
      <c r="F1234" t="s">
        <v>311</v>
      </c>
      <c r="G1234" t="s">
        <v>16</v>
      </c>
      <c r="H1234" t="s">
        <v>5103</v>
      </c>
      <c r="I1234">
        <v>2.387</v>
      </c>
      <c r="J1234">
        <v>482530.08</v>
      </c>
      <c r="K1234">
        <v>202149.17469627148</v>
      </c>
    </row>
    <row r="1235" spans="1:11" x14ac:dyDescent="0.25">
      <c r="A1235" t="s">
        <v>337</v>
      </c>
      <c r="B1235" t="s">
        <v>1105</v>
      </c>
      <c r="C1235" s="1">
        <v>41905</v>
      </c>
      <c r="D1235" s="1">
        <v>41913</v>
      </c>
      <c r="E1235">
        <v>20192</v>
      </c>
      <c r="F1235" t="s">
        <v>311</v>
      </c>
      <c r="G1235" t="s">
        <v>16</v>
      </c>
      <c r="H1235" t="s">
        <v>5104</v>
      </c>
      <c r="I1235">
        <v>2.387</v>
      </c>
      <c r="J1235">
        <v>569385.49</v>
      </c>
      <c r="K1235">
        <v>238536.02429828237</v>
      </c>
    </row>
    <row r="1236" spans="1:11" x14ac:dyDescent="0.25">
      <c r="A1236" t="s">
        <v>1664</v>
      </c>
      <c r="B1236" t="s">
        <v>1665</v>
      </c>
      <c r="C1236" s="1">
        <v>41873</v>
      </c>
      <c r="D1236" s="1">
        <v>41883</v>
      </c>
      <c r="E1236">
        <v>2</v>
      </c>
      <c r="F1236" t="s">
        <v>368</v>
      </c>
      <c r="G1236" t="s">
        <v>16</v>
      </c>
      <c r="H1236" t="s">
        <v>1666</v>
      </c>
      <c r="I1236">
        <v>2.2582</v>
      </c>
      <c r="J1236">
        <v>38906.699999999997</v>
      </c>
      <c r="K1236">
        <v>17229.076255424676</v>
      </c>
    </row>
    <row r="1237" spans="1:11" x14ac:dyDescent="0.25">
      <c r="A1237" t="s">
        <v>1664</v>
      </c>
      <c r="B1237" t="s">
        <v>1665</v>
      </c>
      <c r="C1237" s="1">
        <v>41873</v>
      </c>
      <c r="D1237" s="1">
        <v>41883</v>
      </c>
      <c r="E1237">
        <v>2</v>
      </c>
      <c r="F1237" t="s">
        <v>368</v>
      </c>
      <c r="G1237" t="s">
        <v>16</v>
      </c>
      <c r="H1237" t="s">
        <v>5105</v>
      </c>
      <c r="I1237">
        <v>2.2582</v>
      </c>
      <c r="J1237">
        <v>27963.71</v>
      </c>
      <c r="K1237">
        <v>12383.185723142326</v>
      </c>
    </row>
    <row r="1238" spans="1:11" x14ac:dyDescent="0.25">
      <c r="A1238" t="s">
        <v>1140</v>
      </c>
      <c r="B1238" t="s">
        <v>1141</v>
      </c>
      <c r="C1238" s="1">
        <v>41871</v>
      </c>
      <c r="D1238" s="1">
        <v>41883</v>
      </c>
      <c r="E1238">
        <v>3</v>
      </c>
      <c r="F1238" t="s">
        <v>368</v>
      </c>
      <c r="G1238" t="s">
        <v>16</v>
      </c>
      <c r="H1238" t="s">
        <v>580</v>
      </c>
      <c r="I1238">
        <v>2.2587000000000002</v>
      </c>
      <c r="J1238">
        <v>38467.17</v>
      </c>
      <c r="K1238">
        <v>17030.668083410812</v>
      </c>
    </row>
    <row r="1239" spans="1:11" x14ac:dyDescent="0.25">
      <c r="A1239" t="s">
        <v>1140</v>
      </c>
      <c r="B1239" t="s">
        <v>1141</v>
      </c>
      <c r="C1239" s="1">
        <v>41871</v>
      </c>
      <c r="D1239" s="1">
        <v>41883</v>
      </c>
      <c r="E1239">
        <v>3</v>
      </c>
      <c r="F1239" t="s">
        <v>368</v>
      </c>
      <c r="G1239" t="s">
        <v>16</v>
      </c>
      <c r="H1239" t="s">
        <v>594</v>
      </c>
      <c r="I1239">
        <v>2.2587000000000002</v>
      </c>
      <c r="J1239">
        <v>38573.25</v>
      </c>
      <c r="K1239">
        <v>17077.633151812988</v>
      </c>
    </row>
    <row r="1240" spans="1:11" x14ac:dyDescent="0.25">
      <c r="A1240" t="s">
        <v>1140</v>
      </c>
      <c r="B1240" t="s">
        <v>1141</v>
      </c>
      <c r="C1240" s="1">
        <v>41871</v>
      </c>
      <c r="D1240" s="1">
        <v>41883</v>
      </c>
      <c r="E1240">
        <v>3</v>
      </c>
      <c r="F1240" t="s">
        <v>368</v>
      </c>
      <c r="G1240" t="s">
        <v>16</v>
      </c>
      <c r="H1240" t="s">
        <v>591</v>
      </c>
      <c r="I1240">
        <v>2.2587000000000002</v>
      </c>
      <c r="J1240">
        <v>38649.040000000001</v>
      </c>
      <c r="K1240">
        <v>17111.187851418959</v>
      </c>
    </row>
    <row r="1241" spans="1:11" x14ac:dyDescent="0.25">
      <c r="A1241" t="s">
        <v>1072</v>
      </c>
      <c r="B1241" t="s">
        <v>1073</v>
      </c>
      <c r="C1241" s="1">
        <v>41874</v>
      </c>
      <c r="D1241" s="1">
        <v>41883</v>
      </c>
      <c r="E1241">
        <v>19972</v>
      </c>
      <c r="F1241" t="s">
        <v>368</v>
      </c>
      <c r="G1241" t="s">
        <v>16</v>
      </c>
      <c r="H1241" t="s">
        <v>5106</v>
      </c>
      <c r="I1241">
        <v>2.2778</v>
      </c>
      <c r="J1241">
        <v>28470.84</v>
      </c>
      <c r="K1241">
        <v>12499.271226622179</v>
      </c>
    </row>
    <row r="1242" spans="1:11" x14ac:dyDescent="0.25">
      <c r="A1242" t="s">
        <v>5107</v>
      </c>
      <c r="C1242" s="1">
        <v>41906</v>
      </c>
      <c r="D1242" s="1">
        <v>41906</v>
      </c>
      <c r="E1242">
        <v>257</v>
      </c>
      <c r="F1242" t="s">
        <v>519</v>
      </c>
      <c r="G1242" t="s">
        <v>16</v>
      </c>
      <c r="H1242" t="s">
        <v>5108</v>
      </c>
      <c r="I1242">
        <v>2.4026000000000001</v>
      </c>
      <c r="J1242">
        <v>742.58</v>
      </c>
      <c r="K1242">
        <v>309.07350370432033</v>
      </c>
    </row>
    <row r="1243" spans="1:11" x14ac:dyDescent="0.25">
      <c r="A1243" t="s">
        <v>1667</v>
      </c>
      <c r="B1243" t="s">
        <v>1668</v>
      </c>
      <c r="C1243" s="1">
        <v>41887</v>
      </c>
      <c r="D1243" s="1">
        <v>41897</v>
      </c>
      <c r="E1243">
        <v>20188</v>
      </c>
      <c r="F1243" t="s">
        <v>309</v>
      </c>
      <c r="G1243" t="s">
        <v>16</v>
      </c>
      <c r="H1243" t="s">
        <v>1669</v>
      </c>
      <c r="I1243">
        <v>2.2355999999999998</v>
      </c>
      <c r="J1243">
        <v>72380</v>
      </c>
      <c r="K1243">
        <v>32376.095902665951</v>
      </c>
    </row>
    <row r="1244" spans="1:11" x14ac:dyDescent="0.25">
      <c r="A1244" t="s">
        <v>470</v>
      </c>
      <c r="B1244" t="s">
        <v>2117</v>
      </c>
      <c r="C1244" s="1">
        <v>41905</v>
      </c>
      <c r="D1244" s="1">
        <v>41918</v>
      </c>
      <c r="E1244">
        <v>19755</v>
      </c>
      <c r="F1244" t="s">
        <v>311</v>
      </c>
      <c r="G1244" t="s">
        <v>16</v>
      </c>
      <c r="H1244" t="s">
        <v>5109</v>
      </c>
      <c r="I1244">
        <v>2.387</v>
      </c>
      <c r="J1244">
        <v>46391.62</v>
      </c>
      <c r="K1244">
        <v>19435.11520737327</v>
      </c>
    </row>
    <row r="1245" spans="1:11" x14ac:dyDescent="0.25">
      <c r="A1245" t="s">
        <v>1102</v>
      </c>
      <c r="B1245" t="s">
        <v>1103</v>
      </c>
      <c r="C1245" s="1">
        <v>41919</v>
      </c>
      <c r="D1245" s="1">
        <v>41923</v>
      </c>
      <c r="E1245">
        <v>19980</v>
      </c>
      <c r="F1245" t="s">
        <v>301</v>
      </c>
      <c r="G1245" t="s">
        <v>16</v>
      </c>
      <c r="H1245" t="s">
        <v>5110</v>
      </c>
      <c r="I1245">
        <v>2.4098000000000002</v>
      </c>
      <c r="J1245">
        <v>62550</v>
      </c>
      <c r="K1245">
        <v>25956.510913768776</v>
      </c>
    </row>
    <row r="1246" spans="1:11" x14ac:dyDescent="0.25">
      <c r="A1246" t="s">
        <v>1072</v>
      </c>
      <c r="B1246" t="s">
        <v>1073</v>
      </c>
      <c r="C1246" s="1">
        <v>41920</v>
      </c>
      <c r="D1246" s="1">
        <v>41920</v>
      </c>
      <c r="E1246">
        <v>19972</v>
      </c>
      <c r="F1246" t="s">
        <v>368</v>
      </c>
      <c r="G1246" t="s">
        <v>16</v>
      </c>
      <c r="H1246" t="s">
        <v>1670</v>
      </c>
      <c r="I1246">
        <v>2.4037999999999999</v>
      </c>
      <c r="J1246">
        <v>13991.67</v>
      </c>
      <c r="K1246">
        <v>5820.6464764123475</v>
      </c>
    </row>
    <row r="1247" spans="1:11" x14ac:dyDescent="0.25">
      <c r="A1247" t="s">
        <v>1072</v>
      </c>
      <c r="B1247" t="s">
        <v>1073</v>
      </c>
      <c r="C1247" s="1">
        <v>41920</v>
      </c>
      <c r="D1247" s="1">
        <v>41920</v>
      </c>
      <c r="E1247">
        <v>19972</v>
      </c>
      <c r="F1247" t="s">
        <v>368</v>
      </c>
      <c r="G1247" t="s">
        <v>16</v>
      </c>
      <c r="H1247" t="s">
        <v>1671</v>
      </c>
      <c r="I1247">
        <v>2.4037999999999999</v>
      </c>
      <c r="J1247">
        <v>12917.81</v>
      </c>
      <c r="K1247">
        <v>5373.9121391130711</v>
      </c>
    </row>
    <row r="1248" spans="1:11" x14ac:dyDescent="0.25">
      <c r="A1248" t="s">
        <v>1672</v>
      </c>
      <c r="C1248" s="1">
        <v>41895</v>
      </c>
      <c r="D1248" s="1">
        <v>41934</v>
      </c>
      <c r="E1248">
        <v>150</v>
      </c>
      <c r="F1248" t="s">
        <v>453</v>
      </c>
      <c r="G1248" t="s">
        <v>16</v>
      </c>
      <c r="H1248" t="s">
        <v>1673</v>
      </c>
      <c r="I1248">
        <v>2.3250999999999999</v>
      </c>
      <c r="J1248">
        <v>1080</v>
      </c>
      <c r="K1248">
        <v>464.49615070319555</v>
      </c>
    </row>
    <row r="1249" spans="1:11" x14ac:dyDescent="0.25">
      <c r="A1249" t="s">
        <v>1102</v>
      </c>
      <c r="B1249" t="s">
        <v>1103</v>
      </c>
      <c r="C1249" s="1">
        <v>41929</v>
      </c>
      <c r="D1249" s="1">
        <v>41935</v>
      </c>
      <c r="E1249">
        <v>19980</v>
      </c>
      <c r="F1249" t="s">
        <v>301</v>
      </c>
      <c r="G1249" t="s">
        <v>16</v>
      </c>
      <c r="H1249" t="s">
        <v>1674</v>
      </c>
      <c r="I1249">
        <v>2.4769999999999999</v>
      </c>
      <c r="J1249">
        <v>64305</v>
      </c>
      <c r="K1249">
        <v>25960.839725474365</v>
      </c>
    </row>
    <row r="1250" spans="1:11" x14ac:dyDescent="0.25">
      <c r="A1250" t="s">
        <v>1102</v>
      </c>
      <c r="B1250" t="s">
        <v>1103</v>
      </c>
      <c r="C1250" s="1">
        <v>41929</v>
      </c>
      <c r="D1250" s="1">
        <v>41935</v>
      </c>
      <c r="E1250">
        <v>19980</v>
      </c>
      <c r="F1250" t="s">
        <v>301</v>
      </c>
      <c r="G1250" t="s">
        <v>16</v>
      </c>
      <c r="H1250" t="s">
        <v>5111</v>
      </c>
      <c r="I1250">
        <v>2.4769999999999999</v>
      </c>
      <c r="J1250">
        <v>64305</v>
      </c>
      <c r="K1250">
        <v>25960.839725474365</v>
      </c>
    </row>
    <row r="1251" spans="1:11" x14ac:dyDescent="0.25">
      <c r="A1251" t="s">
        <v>1102</v>
      </c>
      <c r="B1251" t="s">
        <v>1103</v>
      </c>
      <c r="C1251" s="1">
        <v>41929</v>
      </c>
      <c r="D1251" s="1">
        <v>41935</v>
      </c>
      <c r="E1251">
        <v>19980</v>
      </c>
      <c r="F1251" t="s">
        <v>301</v>
      </c>
      <c r="G1251" t="s">
        <v>16</v>
      </c>
      <c r="H1251" t="s">
        <v>1675</v>
      </c>
      <c r="I1251">
        <v>2.4769999999999999</v>
      </c>
      <c r="J1251">
        <v>64305</v>
      </c>
      <c r="K1251">
        <v>25960.839725474365</v>
      </c>
    </row>
    <row r="1252" spans="1:11" x14ac:dyDescent="0.25">
      <c r="A1252" t="s">
        <v>1111</v>
      </c>
      <c r="B1252" t="s">
        <v>458</v>
      </c>
      <c r="C1252" s="1">
        <v>41929</v>
      </c>
      <c r="D1252" s="1">
        <v>41935</v>
      </c>
      <c r="E1252">
        <v>20492</v>
      </c>
      <c r="F1252" t="s">
        <v>301</v>
      </c>
      <c r="G1252" t="s">
        <v>16</v>
      </c>
      <c r="H1252" t="s">
        <v>5112</v>
      </c>
      <c r="I1252">
        <v>2.4769999999999999</v>
      </c>
      <c r="J1252">
        <v>140602</v>
      </c>
      <c r="K1252">
        <v>56763.01978199435</v>
      </c>
    </row>
    <row r="1253" spans="1:11" x14ac:dyDescent="0.25">
      <c r="A1253" t="s">
        <v>1111</v>
      </c>
      <c r="B1253" t="s">
        <v>458</v>
      </c>
      <c r="C1253" s="1">
        <v>41929</v>
      </c>
      <c r="D1253" s="1">
        <v>41935</v>
      </c>
      <c r="E1253">
        <v>20492</v>
      </c>
      <c r="F1253" t="s">
        <v>301</v>
      </c>
      <c r="G1253" t="s">
        <v>16</v>
      </c>
      <c r="H1253" t="s">
        <v>1676</v>
      </c>
      <c r="I1253">
        <v>2.4769999999999999</v>
      </c>
      <c r="J1253">
        <v>346650.01</v>
      </c>
      <c r="K1253">
        <v>139947.52119499395</v>
      </c>
    </row>
    <row r="1254" spans="1:11" x14ac:dyDescent="0.25">
      <c r="A1254" t="s">
        <v>558</v>
      </c>
      <c r="B1254" t="s">
        <v>5113</v>
      </c>
      <c r="C1254" s="1">
        <v>41943</v>
      </c>
      <c r="D1254" s="1">
        <v>41961</v>
      </c>
      <c r="E1254">
        <v>8</v>
      </c>
      <c r="F1254" t="s">
        <v>318</v>
      </c>
      <c r="G1254" t="s">
        <v>16</v>
      </c>
      <c r="H1254" t="s">
        <v>5114</v>
      </c>
      <c r="I1254">
        <v>2.4119000000000002</v>
      </c>
      <c r="J1254">
        <v>23313.43</v>
      </c>
      <c r="K1254">
        <v>9666.001907210084</v>
      </c>
    </row>
    <row r="1255" spans="1:11" x14ac:dyDescent="0.25">
      <c r="A1255" t="s">
        <v>518</v>
      </c>
      <c r="B1255" t="s">
        <v>1677</v>
      </c>
      <c r="C1255" s="1">
        <v>41943</v>
      </c>
      <c r="D1255" s="1">
        <v>41961</v>
      </c>
      <c r="E1255">
        <v>77</v>
      </c>
      <c r="F1255" t="s">
        <v>318</v>
      </c>
      <c r="G1255" t="s">
        <v>16</v>
      </c>
      <c r="H1255" t="s">
        <v>1678</v>
      </c>
      <c r="I1255">
        <v>2.4119000000000002</v>
      </c>
      <c r="J1255">
        <v>23313.43</v>
      </c>
      <c r="K1255">
        <v>9666.001907210084</v>
      </c>
    </row>
    <row r="1256" spans="1:11" x14ac:dyDescent="0.25">
      <c r="A1256" t="s">
        <v>1123</v>
      </c>
      <c r="B1256" t="s">
        <v>1124</v>
      </c>
      <c r="C1256" s="1">
        <v>41964</v>
      </c>
      <c r="D1256" s="1">
        <v>41967</v>
      </c>
      <c r="E1256">
        <v>21159</v>
      </c>
      <c r="F1256" t="s">
        <v>368</v>
      </c>
      <c r="G1256" t="s">
        <v>16</v>
      </c>
      <c r="H1256" t="s">
        <v>5115</v>
      </c>
      <c r="I1256">
        <v>2.5449999999999999</v>
      </c>
      <c r="J1256">
        <v>46134.61</v>
      </c>
      <c r="K1256">
        <v>18127.548133595286</v>
      </c>
    </row>
    <row r="1257" spans="1:11" x14ac:dyDescent="0.25">
      <c r="A1257" t="s">
        <v>1102</v>
      </c>
      <c r="B1257" t="s">
        <v>1103</v>
      </c>
      <c r="C1257" s="1">
        <v>41985</v>
      </c>
      <c r="D1257" s="1">
        <v>41991</v>
      </c>
      <c r="E1257">
        <v>19980</v>
      </c>
      <c r="F1257" t="s">
        <v>301</v>
      </c>
      <c r="G1257" t="s">
        <v>16</v>
      </c>
      <c r="H1257" t="s">
        <v>1679</v>
      </c>
      <c r="I1257">
        <v>2.6271</v>
      </c>
      <c r="J1257">
        <v>54468.01</v>
      </c>
      <c r="K1257">
        <v>20733.131589966124</v>
      </c>
    </row>
    <row r="1258" spans="1:11" x14ac:dyDescent="0.25">
      <c r="A1258" t="s">
        <v>539</v>
      </c>
      <c r="B1258" t="s">
        <v>2697</v>
      </c>
      <c r="C1258" s="1">
        <v>41904</v>
      </c>
      <c r="D1258" s="1">
        <v>41935</v>
      </c>
      <c r="E1258">
        <v>9</v>
      </c>
      <c r="F1258" t="s">
        <v>311</v>
      </c>
      <c r="G1258" t="s">
        <v>16</v>
      </c>
      <c r="H1258" t="s">
        <v>5116</v>
      </c>
      <c r="I1258">
        <v>2.3656000000000001</v>
      </c>
      <c r="J1258">
        <v>86076.54</v>
      </c>
      <c r="K1258">
        <v>36386.768684477509</v>
      </c>
    </row>
    <row r="1259" spans="1:11" x14ac:dyDescent="0.25">
      <c r="A1259" t="s">
        <v>1102</v>
      </c>
      <c r="B1259" t="s">
        <v>1103</v>
      </c>
      <c r="C1259" s="1">
        <v>41970</v>
      </c>
      <c r="D1259" s="1">
        <v>41984</v>
      </c>
      <c r="E1259">
        <v>19980</v>
      </c>
      <c r="F1259" t="s">
        <v>301</v>
      </c>
      <c r="G1259" t="s">
        <v>16</v>
      </c>
      <c r="H1259" t="s">
        <v>5117</v>
      </c>
      <c r="I1259">
        <v>2.5103</v>
      </c>
      <c r="J1259">
        <v>65160.01</v>
      </c>
      <c r="K1259">
        <v>25957.060909054693</v>
      </c>
    </row>
    <row r="1260" spans="1:11" x14ac:dyDescent="0.25">
      <c r="A1260" t="s">
        <v>1128</v>
      </c>
      <c r="B1260" t="s">
        <v>1129</v>
      </c>
      <c r="C1260" s="1">
        <v>41965</v>
      </c>
      <c r="D1260" s="1">
        <v>41978</v>
      </c>
      <c r="E1260">
        <v>19900</v>
      </c>
      <c r="F1260" t="s">
        <v>301</v>
      </c>
      <c r="G1260" t="s">
        <v>16</v>
      </c>
      <c r="H1260" t="s">
        <v>5118</v>
      </c>
      <c r="I1260">
        <v>2.5390999999999999</v>
      </c>
      <c r="J1260">
        <v>95123.29</v>
      </c>
      <c r="K1260">
        <v>37463.388602260646</v>
      </c>
    </row>
    <row r="1261" spans="1:11" x14ac:dyDescent="0.25">
      <c r="A1261" t="s">
        <v>1128</v>
      </c>
      <c r="B1261" t="s">
        <v>1129</v>
      </c>
      <c r="C1261" s="1">
        <v>41965</v>
      </c>
      <c r="D1261" s="1">
        <v>41978</v>
      </c>
      <c r="E1261">
        <v>19900</v>
      </c>
      <c r="F1261" t="s">
        <v>301</v>
      </c>
      <c r="G1261" t="s">
        <v>16</v>
      </c>
      <c r="H1261" t="s">
        <v>1680</v>
      </c>
      <c r="I1261">
        <v>2.5390999999999999</v>
      </c>
      <c r="J1261">
        <v>49213.7</v>
      </c>
      <c r="K1261">
        <v>19382.340199283211</v>
      </c>
    </row>
    <row r="1262" spans="1:11" x14ac:dyDescent="0.25">
      <c r="A1262" t="s">
        <v>1116</v>
      </c>
      <c r="B1262" t="s">
        <v>1117</v>
      </c>
      <c r="C1262" s="1">
        <v>41986</v>
      </c>
      <c r="D1262" s="1">
        <v>41988</v>
      </c>
      <c r="E1262">
        <v>21004</v>
      </c>
      <c r="F1262" t="s">
        <v>368</v>
      </c>
      <c r="G1262" t="s">
        <v>16</v>
      </c>
      <c r="H1262" t="s">
        <v>5119</v>
      </c>
      <c r="I1262">
        <v>2.6558000000000002</v>
      </c>
      <c r="J1262">
        <v>32972.15</v>
      </c>
      <c r="K1262">
        <v>12415.147978010393</v>
      </c>
    </row>
    <row r="1263" spans="1:11" x14ac:dyDescent="0.25">
      <c r="A1263" t="s">
        <v>5120</v>
      </c>
      <c r="B1263" t="s">
        <v>5121</v>
      </c>
      <c r="C1263" s="1">
        <v>41982</v>
      </c>
      <c r="D1263" s="1">
        <v>41992</v>
      </c>
      <c r="E1263">
        <v>20121</v>
      </c>
      <c r="F1263" t="s">
        <v>370</v>
      </c>
      <c r="G1263" t="s">
        <v>16</v>
      </c>
      <c r="H1263" t="s">
        <v>3238</v>
      </c>
      <c r="I1263">
        <v>2.5922999999999998</v>
      </c>
      <c r="J1263">
        <v>11333.12</v>
      </c>
      <c r="K1263">
        <v>4371.8396790494926</v>
      </c>
    </row>
    <row r="1264" spans="1:11" x14ac:dyDescent="0.25">
      <c r="A1264" t="s">
        <v>1137</v>
      </c>
      <c r="B1264" t="s">
        <v>1138</v>
      </c>
      <c r="C1264" s="1">
        <v>41982</v>
      </c>
      <c r="D1264" s="1">
        <v>41992</v>
      </c>
      <c r="E1264">
        <v>20065</v>
      </c>
      <c r="F1264" t="s">
        <v>368</v>
      </c>
      <c r="G1264" t="s">
        <v>16</v>
      </c>
      <c r="H1264" t="s">
        <v>1681</v>
      </c>
      <c r="I1264">
        <v>2.5922999999999998</v>
      </c>
      <c r="J1264">
        <v>32523.51</v>
      </c>
      <c r="K1264">
        <v>12546.198356671681</v>
      </c>
    </row>
    <row r="1265" spans="1:11" x14ac:dyDescent="0.25">
      <c r="A1265" t="s">
        <v>1116</v>
      </c>
      <c r="B1265" t="s">
        <v>1117</v>
      </c>
      <c r="C1265" s="1">
        <v>42023</v>
      </c>
      <c r="D1265" s="1">
        <v>42024</v>
      </c>
      <c r="E1265">
        <v>21004</v>
      </c>
      <c r="F1265" t="s">
        <v>368</v>
      </c>
      <c r="G1265" t="s">
        <v>16</v>
      </c>
      <c r="H1265" t="s">
        <v>1682</v>
      </c>
      <c r="I1265">
        <v>2.6193</v>
      </c>
      <c r="J1265">
        <v>46009.02</v>
      </c>
      <c r="K1265">
        <v>17565.38769900355</v>
      </c>
    </row>
    <row r="1266" spans="1:11" x14ac:dyDescent="0.25">
      <c r="A1266" t="s">
        <v>1143</v>
      </c>
      <c r="B1266" t="s">
        <v>575</v>
      </c>
      <c r="C1266" s="1">
        <v>41982</v>
      </c>
      <c r="D1266" s="1">
        <v>41982</v>
      </c>
      <c r="E1266">
        <v>13</v>
      </c>
      <c r="F1266" t="s">
        <v>301</v>
      </c>
      <c r="G1266" t="s">
        <v>16</v>
      </c>
      <c r="H1266" t="s">
        <v>5122</v>
      </c>
      <c r="I1266">
        <v>2.5922999999999998</v>
      </c>
      <c r="J1266">
        <v>12520.81</v>
      </c>
      <c r="K1266">
        <v>4830.0003857578213</v>
      </c>
    </row>
    <row r="1267" spans="1:11" x14ac:dyDescent="0.25">
      <c r="A1267" t="s">
        <v>1102</v>
      </c>
      <c r="B1267" t="s">
        <v>1103</v>
      </c>
      <c r="C1267" s="1">
        <v>41985</v>
      </c>
      <c r="D1267" s="1">
        <v>41990</v>
      </c>
      <c r="E1267">
        <v>19980</v>
      </c>
      <c r="F1267" t="s">
        <v>301</v>
      </c>
      <c r="G1267" t="s">
        <v>16</v>
      </c>
      <c r="H1267" t="s">
        <v>1683</v>
      </c>
      <c r="I1267">
        <v>2.6271</v>
      </c>
      <c r="J1267">
        <v>68085</v>
      </c>
      <c r="K1267">
        <v>25916.40972935937</v>
      </c>
    </row>
    <row r="1268" spans="1:11" x14ac:dyDescent="0.25">
      <c r="A1268" t="s">
        <v>1145</v>
      </c>
      <c r="B1268" t="s">
        <v>1146</v>
      </c>
      <c r="C1268" s="1">
        <v>42038</v>
      </c>
      <c r="D1268" s="1">
        <v>42041</v>
      </c>
      <c r="E1268">
        <v>21007</v>
      </c>
      <c r="F1268" t="s">
        <v>368</v>
      </c>
      <c r="G1268" t="s">
        <v>16</v>
      </c>
      <c r="H1268" t="s">
        <v>5123</v>
      </c>
      <c r="I1268">
        <v>2.6894</v>
      </c>
      <c r="J1268">
        <v>34103.17</v>
      </c>
      <c r="K1268">
        <v>12680.586747973526</v>
      </c>
    </row>
    <row r="1269" spans="1:11" x14ac:dyDescent="0.25">
      <c r="A1269" t="s">
        <v>1116</v>
      </c>
      <c r="B1269" t="s">
        <v>1117</v>
      </c>
      <c r="C1269" s="1">
        <v>42037</v>
      </c>
      <c r="D1269" s="1">
        <v>42039</v>
      </c>
      <c r="E1269">
        <v>21004</v>
      </c>
      <c r="F1269" t="s">
        <v>368</v>
      </c>
      <c r="G1269" t="s">
        <v>16</v>
      </c>
      <c r="H1269" t="s">
        <v>1684</v>
      </c>
      <c r="I1269">
        <v>2.6623000000000001</v>
      </c>
      <c r="J1269">
        <v>32667.13</v>
      </c>
      <c r="K1269">
        <v>12270.266311084401</v>
      </c>
    </row>
    <row r="1270" spans="1:11" x14ac:dyDescent="0.25">
      <c r="A1270" t="s">
        <v>445</v>
      </c>
      <c r="B1270" t="s">
        <v>1685</v>
      </c>
      <c r="C1270" s="1">
        <v>42053</v>
      </c>
      <c r="D1270" s="1">
        <v>42059</v>
      </c>
      <c r="E1270">
        <v>22321</v>
      </c>
      <c r="F1270" t="s">
        <v>309</v>
      </c>
      <c r="G1270" t="s">
        <v>16</v>
      </c>
      <c r="H1270" t="s">
        <v>1686</v>
      </c>
      <c r="I1270">
        <v>2.8391999999999999</v>
      </c>
      <c r="J1270">
        <v>24406.46</v>
      </c>
      <c r="K1270">
        <v>8596.2454212454213</v>
      </c>
    </row>
    <row r="1271" spans="1:11" x14ac:dyDescent="0.25">
      <c r="A1271" t="s">
        <v>445</v>
      </c>
      <c r="B1271" t="s">
        <v>1685</v>
      </c>
      <c r="C1271" s="1">
        <v>42053</v>
      </c>
      <c r="D1271" s="1">
        <v>42059</v>
      </c>
      <c r="E1271">
        <v>22321</v>
      </c>
      <c r="F1271" t="s">
        <v>309</v>
      </c>
      <c r="G1271" t="s">
        <v>16</v>
      </c>
      <c r="H1271" t="s">
        <v>5124</v>
      </c>
      <c r="I1271">
        <v>2.8391999999999999</v>
      </c>
      <c r="J1271">
        <v>26245.15</v>
      </c>
      <c r="K1271">
        <v>9243.853902507748</v>
      </c>
    </row>
    <row r="1272" spans="1:11" x14ac:dyDescent="0.25">
      <c r="A1272" t="s">
        <v>5125</v>
      </c>
      <c r="C1272" s="1">
        <v>42038</v>
      </c>
      <c r="D1272" s="1">
        <v>42062</v>
      </c>
      <c r="E1272">
        <v>22597</v>
      </c>
      <c r="F1272" t="s">
        <v>296</v>
      </c>
      <c r="G1272" t="s">
        <v>16</v>
      </c>
      <c r="H1272" t="s">
        <v>5126</v>
      </c>
      <c r="I1272">
        <v>2.6894</v>
      </c>
      <c r="J1272">
        <v>67.95</v>
      </c>
      <c r="K1272">
        <v>25.265858555811704</v>
      </c>
    </row>
    <row r="1273" spans="1:11" x14ac:dyDescent="0.25">
      <c r="A1273" t="s">
        <v>423</v>
      </c>
      <c r="B1273" t="s">
        <v>1160</v>
      </c>
      <c r="C1273" s="1">
        <v>42057</v>
      </c>
      <c r="D1273" s="1">
        <v>42062</v>
      </c>
      <c r="E1273">
        <v>22776</v>
      </c>
      <c r="F1273" t="s">
        <v>368</v>
      </c>
      <c r="G1273" t="s">
        <v>16</v>
      </c>
      <c r="H1273" t="s">
        <v>5127</v>
      </c>
      <c r="I1273">
        <v>2.8700999999999999</v>
      </c>
      <c r="J1273">
        <v>35947.03</v>
      </c>
      <c r="K1273">
        <v>12524.661161631999</v>
      </c>
    </row>
    <row r="1274" spans="1:11" x14ac:dyDescent="0.25">
      <c r="A1274" t="s">
        <v>401</v>
      </c>
      <c r="B1274" t="s">
        <v>5128</v>
      </c>
      <c r="C1274" s="1">
        <v>42025</v>
      </c>
      <c r="D1274" s="1">
        <v>42031</v>
      </c>
      <c r="E1274">
        <v>22283</v>
      </c>
      <c r="F1274" t="s">
        <v>311</v>
      </c>
      <c r="G1274" t="s">
        <v>16</v>
      </c>
      <c r="H1274" t="s">
        <v>5129</v>
      </c>
      <c r="I1274">
        <v>2.6246999999999998</v>
      </c>
      <c r="J1274">
        <v>55161.2</v>
      </c>
      <c r="K1274">
        <v>21016.192326742104</v>
      </c>
    </row>
    <row r="1275" spans="1:11" x14ac:dyDescent="0.25">
      <c r="A1275" t="s">
        <v>337</v>
      </c>
      <c r="B1275" t="s">
        <v>1105</v>
      </c>
      <c r="C1275" s="1">
        <v>42037</v>
      </c>
      <c r="D1275" s="1">
        <v>42045</v>
      </c>
      <c r="E1275">
        <v>20192</v>
      </c>
      <c r="F1275" t="s">
        <v>1255</v>
      </c>
      <c r="G1275" t="s">
        <v>16</v>
      </c>
      <c r="H1275" t="s">
        <v>5130</v>
      </c>
      <c r="I1275">
        <v>2.6623000000000001</v>
      </c>
      <c r="J1275">
        <v>283419.14</v>
      </c>
      <c r="K1275">
        <v>106456.50001878076</v>
      </c>
    </row>
    <row r="1276" spans="1:11" x14ac:dyDescent="0.25">
      <c r="A1276" t="s">
        <v>1145</v>
      </c>
      <c r="B1276" t="s">
        <v>1146</v>
      </c>
      <c r="C1276" s="1">
        <v>42044</v>
      </c>
      <c r="D1276" s="1">
        <v>42046</v>
      </c>
      <c r="E1276">
        <v>21007</v>
      </c>
      <c r="F1276" t="s">
        <v>368</v>
      </c>
      <c r="G1276" t="s">
        <v>16</v>
      </c>
      <c r="H1276" t="s">
        <v>1687</v>
      </c>
      <c r="I1276">
        <v>2.7641</v>
      </c>
      <c r="J1276">
        <v>34627.65</v>
      </c>
      <c r="K1276">
        <v>12527.640099851669</v>
      </c>
    </row>
    <row r="1277" spans="1:11" x14ac:dyDescent="0.25">
      <c r="A1277" t="s">
        <v>1145</v>
      </c>
      <c r="B1277" t="s">
        <v>1146</v>
      </c>
      <c r="C1277" s="1">
        <v>42045</v>
      </c>
      <c r="D1277" s="1">
        <v>42046</v>
      </c>
      <c r="E1277">
        <v>21007</v>
      </c>
      <c r="F1277" t="s">
        <v>368</v>
      </c>
      <c r="G1277" t="s">
        <v>16</v>
      </c>
      <c r="H1277" t="s">
        <v>1688</v>
      </c>
      <c r="I1277">
        <v>2.7873000000000001</v>
      </c>
      <c r="J1277">
        <v>48658.23</v>
      </c>
      <c r="K1277">
        <v>17457.1197933484</v>
      </c>
    </row>
    <row r="1278" spans="1:11" x14ac:dyDescent="0.25">
      <c r="A1278" t="s">
        <v>2629</v>
      </c>
      <c r="C1278" s="1">
        <v>42013</v>
      </c>
      <c r="D1278" s="1">
        <v>42026</v>
      </c>
      <c r="E1278">
        <v>22298</v>
      </c>
      <c r="F1278" t="s">
        <v>298</v>
      </c>
      <c r="G1278" t="s">
        <v>16</v>
      </c>
      <c r="H1278" t="s">
        <v>5131</v>
      </c>
      <c r="I1278">
        <v>2.6919</v>
      </c>
      <c r="J1278">
        <v>35.770000000000003</v>
      </c>
      <c r="K1278">
        <v>13.288012184702255</v>
      </c>
    </row>
    <row r="1279" spans="1:11" x14ac:dyDescent="0.25">
      <c r="A1279" t="s">
        <v>1116</v>
      </c>
      <c r="B1279" t="s">
        <v>1117</v>
      </c>
      <c r="C1279" s="1">
        <v>42031</v>
      </c>
      <c r="D1279" s="1">
        <v>42033</v>
      </c>
      <c r="E1279">
        <v>21004</v>
      </c>
      <c r="F1279" t="s">
        <v>368</v>
      </c>
      <c r="G1279" t="s">
        <v>16</v>
      </c>
      <c r="H1279" t="s">
        <v>1689</v>
      </c>
      <c r="I1279">
        <v>2.5966</v>
      </c>
      <c r="J1279">
        <v>33374.660000000003</v>
      </c>
      <c r="K1279">
        <v>12853.215743664792</v>
      </c>
    </row>
    <row r="1280" spans="1:11" x14ac:dyDescent="0.25">
      <c r="A1280" t="s">
        <v>308</v>
      </c>
      <c r="B1280" t="s">
        <v>5132</v>
      </c>
      <c r="C1280" s="1">
        <v>42072</v>
      </c>
      <c r="D1280" s="1">
        <v>42080</v>
      </c>
      <c r="E1280">
        <v>23228</v>
      </c>
      <c r="F1280" t="s">
        <v>301</v>
      </c>
      <c r="G1280" t="s">
        <v>16</v>
      </c>
      <c r="H1280" t="s">
        <v>5133</v>
      </c>
      <c r="I1280">
        <v>3.0366</v>
      </c>
      <c r="J1280">
        <v>152189.99</v>
      </c>
      <c r="K1280">
        <v>50118.550352367776</v>
      </c>
    </row>
    <row r="1281" spans="1:11" x14ac:dyDescent="0.25">
      <c r="A1281" t="s">
        <v>308</v>
      </c>
      <c r="B1281" t="s">
        <v>5132</v>
      </c>
      <c r="C1281" s="1">
        <v>42072</v>
      </c>
      <c r="D1281" s="1">
        <v>42080</v>
      </c>
      <c r="E1281">
        <v>23228</v>
      </c>
      <c r="F1281" t="s">
        <v>301</v>
      </c>
      <c r="G1281" t="s">
        <v>16</v>
      </c>
      <c r="H1281" t="s">
        <v>5134</v>
      </c>
      <c r="I1281">
        <v>3.0366</v>
      </c>
      <c r="J1281">
        <v>33820.01</v>
      </c>
      <c r="K1281">
        <v>11137.459658828953</v>
      </c>
    </row>
    <row r="1282" spans="1:11" x14ac:dyDescent="0.25">
      <c r="A1282" t="s">
        <v>342</v>
      </c>
      <c r="B1282" t="s">
        <v>1169</v>
      </c>
      <c r="C1282" s="1">
        <v>42090</v>
      </c>
      <c r="D1282" s="1">
        <v>42095</v>
      </c>
      <c r="E1282">
        <v>2</v>
      </c>
      <c r="F1282" t="s">
        <v>301</v>
      </c>
      <c r="G1282" t="s">
        <v>16</v>
      </c>
      <c r="H1282" t="s">
        <v>1690</v>
      </c>
      <c r="I1282">
        <v>3.1915</v>
      </c>
      <c r="J1282">
        <v>79830.009999999995</v>
      </c>
      <c r="K1282">
        <v>25013.319755600816</v>
      </c>
    </row>
    <row r="1283" spans="1:11" x14ac:dyDescent="0.25">
      <c r="A1283" t="s">
        <v>342</v>
      </c>
      <c r="B1283" t="s">
        <v>1169</v>
      </c>
      <c r="C1283" s="1">
        <v>42090</v>
      </c>
      <c r="D1283" s="1">
        <v>42095</v>
      </c>
      <c r="E1283">
        <v>2</v>
      </c>
      <c r="F1283" t="s">
        <v>301</v>
      </c>
      <c r="G1283" t="s">
        <v>16</v>
      </c>
      <c r="H1283" t="s">
        <v>5135</v>
      </c>
      <c r="I1283">
        <v>3.1915</v>
      </c>
      <c r="J1283">
        <v>79830.009999999995</v>
      </c>
      <c r="K1283">
        <v>25013.319755600816</v>
      </c>
    </row>
    <row r="1284" spans="1:11" x14ac:dyDescent="0.25">
      <c r="A1284" t="s">
        <v>426</v>
      </c>
      <c r="B1284" t="s">
        <v>1691</v>
      </c>
      <c r="C1284" s="1">
        <v>42090</v>
      </c>
      <c r="D1284" s="1">
        <v>42095</v>
      </c>
      <c r="E1284">
        <v>23702</v>
      </c>
      <c r="F1284" t="s">
        <v>301</v>
      </c>
      <c r="G1284" t="s">
        <v>16</v>
      </c>
      <c r="H1284" t="s">
        <v>1692</v>
      </c>
      <c r="I1284">
        <v>3.1915</v>
      </c>
      <c r="J1284">
        <v>86799.99</v>
      </c>
      <c r="K1284">
        <v>27197.239542534859</v>
      </c>
    </row>
    <row r="1285" spans="1:11" x14ac:dyDescent="0.25">
      <c r="A1285" t="s">
        <v>423</v>
      </c>
      <c r="B1285" t="s">
        <v>1160</v>
      </c>
      <c r="C1285" s="1">
        <v>42068</v>
      </c>
      <c r="D1285" s="1">
        <v>42075</v>
      </c>
      <c r="E1285">
        <v>22776</v>
      </c>
      <c r="F1285" t="s">
        <v>368</v>
      </c>
      <c r="G1285" t="s">
        <v>16</v>
      </c>
      <c r="H1285" t="s">
        <v>5136</v>
      </c>
      <c r="I1285">
        <v>2.9803999999999999</v>
      </c>
      <c r="J1285">
        <v>37419.83</v>
      </c>
      <c r="K1285">
        <v>12555.304657093007</v>
      </c>
    </row>
    <row r="1286" spans="1:11" x14ac:dyDescent="0.25">
      <c r="A1286" t="s">
        <v>367</v>
      </c>
      <c r="B1286" t="s">
        <v>2647</v>
      </c>
      <c r="C1286" s="1">
        <v>42069</v>
      </c>
      <c r="D1286" s="1">
        <v>42076</v>
      </c>
      <c r="E1286">
        <v>23071</v>
      </c>
      <c r="F1286" t="s">
        <v>301</v>
      </c>
      <c r="G1286" t="s">
        <v>16</v>
      </c>
      <c r="H1286" t="s">
        <v>5137</v>
      </c>
      <c r="I1286">
        <v>2.9931000000000001</v>
      </c>
      <c r="J1286">
        <v>151527.81</v>
      </c>
      <c r="K1286">
        <v>50625.709131001306</v>
      </c>
    </row>
    <row r="1287" spans="1:11" x14ac:dyDescent="0.25">
      <c r="A1287" t="s">
        <v>1175</v>
      </c>
      <c r="B1287" t="s">
        <v>1176</v>
      </c>
      <c r="C1287" s="1">
        <v>42082</v>
      </c>
      <c r="D1287" s="1">
        <v>42087</v>
      </c>
      <c r="E1287">
        <v>20066</v>
      </c>
      <c r="F1287" t="s">
        <v>368</v>
      </c>
      <c r="G1287" t="s">
        <v>16</v>
      </c>
      <c r="H1287" t="s">
        <v>5138</v>
      </c>
      <c r="I1287">
        <v>3.2517999999999998</v>
      </c>
      <c r="J1287">
        <v>54169.99</v>
      </c>
      <c r="K1287">
        <v>16658.463005104866</v>
      </c>
    </row>
    <row r="1288" spans="1:11" x14ac:dyDescent="0.25">
      <c r="A1288" t="s">
        <v>542</v>
      </c>
      <c r="B1288" t="s">
        <v>1693</v>
      </c>
      <c r="C1288" s="1">
        <v>42055</v>
      </c>
      <c r="D1288" s="1">
        <v>42072</v>
      </c>
      <c r="E1288">
        <v>833</v>
      </c>
      <c r="F1288" t="s">
        <v>309</v>
      </c>
      <c r="G1288" t="s">
        <v>16</v>
      </c>
      <c r="H1288" t="s">
        <v>1694</v>
      </c>
      <c r="I1288">
        <v>2.8544999999999998</v>
      </c>
      <c r="J1288">
        <v>58318.82</v>
      </c>
      <c r="K1288">
        <v>20430.485198808899</v>
      </c>
    </row>
    <row r="1289" spans="1:11" x14ac:dyDescent="0.25">
      <c r="A1289" t="s">
        <v>542</v>
      </c>
      <c r="B1289" t="s">
        <v>1693</v>
      </c>
      <c r="C1289" s="1">
        <v>42055</v>
      </c>
      <c r="D1289" s="1">
        <v>42072</v>
      </c>
      <c r="E1289">
        <v>833</v>
      </c>
      <c r="F1289" t="s">
        <v>309</v>
      </c>
      <c r="G1289" t="s">
        <v>16</v>
      </c>
      <c r="H1289" t="s">
        <v>1695</v>
      </c>
      <c r="I1289">
        <v>2.8544999999999998</v>
      </c>
      <c r="J1289">
        <v>44036.66</v>
      </c>
      <c r="K1289">
        <v>15427.101068488351</v>
      </c>
    </row>
    <row r="1290" spans="1:11" x14ac:dyDescent="0.25">
      <c r="A1290" t="s">
        <v>423</v>
      </c>
      <c r="B1290" t="s">
        <v>1160</v>
      </c>
      <c r="C1290" s="1">
        <v>42058</v>
      </c>
      <c r="D1290" s="1">
        <v>42065</v>
      </c>
      <c r="E1290">
        <v>22776</v>
      </c>
      <c r="F1290" t="s">
        <v>368</v>
      </c>
      <c r="G1290" t="s">
        <v>16</v>
      </c>
      <c r="H1290" t="s">
        <v>1696</v>
      </c>
      <c r="I1290">
        <v>2.8700999999999999</v>
      </c>
      <c r="J1290">
        <v>49890.64</v>
      </c>
      <c r="K1290">
        <v>17382.892582139993</v>
      </c>
    </row>
    <row r="1291" spans="1:11" x14ac:dyDescent="0.25">
      <c r="A1291" t="s">
        <v>423</v>
      </c>
      <c r="B1291" t="s">
        <v>1160</v>
      </c>
      <c r="C1291" s="1">
        <v>42058</v>
      </c>
      <c r="D1291" s="1">
        <v>42065</v>
      </c>
      <c r="E1291">
        <v>22776</v>
      </c>
      <c r="F1291" t="s">
        <v>368</v>
      </c>
      <c r="G1291" t="s">
        <v>16</v>
      </c>
      <c r="H1291" t="s">
        <v>5139</v>
      </c>
      <c r="I1291">
        <v>2.8700999999999999</v>
      </c>
      <c r="J1291">
        <v>36034.839999999997</v>
      </c>
      <c r="K1291">
        <v>12555.255914428069</v>
      </c>
    </row>
    <row r="1292" spans="1:11" x14ac:dyDescent="0.25">
      <c r="A1292" t="s">
        <v>366</v>
      </c>
      <c r="B1292" t="s">
        <v>1697</v>
      </c>
      <c r="C1292" s="1">
        <v>42055</v>
      </c>
      <c r="D1292" s="1">
        <v>42065</v>
      </c>
      <c r="E1292">
        <v>23069</v>
      </c>
      <c r="F1292" t="s">
        <v>318</v>
      </c>
      <c r="G1292" t="s">
        <v>16</v>
      </c>
      <c r="H1292" t="s">
        <v>1698</v>
      </c>
      <c r="I1292">
        <v>2.8544999999999998</v>
      </c>
      <c r="J1292">
        <v>85241.97</v>
      </c>
      <c r="K1292">
        <v>29862.312138728324</v>
      </c>
    </row>
    <row r="1293" spans="1:11" x14ac:dyDescent="0.25">
      <c r="A1293" t="s">
        <v>568</v>
      </c>
      <c r="B1293" t="s">
        <v>3532</v>
      </c>
      <c r="C1293" s="1">
        <v>42090</v>
      </c>
      <c r="D1293" s="1">
        <v>42107</v>
      </c>
      <c r="E1293">
        <v>2</v>
      </c>
      <c r="F1293" t="s">
        <v>301</v>
      </c>
      <c r="G1293" t="s">
        <v>16</v>
      </c>
      <c r="H1293" t="s">
        <v>5140</v>
      </c>
      <c r="I1293">
        <v>3.1915</v>
      </c>
      <c r="J1293">
        <v>80280.009999999995</v>
      </c>
      <c r="K1293">
        <v>25154.319285602382</v>
      </c>
    </row>
    <row r="1294" spans="1:11" x14ac:dyDescent="0.25">
      <c r="A1294" t="s">
        <v>1175</v>
      </c>
      <c r="B1294" t="s">
        <v>1176</v>
      </c>
      <c r="C1294" s="1">
        <v>42083</v>
      </c>
      <c r="D1294" s="1">
        <v>42101</v>
      </c>
      <c r="E1294">
        <v>20066</v>
      </c>
      <c r="F1294" t="s">
        <v>368</v>
      </c>
      <c r="G1294" t="s">
        <v>16</v>
      </c>
      <c r="H1294" t="s">
        <v>5141</v>
      </c>
      <c r="I1294">
        <v>3.2642000000000002</v>
      </c>
      <c r="J1294">
        <v>41059.86</v>
      </c>
      <c r="K1294">
        <v>12578.843208136755</v>
      </c>
    </row>
    <row r="1295" spans="1:11" x14ac:dyDescent="0.25">
      <c r="A1295" t="s">
        <v>5142</v>
      </c>
      <c r="C1295" s="1">
        <v>42065</v>
      </c>
      <c r="D1295" s="1">
        <v>42139</v>
      </c>
      <c r="E1295">
        <v>1023</v>
      </c>
      <c r="F1295" t="s">
        <v>519</v>
      </c>
      <c r="G1295" t="s">
        <v>16</v>
      </c>
      <c r="H1295" t="s">
        <v>5143</v>
      </c>
      <c r="I1295">
        <v>2.8782000000000001</v>
      </c>
      <c r="J1295">
        <v>418.87</v>
      </c>
      <c r="K1295">
        <v>145.53192967827115</v>
      </c>
    </row>
    <row r="1296" spans="1:11" x14ac:dyDescent="0.25">
      <c r="A1296" t="s">
        <v>343</v>
      </c>
      <c r="B1296" t="s">
        <v>1699</v>
      </c>
      <c r="C1296" s="1">
        <v>42122</v>
      </c>
      <c r="D1296" s="1">
        <v>42132</v>
      </c>
      <c r="E1296">
        <v>24297</v>
      </c>
      <c r="F1296" t="s">
        <v>311</v>
      </c>
      <c r="G1296" t="s">
        <v>16</v>
      </c>
      <c r="H1296" t="s">
        <v>1700</v>
      </c>
      <c r="I1296">
        <v>2.9236</v>
      </c>
      <c r="J1296">
        <v>98700.49</v>
      </c>
      <c r="K1296">
        <v>33759.915857162399</v>
      </c>
    </row>
    <row r="1297" spans="1:11" x14ac:dyDescent="0.25">
      <c r="A1297" t="s">
        <v>5144</v>
      </c>
      <c r="C1297" s="1">
        <v>42132</v>
      </c>
      <c r="D1297" s="1">
        <v>42137</v>
      </c>
      <c r="E1297">
        <v>22555</v>
      </c>
      <c r="F1297" t="s">
        <v>519</v>
      </c>
      <c r="G1297" t="s">
        <v>16</v>
      </c>
      <c r="H1297" t="s">
        <v>5145</v>
      </c>
      <c r="I1297">
        <v>3.0421</v>
      </c>
      <c r="J1297">
        <v>102.42</v>
      </c>
      <c r="K1297">
        <v>33.667532296768677</v>
      </c>
    </row>
    <row r="1298" spans="1:11" x14ac:dyDescent="0.25">
      <c r="A1298" t="s">
        <v>485</v>
      </c>
      <c r="B1298" t="s">
        <v>1188</v>
      </c>
      <c r="C1298" s="1">
        <v>42177</v>
      </c>
      <c r="D1298" s="1">
        <v>42180</v>
      </c>
      <c r="E1298">
        <v>3</v>
      </c>
      <c r="F1298" t="s">
        <v>368</v>
      </c>
      <c r="G1298" t="s">
        <v>16</v>
      </c>
      <c r="H1298" t="s">
        <v>5146</v>
      </c>
      <c r="I1298">
        <v>3.0788000000000002</v>
      </c>
      <c r="J1298">
        <v>44825.73</v>
      </c>
      <c r="K1298">
        <v>14559.480966610368</v>
      </c>
    </row>
    <row r="1299" spans="1:11" x14ac:dyDescent="0.25">
      <c r="A1299" t="s">
        <v>485</v>
      </c>
      <c r="B1299" t="s">
        <v>1188</v>
      </c>
      <c r="C1299" s="1">
        <v>42175</v>
      </c>
      <c r="D1299" s="1">
        <v>42178</v>
      </c>
      <c r="E1299">
        <v>3</v>
      </c>
      <c r="F1299" t="s">
        <v>368</v>
      </c>
      <c r="G1299" t="s">
        <v>16</v>
      </c>
      <c r="H1299" t="s">
        <v>1701</v>
      </c>
      <c r="I1299">
        <v>3.0788000000000002</v>
      </c>
      <c r="J1299">
        <v>32728.76</v>
      </c>
      <c r="K1299">
        <v>10630.362478887879</v>
      </c>
    </row>
    <row r="1300" spans="1:11" x14ac:dyDescent="0.25">
      <c r="A1300" t="s">
        <v>345</v>
      </c>
      <c r="B1300" t="s">
        <v>1190</v>
      </c>
      <c r="C1300" s="1">
        <v>42163</v>
      </c>
      <c r="D1300" s="1">
        <v>42165</v>
      </c>
      <c r="E1300">
        <v>3</v>
      </c>
      <c r="F1300" t="s">
        <v>309</v>
      </c>
      <c r="G1300" t="s">
        <v>16</v>
      </c>
      <c r="H1300" t="s">
        <v>1702</v>
      </c>
      <c r="I1300">
        <v>3.1684000000000001</v>
      </c>
      <c r="J1300">
        <v>117658</v>
      </c>
      <c r="K1300">
        <v>37134.831460674155</v>
      </c>
    </row>
    <row r="1301" spans="1:11" x14ac:dyDescent="0.25">
      <c r="A1301" t="s">
        <v>405</v>
      </c>
      <c r="B1301" t="s">
        <v>1703</v>
      </c>
      <c r="C1301" s="1">
        <v>42178</v>
      </c>
      <c r="D1301" s="1">
        <v>42180</v>
      </c>
      <c r="E1301">
        <v>4</v>
      </c>
      <c r="F1301" t="s">
        <v>368</v>
      </c>
      <c r="G1301" t="s">
        <v>16</v>
      </c>
      <c r="H1301" t="s">
        <v>1704</v>
      </c>
      <c r="I1301">
        <v>3.0756999999999999</v>
      </c>
      <c r="J1301">
        <v>39295.620000000003</v>
      </c>
      <c r="K1301">
        <v>12776.155021621094</v>
      </c>
    </row>
    <row r="1302" spans="1:11" x14ac:dyDescent="0.25">
      <c r="A1302" t="s">
        <v>454</v>
      </c>
      <c r="B1302" t="s">
        <v>1183</v>
      </c>
      <c r="C1302" s="1">
        <v>42179</v>
      </c>
      <c r="D1302" s="1">
        <v>42184</v>
      </c>
      <c r="E1302">
        <v>3</v>
      </c>
      <c r="F1302" t="s">
        <v>368</v>
      </c>
      <c r="G1302" t="s">
        <v>16</v>
      </c>
      <c r="H1302" t="s">
        <v>5147</v>
      </c>
      <c r="I1302">
        <v>3.1042000000000001</v>
      </c>
      <c r="J1302">
        <v>44853.53</v>
      </c>
      <c r="K1302">
        <v>14449.304168545841</v>
      </c>
    </row>
    <row r="1303" spans="1:11" x14ac:dyDescent="0.25">
      <c r="A1303" t="s">
        <v>324</v>
      </c>
      <c r="B1303" t="s">
        <v>1705</v>
      </c>
      <c r="C1303" s="1">
        <v>42174</v>
      </c>
      <c r="D1303" s="1">
        <v>42184</v>
      </c>
      <c r="E1303">
        <v>25430</v>
      </c>
      <c r="F1303" t="s">
        <v>311</v>
      </c>
      <c r="G1303" t="s">
        <v>16</v>
      </c>
      <c r="H1303" t="s">
        <v>1706</v>
      </c>
      <c r="I1303">
        <v>3.0472000000000001</v>
      </c>
      <c r="J1303">
        <v>372903.84</v>
      </c>
      <c r="K1303">
        <v>122375.89918613809</v>
      </c>
    </row>
    <row r="1304" spans="1:11" x14ac:dyDescent="0.25">
      <c r="A1304" t="s">
        <v>463</v>
      </c>
      <c r="B1304" t="s">
        <v>1185</v>
      </c>
      <c r="C1304" s="1">
        <v>42090</v>
      </c>
      <c r="D1304" s="1">
        <v>42095</v>
      </c>
      <c r="E1304">
        <v>2</v>
      </c>
      <c r="F1304" t="s">
        <v>301</v>
      </c>
      <c r="G1304" t="s">
        <v>16</v>
      </c>
      <c r="H1304" t="s">
        <v>1707</v>
      </c>
      <c r="I1304">
        <v>3.1915</v>
      </c>
      <c r="J1304">
        <v>79830.009999999995</v>
      </c>
      <c r="K1304">
        <v>25013.319755600816</v>
      </c>
    </row>
    <row r="1305" spans="1:11" x14ac:dyDescent="0.25">
      <c r="A1305" t="s">
        <v>454</v>
      </c>
      <c r="B1305" t="s">
        <v>1183</v>
      </c>
      <c r="C1305" s="1">
        <v>42178</v>
      </c>
      <c r="D1305" s="1">
        <v>42180</v>
      </c>
      <c r="E1305">
        <v>3</v>
      </c>
      <c r="F1305" t="s">
        <v>368</v>
      </c>
      <c r="G1305" t="s">
        <v>16</v>
      </c>
      <c r="H1305" t="s">
        <v>5148</v>
      </c>
      <c r="I1305">
        <v>3.0756999999999999</v>
      </c>
      <c r="J1305">
        <v>45306.79</v>
      </c>
      <c r="K1305">
        <v>14730.56214845401</v>
      </c>
    </row>
    <row r="1306" spans="1:11" x14ac:dyDescent="0.25">
      <c r="A1306" t="s">
        <v>611</v>
      </c>
      <c r="B1306" t="s">
        <v>2164</v>
      </c>
      <c r="C1306" s="1">
        <v>42145</v>
      </c>
      <c r="D1306" s="1">
        <v>42156</v>
      </c>
      <c r="E1306">
        <v>3</v>
      </c>
      <c r="F1306" t="s">
        <v>301</v>
      </c>
      <c r="G1306" t="s">
        <v>16</v>
      </c>
      <c r="H1306" t="s">
        <v>5149</v>
      </c>
      <c r="I1306">
        <v>3.0347</v>
      </c>
      <c r="J1306">
        <v>74565.009999999995</v>
      </c>
      <c r="K1306">
        <v>24570.801067650838</v>
      </c>
    </row>
    <row r="1307" spans="1:11" x14ac:dyDescent="0.25">
      <c r="A1307" t="s">
        <v>345</v>
      </c>
      <c r="B1307" t="s">
        <v>1190</v>
      </c>
      <c r="C1307" s="1">
        <v>42163</v>
      </c>
      <c r="D1307" s="1">
        <v>42170</v>
      </c>
      <c r="E1307">
        <v>3</v>
      </c>
      <c r="F1307" t="s">
        <v>309</v>
      </c>
      <c r="G1307" t="s">
        <v>16</v>
      </c>
      <c r="H1307" t="s">
        <v>5150</v>
      </c>
      <c r="I1307">
        <v>3.1684000000000001</v>
      </c>
      <c r="J1307">
        <v>117658.8</v>
      </c>
      <c r="K1307">
        <v>37135.083954046204</v>
      </c>
    </row>
    <row r="1308" spans="1:11" x14ac:dyDescent="0.25">
      <c r="A1308" t="s">
        <v>405</v>
      </c>
      <c r="B1308" t="s">
        <v>1703</v>
      </c>
      <c r="C1308" s="1">
        <v>42178</v>
      </c>
      <c r="D1308" s="1">
        <v>42180</v>
      </c>
      <c r="E1308">
        <v>4</v>
      </c>
      <c r="F1308" t="s">
        <v>368</v>
      </c>
      <c r="G1308" t="s">
        <v>16</v>
      </c>
      <c r="H1308" t="s">
        <v>1708</v>
      </c>
      <c r="I1308">
        <v>3.0756999999999999</v>
      </c>
      <c r="J1308">
        <v>44700.32</v>
      </c>
      <c r="K1308">
        <v>14533.381018955035</v>
      </c>
    </row>
    <row r="1309" spans="1:11" x14ac:dyDescent="0.25">
      <c r="A1309" t="s">
        <v>405</v>
      </c>
      <c r="B1309" t="s">
        <v>1703</v>
      </c>
      <c r="C1309" s="1">
        <v>42178</v>
      </c>
      <c r="D1309" s="1">
        <v>42180</v>
      </c>
      <c r="E1309">
        <v>4</v>
      </c>
      <c r="F1309" t="s">
        <v>368</v>
      </c>
      <c r="G1309" t="s">
        <v>16</v>
      </c>
      <c r="H1309" t="s">
        <v>5151</v>
      </c>
      <c r="I1309">
        <v>3.0756999999999999</v>
      </c>
      <c r="J1309">
        <v>40570.980000000003</v>
      </c>
      <c r="K1309">
        <v>13190.811847709465</v>
      </c>
    </row>
    <row r="1310" spans="1:11" x14ac:dyDescent="0.25">
      <c r="A1310" t="s">
        <v>405</v>
      </c>
      <c r="B1310" t="s">
        <v>1703</v>
      </c>
      <c r="C1310" s="1">
        <v>42178</v>
      </c>
      <c r="D1310" s="1">
        <v>42180</v>
      </c>
      <c r="E1310">
        <v>4</v>
      </c>
      <c r="F1310" t="s">
        <v>368</v>
      </c>
      <c r="G1310" t="s">
        <v>16</v>
      </c>
      <c r="H1310" t="s">
        <v>1709</v>
      </c>
      <c r="I1310">
        <v>3.0756999999999999</v>
      </c>
      <c r="J1310">
        <v>32553.11</v>
      </c>
      <c r="K1310">
        <v>10583.9678772312</v>
      </c>
    </row>
    <row r="1311" spans="1:11" x14ac:dyDescent="0.25">
      <c r="A1311" t="s">
        <v>610</v>
      </c>
      <c r="B1311" t="s">
        <v>1192</v>
      </c>
      <c r="C1311" s="1">
        <v>42178</v>
      </c>
      <c r="D1311" s="1">
        <v>42192</v>
      </c>
      <c r="E1311">
        <v>5</v>
      </c>
      <c r="F1311" t="s">
        <v>368</v>
      </c>
      <c r="G1311" t="s">
        <v>16</v>
      </c>
      <c r="H1311" t="s">
        <v>5152</v>
      </c>
      <c r="I1311">
        <v>3.0756999999999999</v>
      </c>
      <c r="J1311">
        <v>44254.39</v>
      </c>
      <c r="K1311">
        <v>14388.396137464642</v>
      </c>
    </row>
    <row r="1312" spans="1:11" x14ac:dyDescent="0.25">
      <c r="A1312" t="s">
        <v>413</v>
      </c>
      <c r="B1312" t="s">
        <v>1196</v>
      </c>
      <c r="C1312" s="1">
        <v>42217</v>
      </c>
      <c r="D1312" s="1">
        <v>42218</v>
      </c>
      <c r="E1312">
        <v>1</v>
      </c>
      <c r="F1312" t="s">
        <v>368</v>
      </c>
      <c r="G1312" t="s">
        <v>16</v>
      </c>
      <c r="H1312" t="s">
        <v>1710</v>
      </c>
      <c r="I1312">
        <v>3.3940000000000001</v>
      </c>
      <c r="J1312">
        <v>81273.440000000002</v>
      </c>
      <c r="K1312">
        <v>23946.210960518561</v>
      </c>
    </row>
    <row r="1313" spans="1:11" x14ac:dyDescent="0.25">
      <c r="A1313" t="s">
        <v>413</v>
      </c>
      <c r="B1313" t="s">
        <v>1196</v>
      </c>
      <c r="C1313" s="1">
        <v>42217</v>
      </c>
      <c r="D1313" s="1">
        <v>42221</v>
      </c>
      <c r="E1313">
        <v>1</v>
      </c>
      <c r="F1313" t="s">
        <v>368</v>
      </c>
      <c r="G1313" t="s">
        <v>16</v>
      </c>
      <c r="H1313" t="s">
        <v>5153</v>
      </c>
      <c r="I1313">
        <v>3.3940000000000001</v>
      </c>
      <c r="J1313">
        <v>41678.370000000003</v>
      </c>
      <c r="K1313">
        <v>12280.014731879788</v>
      </c>
    </row>
    <row r="1314" spans="1:11" x14ac:dyDescent="0.25">
      <c r="A1314" t="s">
        <v>625</v>
      </c>
      <c r="B1314" t="s">
        <v>1711</v>
      </c>
      <c r="C1314" s="1">
        <v>42206</v>
      </c>
      <c r="D1314" s="1">
        <v>42210</v>
      </c>
      <c r="E1314">
        <v>1</v>
      </c>
      <c r="F1314" t="s">
        <v>368</v>
      </c>
      <c r="G1314" t="s">
        <v>16</v>
      </c>
      <c r="H1314" t="s">
        <v>5154</v>
      </c>
      <c r="I1314">
        <v>3.2149000000000001</v>
      </c>
      <c r="J1314">
        <v>54754.12</v>
      </c>
      <c r="K1314">
        <v>17031.360228934027</v>
      </c>
    </row>
    <row r="1315" spans="1:11" x14ac:dyDescent="0.25">
      <c r="A1315" t="s">
        <v>625</v>
      </c>
      <c r="B1315" t="s">
        <v>1711</v>
      </c>
      <c r="C1315" s="1">
        <v>42208</v>
      </c>
      <c r="D1315" s="1">
        <v>42210</v>
      </c>
      <c r="E1315">
        <v>1</v>
      </c>
      <c r="F1315" t="s">
        <v>368</v>
      </c>
      <c r="G1315" t="s">
        <v>16</v>
      </c>
      <c r="H1315" t="s">
        <v>1712</v>
      </c>
      <c r="I1315">
        <v>3.2094</v>
      </c>
      <c r="J1315">
        <v>74775.72</v>
      </c>
      <c r="K1315">
        <v>23298.971770424378</v>
      </c>
    </row>
    <row r="1316" spans="1:11" x14ac:dyDescent="0.25">
      <c r="A1316" t="s">
        <v>625</v>
      </c>
      <c r="B1316" t="s">
        <v>1711</v>
      </c>
      <c r="C1316" s="1">
        <v>42209</v>
      </c>
      <c r="D1316" s="1">
        <v>42210</v>
      </c>
      <c r="E1316">
        <v>1</v>
      </c>
      <c r="F1316" t="s">
        <v>368</v>
      </c>
      <c r="G1316" t="s">
        <v>16</v>
      </c>
      <c r="H1316" t="s">
        <v>1713</v>
      </c>
      <c r="I1316">
        <v>3.2850000000000001</v>
      </c>
      <c r="J1316">
        <v>76369.279999999999</v>
      </c>
      <c r="K1316">
        <v>23247.878234398784</v>
      </c>
    </row>
    <row r="1317" spans="1:11" x14ac:dyDescent="0.25">
      <c r="A1317" t="s">
        <v>610</v>
      </c>
      <c r="B1317" t="s">
        <v>1192</v>
      </c>
      <c r="C1317" s="1">
        <v>42192</v>
      </c>
      <c r="D1317" s="1">
        <v>42192</v>
      </c>
      <c r="E1317">
        <v>5</v>
      </c>
      <c r="F1317" t="s">
        <v>368</v>
      </c>
      <c r="G1317" t="s">
        <v>16</v>
      </c>
      <c r="H1317" t="s">
        <v>1714</v>
      </c>
      <c r="I1317">
        <v>3.1431</v>
      </c>
      <c r="J1317">
        <v>45643.51</v>
      </c>
      <c r="K1317">
        <v>14521.81285991537</v>
      </c>
    </row>
    <row r="1318" spans="1:11" x14ac:dyDescent="0.25">
      <c r="A1318" t="s">
        <v>413</v>
      </c>
      <c r="B1318" t="s">
        <v>1196</v>
      </c>
      <c r="C1318" s="1">
        <v>42216</v>
      </c>
      <c r="D1318" s="1">
        <v>42219</v>
      </c>
      <c r="E1318">
        <v>1</v>
      </c>
      <c r="F1318" t="s">
        <v>368</v>
      </c>
      <c r="G1318" t="s">
        <v>16</v>
      </c>
      <c r="H1318" t="s">
        <v>1715</v>
      </c>
      <c r="I1318">
        <v>3.3652000000000002</v>
      </c>
      <c r="J1318">
        <v>80561.759999999995</v>
      </c>
      <c r="K1318">
        <v>23939.664804469274</v>
      </c>
    </row>
    <row r="1319" spans="1:11" x14ac:dyDescent="0.25">
      <c r="A1319" t="s">
        <v>413</v>
      </c>
      <c r="B1319" t="s">
        <v>1196</v>
      </c>
      <c r="C1319" s="1">
        <v>42216</v>
      </c>
      <c r="D1319" s="1">
        <v>42219</v>
      </c>
      <c r="E1319">
        <v>1</v>
      </c>
      <c r="F1319" t="s">
        <v>368</v>
      </c>
      <c r="G1319" t="s">
        <v>16</v>
      </c>
      <c r="H1319" t="s">
        <v>5155</v>
      </c>
      <c r="I1319">
        <v>3.3652000000000002</v>
      </c>
      <c r="J1319">
        <v>49137.3</v>
      </c>
      <c r="K1319">
        <v>14601.598716272436</v>
      </c>
    </row>
    <row r="1320" spans="1:11" x14ac:dyDescent="0.25">
      <c r="A1320" t="s">
        <v>345</v>
      </c>
      <c r="B1320" t="s">
        <v>1190</v>
      </c>
      <c r="C1320" s="1">
        <v>42188</v>
      </c>
      <c r="D1320" s="1">
        <v>42193</v>
      </c>
      <c r="E1320">
        <v>3</v>
      </c>
      <c r="F1320" t="s">
        <v>309</v>
      </c>
      <c r="G1320" t="s">
        <v>16</v>
      </c>
      <c r="H1320" t="s">
        <v>5156</v>
      </c>
      <c r="I1320">
        <v>3.1173000000000002</v>
      </c>
      <c r="J1320">
        <v>29414.7</v>
      </c>
      <c r="K1320">
        <v>9435.9541911269371</v>
      </c>
    </row>
    <row r="1321" spans="1:11" x14ac:dyDescent="0.25">
      <c r="A1321" t="s">
        <v>345</v>
      </c>
      <c r="B1321" t="s">
        <v>1190</v>
      </c>
      <c r="C1321" s="1">
        <v>42188</v>
      </c>
      <c r="D1321" s="1">
        <v>42193</v>
      </c>
      <c r="E1321">
        <v>3</v>
      </c>
      <c r="F1321" t="s">
        <v>309</v>
      </c>
      <c r="G1321" t="s">
        <v>16</v>
      </c>
      <c r="H1321" t="s">
        <v>1716</v>
      </c>
      <c r="I1321">
        <v>3.1173000000000002</v>
      </c>
      <c r="J1321">
        <v>24512.22</v>
      </c>
      <c r="K1321">
        <v>7863.2855355596193</v>
      </c>
    </row>
    <row r="1322" spans="1:11" x14ac:dyDescent="0.25">
      <c r="A1322" t="s">
        <v>571</v>
      </c>
      <c r="B1322" t="s">
        <v>1198</v>
      </c>
      <c r="C1322" s="1">
        <v>42188</v>
      </c>
      <c r="D1322" s="1">
        <v>42198</v>
      </c>
      <c r="E1322">
        <v>3</v>
      </c>
      <c r="F1322" t="s">
        <v>368</v>
      </c>
      <c r="G1322" t="s">
        <v>16</v>
      </c>
      <c r="H1322" t="s">
        <v>1717</v>
      </c>
      <c r="I1322">
        <v>3.1173000000000002</v>
      </c>
      <c r="J1322">
        <v>44066.59</v>
      </c>
      <c r="K1322">
        <v>14136.140249574953</v>
      </c>
    </row>
    <row r="1323" spans="1:11" x14ac:dyDescent="0.25">
      <c r="A1323" t="s">
        <v>571</v>
      </c>
      <c r="B1323" t="s">
        <v>1198</v>
      </c>
      <c r="C1323" s="1">
        <v>42188</v>
      </c>
      <c r="D1323" s="1">
        <v>42198</v>
      </c>
      <c r="E1323">
        <v>3</v>
      </c>
      <c r="F1323" t="s">
        <v>368</v>
      </c>
      <c r="G1323" t="s">
        <v>16</v>
      </c>
      <c r="H1323" t="s">
        <v>5157</v>
      </c>
      <c r="I1323">
        <v>3.1173000000000002</v>
      </c>
      <c r="J1323">
        <v>46308.33</v>
      </c>
      <c r="K1323">
        <v>14855.268982773554</v>
      </c>
    </row>
    <row r="1324" spans="1:11" x14ac:dyDescent="0.25">
      <c r="A1324" t="s">
        <v>413</v>
      </c>
      <c r="B1324" t="s">
        <v>1196</v>
      </c>
      <c r="C1324" s="1">
        <v>42222</v>
      </c>
      <c r="D1324" s="1">
        <v>42227</v>
      </c>
      <c r="E1324">
        <v>1</v>
      </c>
      <c r="F1324" t="s">
        <v>368</v>
      </c>
      <c r="G1324" t="s">
        <v>16</v>
      </c>
      <c r="H1324" t="s">
        <v>1718</v>
      </c>
      <c r="I1324">
        <v>3.4851000000000001</v>
      </c>
      <c r="J1324">
        <v>43033.98</v>
      </c>
      <c r="K1324">
        <v>12347.990014633726</v>
      </c>
    </row>
    <row r="1325" spans="1:11" x14ac:dyDescent="0.25">
      <c r="A1325" t="s">
        <v>413</v>
      </c>
      <c r="B1325" t="s">
        <v>1196</v>
      </c>
      <c r="C1325" s="1">
        <v>42222</v>
      </c>
      <c r="D1325" s="1">
        <v>42227</v>
      </c>
      <c r="E1325">
        <v>1</v>
      </c>
      <c r="F1325" t="s">
        <v>368</v>
      </c>
      <c r="G1325" t="s">
        <v>16</v>
      </c>
      <c r="H1325" t="s">
        <v>1719</v>
      </c>
      <c r="I1325">
        <v>3.4851000000000001</v>
      </c>
      <c r="J1325">
        <v>59134.15</v>
      </c>
      <c r="K1325">
        <v>16967.705374307767</v>
      </c>
    </row>
    <row r="1326" spans="1:11" x14ac:dyDescent="0.25">
      <c r="A1326" t="s">
        <v>429</v>
      </c>
      <c r="B1326" t="s">
        <v>1216</v>
      </c>
      <c r="C1326" s="1">
        <v>42240</v>
      </c>
      <c r="D1326" s="1">
        <v>42247</v>
      </c>
      <c r="E1326">
        <v>5</v>
      </c>
      <c r="F1326" t="s">
        <v>301</v>
      </c>
      <c r="G1326" t="s">
        <v>16</v>
      </c>
      <c r="H1326" t="s">
        <v>5158</v>
      </c>
      <c r="I1326">
        <v>3.4895999999999998</v>
      </c>
      <c r="J1326">
        <v>74113.210000000006</v>
      </c>
      <c r="K1326">
        <v>21238.310981201284</v>
      </c>
    </row>
    <row r="1327" spans="1:11" x14ac:dyDescent="0.25">
      <c r="A1327" t="s">
        <v>482</v>
      </c>
      <c r="B1327" t="s">
        <v>3102</v>
      </c>
      <c r="C1327" s="1">
        <v>42215</v>
      </c>
      <c r="D1327" s="1">
        <v>42230</v>
      </c>
      <c r="E1327">
        <v>2</v>
      </c>
      <c r="F1327" t="s">
        <v>301</v>
      </c>
      <c r="G1327" t="s">
        <v>16</v>
      </c>
      <c r="H1327" t="s">
        <v>5159</v>
      </c>
      <c r="I1327">
        <v>3.3418999999999999</v>
      </c>
      <c r="J1327">
        <v>27014.98</v>
      </c>
      <c r="K1327">
        <v>8083.7188425745835</v>
      </c>
    </row>
    <row r="1328" spans="1:11" x14ac:dyDescent="0.25">
      <c r="A1328" t="s">
        <v>454</v>
      </c>
      <c r="B1328" t="s">
        <v>1183</v>
      </c>
      <c r="C1328" s="1">
        <v>42256</v>
      </c>
      <c r="D1328" s="1">
        <v>42259</v>
      </c>
      <c r="E1328">
        <v>3</v>
      </c>
      <c r="F1328" t="s">
        <v>368</v>
      </c>
      <c r="G1328" t="s">
        <v>16</v>
      </c>
      <c r="H1328" t="s">
        <v>1720</v>
      </c>
      <c r="I1328">
        <v>3.8028</v>
      </c>
      <c r="J1328">
        <v>38402.67</v>
      </c>
      <c r="K1328">
        <v>10098.524771221206</v>
      </c>
    </row>
    <row r="1329" spans="1:11" x14ac:dyDescent="0.25">
      <c r="A1329" t="s">
        <v>627</v>
      </c>
      <c r="B1329" t="s">
        <v>1200</v>
      </c>
      <c r="C1329" s="1">
        <v>42209</v>
      </c>
      <c r="D1329" s="1">
        <v>42231</v>
      </c>
      <c r="E1329">
        <v>1</v>
      </c>
      <c r="F1329" t="s">
        <v>368</v>
      </c>
      <c r="G1329" t="s">
        <v>16</v>
      </c>
      <c r="H1329" t="s">
        <v>590</v>
      </c>
      <c r="I1329">
        <v>3.2850000000000001</v>
      </c>
      <c r="J1329">
        <v>76369.279999999999</v>
      </c>
      <c r="K1329">
        <v>23247.878234398784</v>
      </c>
    </row>
    <row r="1330" spans="1:11" x14ac:dyDescent="0.25">
      <c r="A1330" t="s">
        <v>468</v>
      </c>
      <c r="B1330" t="s">
        <v>1203</v>
      </c>
      <c r="C1330" s="1">
        <v>42222</v>
      </c>
      <c r="D1330" s="1">
        <v>42224</v>
      </c>
      <c r="E1330">
        <v>1</v>
      </c>
      <c r="F1330" t="s">
        <v>368</v>
      </c>
      <c r="G1330" t="s">
        <v>16</v>
      </c>
      <c r="H1330" t="s">
        <v>1721</v>
      </c>
      <c r="I1330">
        <v>3.4851000000000001</v>
      </c>
      <c r="J1330">
        <v>80073.3</v>
      </c>
      <c r="K1330">
        <v>22975.897391753464</v>
      </c>
    </row>
    <row r="1331" spans="1:11" x14ac:dyDescent="0.25">
      <c r="A1331" t="s">
        <v>413</v>
      </c>
      <c r="B1331" t="s">
        <v>1196</v>
      </c>
      <c r="C1331" s="1">
        <v>42221</v>
      </c>
      <c r="D1331" s="1">
        <v>42223</v>
      </c>
      <c r="E1331">
        <v>1</v>
      </c>
      <c r="F1331" t="s">
        <v>368</v>
      </c>
      <c r="G1331" t="s">
        <v>16</v>
      </c>
      <c r="H1331" t="s">
        <v>5160</v>
      </c>
      <c r="I1331">
        <v>3.4674999999999998</v>
      </c>
      <c r="J1331">
        <v>81544.72</v>
      </c>
      <c r="K1331">
        <v>23516.862292718095</v>
      </c>
    </row>
    <row r="1332" spans="1:11" x14ac:dyDescent="0.25">
      <c r="A1332" t="s">
        <v>342</v>
      </c>
      <c r="B1332" t="s">
        <v>1169</v>
      </c>
      <c r="C1332" s="1">
        <v>42300</v>
      </c>
      <c r="D1332" s="1">
        <v>42304</v>
      </c>
      <c r="E1332">
        <v>2</v>
      </c>
      <c r="F1332" t="s">
        <v>675</v>
      </c>
      <c r="G1332" t="s">
        <v>16</v>
      </c>
      <c r="H1332" t="s">
        <v>1722</v>
      </c>
      <c r="I1332">
        <v>3.9359999999999999</v>
      </c>
      <c r="J1332">
        <v>79830</v>
      </c>
      <c r="K1332">
        <v>20282.012195121952</v>
      </c>
    </row>
    <row r="1333" spans="1:11" x14ac:dyDescent="0.25">
      <c r="A1333" t="s">
        <v>342</v>
      </c>
      <c r="B1333" t="s">
        <v>1169</v>
      </c>
      <c r="C1333" s="1">
        <v>42300</v>
      </c>
      <c r="D1333" s="1">
        <v>42304</v>
      </c>
      <c r="E1333">
        <v>2</v>
      </c>
      <c r="F1333" t="s">
        <v>675</v>
      </c>
      <c r="G1333" t="s">
        <v>16</v>
      </c>
      <c r="H1333" t="s">
        <v>5161</v>
      </c>
      <c r="I1333">
        <v>3.9359999999999999</v>
      </c>
      <c r="J1333">
        <v>79830</v>
      </c>
      <c r="K1333">
        <v>20282.012195121952</v>
      </c>
    </row>
    <row r="1334" spans="1:11" x14ac:dyDescent="0.25">
      <c r="A1334" t="s">
        <v>342</v>
      </c>
      <c r="B1334" t="s">
        <v>1169</v>
      </c>
      <c r="C1334" s="1">
        <v>42300</v>
      </c>
      <c r="D1334" s="1">
        <v>42304</v>
      </c>
      <c r="E1334">
        <v>2</v>
      </c>
      <c r="F1334" t="s">
        <v>675</v>
      </c>
      <c r="G1334" t="s">
        <v>16</v>
      </c>
      <c r="H1334" t="s">
        <v>5162</v>
      </c>
      <c r="I1334">
        <v>3.9359999999999999</v>
      </c>
      <c r="J1334">
        <v>79830</v>
      </c>
      <c r="K1334">
        <v>20282.012195121952</v>
      </c>
    </row>
    <row r="1335" spans="1:11" x14ac:dyDescent="0.25">
      <c r="A1335" t="s">
        <v>5163</v>
      </c>
      <c r="B1335" t="s">
        <v>5164</v>
      </c>
      <c r="C1335" s="1">
        <v>42269</v>
      </c>
      <c r="D1335" s="1">
        <v>42284</v>
      </c>
      <c r="E1335">
        <v>9</v>
      </c>
      <c r="F1335" t="s">
        <v>318</v>
      </c>
      <c r="G1335" t="s">
        <v>16</v>
      </c>
      <c r="H1335" t="s">
        <v>5165</v>
      </c>
      <c r="I1335">
        <v>3.9821</v>
      </c>
      <c r="J1335">
        <v>22565.24</v>
      </c>
      <c r="K1335">
        <v>5666.6683408251929</v>
      </c>
    </row>
    <row r="1336" spans="1:11" x14ac:dyDescent="0.25">
      <c r="A1336" t="s">
        <v>1723</v>
      </c>
      <c r="B1336" t="s">
        <v>1724</v>
      </c>
      <c r="C1336" s="1">
        <v>42251</v>
      </c>
      <c r="D1336" s="1">
        <v>42273</v>
      </c>
      <c r="E1336">
        <v>261</v>
      </c>
      <c r="F1336" t="s">
        <v>642</v>
      </c>
      <c r="G1336" t="s">
        <v>16</v>
      </c>
      <c r="H1336" t="s">
        <v>1725</v>
      </c>
      <c r="I1336">
        <v>3.7759999999999998</v>
      </c>
      <c r="J1336">
        <v>97898.64</v>
      </c>
      <c r="K1336">
        <v>25926.546610169491</v>
      </c>
    </row>
    <row r="1337" spans="1:11" x14ac:dyDescent="0.25">
      <c r="A1337" t="s">
        <v>561</v>
      </c>
      <c r="B1337" t="s">
        <v>1726</v>
      </c>
      <c r="C1337" s="1">
        <v>42258</v>
      </c>
      <c r="D1337" s="1">
        <v>42297</v>
      </c>
      <c r="E1337">
        <v>4</v>
      </c>
      <c r="F1337" t="s">
        <v>301</v>
      </c>
      <c r="G1337" t="s">
        <v>16</v>
      </c>
      <c r="H1337" t="s">
        <v>1727</v>
      </c>
      <c r="I1337">
        <v>3.8698000000000001</v>
      </c>
      <c r="J1337">
        <v>80505.960000000006</v>
      </c>
      <c r="K1337">
        <v>20803.648767378159</v>
      </c>
    </row>
    <row r="1338" spans="1:11" x14ac:dyDescent="0.25">
      <c r="A1338" t="s">
        <v>342</v>
      </c>
      <c r="B1338" t="s">
        <v>1169</v>
      </c>
      <c r="C1338" s="1">
        <v>42260</v>
      </c>
      <c r="D1338" s="1">
        <v>42268</v>
      </c>
      <c r="E1338">
        <v>2</v>
      </c>
      <c r="F1338" t="s">
        <v>675</v>
      </c>
      <c r="G1338" t="s">
        <v>16</v>
      </c>
      <c r="H1338" t="s">
        <v>5166</v>
      </c>
      <c r="I1338">
        <v>3.8698000000000001</v>
      </c>
      <c r="J1338">
        <v>79830</v>
      </c>
      <c r="K1338">
        <v>20628.973073543853</v>
      </c>
    </row>
    <row r="1339" spans="1:11" x14ac:dyDescent="0.25">
      <c r="A1339" t="s">
        <v>342</v>
      </c>
      <c r="B1339" t="s">
        <v>1169</v>
      </c>
      <c r="C1339" s="1">
        <v>42261</v>
      </c>
      <c r="D1339" s="1">
        <v>42268</v>
      </c>
      <c r="E1339">
        <v>2</v>
      </c>
      <c r="F1339" t="s">
        <v>675</v>
      </c>
      <c r="G1339" t="s">
        <v>16</v>
      </c>
      <c r="H1339" t="s">
        <v>1728</v>
      </c>
      <c r="I1339">
        <v>3.8698000000000001</v>
      </c>
      <c r="J1339">
        <v>79830</v>
      </c>
      <c r="K1339">
        <v>20628.973073543853</v>
      </c>
    </row>
    <row r="1340" spans="1:11" x14ac:dyDescent="0.25">
      <c r="A1340" t="s">
        <v>342</v>
      </c>
      <c r="B1340" t="s">
        <v>1169</v>
      </c>
      <c r="C1340" s="1">
        <v>42261</v>
      </c>
      <c r="D1340" s="1">
        <v>42268</v>
      </c>
      <c r="E1340">
        <v>2</v>
      </c>
      <c r="F1340" t="s">
        <v>675</v>
      </c>
      <c r="G1340" t="s">
        <v>16</v>
      </c>
      <c r="H1340" t="s">
        <v>1729</v>
      </c>
      <c r="I1340">
        <v>3.8698000000000001</v>
      </c>
      <c r="J1340">
        <v>79830</v>
      </c>
      <c r="K1340">
        <v>20628.973073543853</v>
      </c>
    </row>
    <row r="1341" spans="1:11" x14ac:dyDescent="0.25">
      <c r="A1341" t="s">
        <v>5167</v>
      </c>
      <c r="B1341" t="s">
        <v>5168</v>
      </c>
      <c r="C1341" s="1">
        <v>42269</v>
      </c>
      <c r="D1341" s="1">
        <v>42284</v>
      </c>
      <c r="E1341">
        <v>46</v>
      </c>
      <c r="F1341" t="s">
        <v>318</v>
      </c>
      <c r="G1341" t="s">
        <v>16</v>
      </c>
      <c r="H1341" t="s">
        <v>5169</v>
      </c>
      <c r="I1341">
        <v>3.9821</v>
      </c>
      <c r="J1341">
        <v>270782.82</v>
      </c>
      <c r="K1341">
        <v>68000.005022475583</v>
      </c>
    </row>
    <row r="1342" spans="1:11" x14ac:dyDescent="0.25">
      <c r="A1342" t="s">
        <v>351</v>
      </c>
      <c r="B1342" t="s">
        <v>1214</v>
      </c>
      <c r="C1342" s="1">
        <v>42268</v>
      </c>
      <c r="D1342" s="1">
        <v>42277</v>
      </c>
      <c r="E1342">
        <v>17</v>
      </c>
      <c r="F1342" t="s">
        <v>311</v>
      </c>
      <c r="G1342" t="s">
        <v>16</v>
      </c>
      <c r="H1342" t="s">
        <v>1730</v>
      </c>
      <c r="I1342">
        <v>3.9020999999999999</v>
      </c>
      <c r="J1342">
        <v>249696</v>
      </c>
      <c r="K1342">
        <v>63990.159145075726</v>
      </c>
    </row>
    <row r="1343" spans="1:11" x14ac:dyDescent="0.25">
      <c r="A1343" t="s">
        <v>408</v>
      </c>
      <c r="B1343" t="s">
        <v>1097</v>
      </c>
      <c r="C1343" s="1">
        <v>42262</v>
      </c>
      <c r="D1343" s="1">
        <v>42270</v>
      </c>
      <c r="E1343">
        <v>16</v>
      </c>
      <c r="F1343" t="s">
        <v>311</v>
      </c>
      <c r="G1343" t="s">
        <v>16</v>
      </c>
      <c r="H1343" t="s">
        <v>5170</v>
      </c>
      <c r="I1343">
        <v>3.8653</v>
      </c>
      <c r="J1343">
        <v>626.08000000000004</v>
      </c>
      <c r="K1343">
        <v>161.97449098388225</v>
      </c>
    </row>
    <row r="1344" spans="1:11" x14ac:dyDescent="0.25">
      <c r="A1344" t="s">
        <v>527</v>
      </c>
      <c r="B1344" t="s">
        <v>3132</v>
      </c>
      <c r="C1344" s="1">
        <v>42258</v>
      </c>
      <c r="D1344" s="1">
        <v>42298</v>
      </c>
      <c r="E1344">
        <v>3</v>
      </c>
      <c r="F1344" t="s">
        <v>301</v>
      </c>
      <c r="G1344" t="s">
        <v>16</v>
      </c>
      <c r="H1344" t="s">
        <v>5171</v>
      </c>
      <c r="I1344">
        <v>3.8698000000000001</v>
      </c>
      <c r="J1344">
        <v>17530</v>
      </c>
      <c r="K1344">
        <v>4529.949868210243</v>
      </c>
    </row>
    <row r="1345" spans="1:11" x14ac:dyDescent="0.25">
      <c r="A1345" t="s">
        <v>533</v>
      </c>
      <c r="B1345" t="s">
        <v>1731</v>
      </c>
      <c r="C1345" s="1">
        <v>42257</v>
      </c>
      <c r="D1345" s="1">
        <v>42298</v>
      </c>
      <c r="E1345">
        <v>2</v>
      </c>
      <c r="F1345" t="s">
        <v>301</v>
      </c>
      <c r="G1345" t="s">
        <v>16</v>
      </c>
      <c r="H1345" t="s">
        <v>1732</v>
      </c>
      <c r="I1345">
        <v>3.7869999999999999</v>
      </c>
      <c r="J1345">
        <v>95085.02</v>
      </c>
      <c r="K1345">
        <v>25108.270398732508</v>
      </c>
    </row>
    <row r="1346" spans="1:11" x14ac:dyDescent="0.25">
      <c r="A1346" t="s">
        <v>527</v>
      </c>
      <c r="B1346" t="s">
        <v>3132</v>
      </c>
      <c r="C1346" s="1">
        <v>42257</v>
      </c>
      <c r="D1346" s="1">
        <v>42298</v>
      </c>
      <c r="E1346">
        <v>3</v>
      </c>
      <c r="F1346" t="s">
        <v>301</v>
      </c>
      <c r="G1346" t="s">
        <v>16</v>
      </c>
      <c r="H1346" t="s">
        <v>5172</v>
      </c>
      <c r="I1346">
        <v>3.7869999999999999</v>
      </c>
      <c r="J1346">
        <v>175379.98</v>
      </c>
      <c r="K1346">
        <v>46311.05888566147</v>
      </c>
    </row>
    <row r="1347" spans="1:11" x14ac:dyDescent="0.25">
      <c r="A1347" t="s">
        <v>350</v>
      </c>
      <c r="B1347" t="s">
        <v>1733</v>
      </c>
      <c r="C1347" s="1">
        <v>42301</v>
      </c>
      <c r="D1347" s="1">
        <v>42306</v>
      </c>
      <c r="E1347">
        <v>21</v>
      </c>
      <c r="F1347" t="s">
        <v>331</v>
      </c>
      <c r="G1347" t="s">
        <v>16</v>
      </c>
      <c r="H1347" t="s">
        <v>5173</v>
      </c>
      <c r="I1347">
        <v>3.8988</v>
      </c>
      <c r="J1347">
        <v>119867.81</v>
      </c>
      <c r="K1347">
        <v>30744.795834615779</v>
      </c>
    </row>
    <row r="1348" spans="1:11" x14ac:dyDescent="0.25">
      <c r="A1348" t="s">
        <v>350</v>
      </c>
      <c r="B1348" t="s">
        <v>1733</v>
      </c>
      <c r="C1348" s="1">
        <v>42301</v>
      </c>
      <c r="D1348" s="1">
        <v>42306</v>
      </c>
      <c r="E1348">
        <v>21</v>
      </c>
      <c r="F1348" t="s">
        <v>331</v>
      </c>
      <c r="G1348" t="s">
        <v>16</v>
      </c>
      <c r="H1348" t="s">
        <v>5174</v>
      </c>
      <c r="I1348">
        <v>3.8988</v>
      </c>
      <c r="J1348">
        <v>91773.4</v>
      </c>
      <c r="K1348">
        <v>23538.883759105367</v>
      </c>
    </row>
    <row r="1349" spans="1:11" x14ac:dyDescent="0.25">
      <c r="A1349" t="s">
        <v>350</v>
      </c>
      <c r="B1349" t="s">
        <v>1733</v>
      </c>
      <c r="C1349" s="1">
        <v>42301</v>
      </c>
      <c r="D1349" s="1">
        <v>42307</v>
      </c>
      <c r="E1349">
        <v>21</v>
      </c>
      <c r="F1349" t="s">
        <v>331</v>
      </c>
      <c r="G1349" t="s">
        <v>16</v>
      </c>
      <c r="H1349" t="s">
        <v>1734</v>
      </c>
      <c r="I1349">
        <v>3.8988</v>
      </c>
      <c r="J1349">
        <v>92126.47</v>
      </c>
      <c r="K1349">
        <v>23629.442392531037</v>
      </c>
    </row>
    <row r="1350" spans="1:11" x14ac:dyDescent="0.25">
      <c r="A1350" t="s">
        <v>350</v>
      </c>
      <c r="B1350" t="s">
        <v>1733</v>
      </c>
      <c r="C1350" s="1">
        <v>42301</v>
      </c>
      <c r="D1350" s="1">
        <v>42308</v>
      </c>
      <c r="E1350">
        <v>21</v>
      </c>
      <c r="F1350" t="s">
        <v>331</v>
      </c>
      <c r="G1350" t="s">
        <v>16</v>
      </c>
      <c r="H1350" t="s">
        <v>1735</v>
      </c>
      <c r="I1350">
        <v>3.8988</v>
      </c>
      <c r="J1350">
        <v>125214.32</v>
      </c>
      <c r="K1350">
        <v>32116.117779829692</v>
      </c>
    </row>
    <row r="1351" spans="1:11" x14ac:dyDescent="0.25">
      <c r="A1351" t="s">
        <v>351</v>
      </c>
      <c r="B1351" t="s">
        <v>1214</v>
      </c>
      <c r="C1351" s="1">
        <v>42268</v>
      </c>
      <c r="D1351" s="1">
        <v>42290</v>
      </c>
      <c r="E1351">
        <v>17</v>
      </c>
      <c r="F1351" t="s">
        <v>311</v>
      </c>
      <c r="G1351" t="s">
        <v>16</v>
      </c>
      <c r="H1351" t="s">
        <v>1736</v>
      </c>
      <c r="I1351">
        <v>3.9020999999999999</v>
      </c>
      <c r="J1351">
        <v>682762.5</v>
      </c>
      <c r="K1351">
        <v>174973.09141231645</v>
      </c>
    </row>
    <row r="1352" spans="1:11" x14ac:dyDescent="0.25">
      <c r="A1352" t="s">
        <v>5175</v>
      </c>
      <c r="B1352" t="s">
        <v>5176</v>
      </c>
      <c r="C1352" s="1">
        <v>42270</v>
      </c>
      <c r="D1352" s="1">
        <v>42290</v>
      </c>
      <c r="E1352">
        <v>176</v>
      </c>
      <c r="F1352" t="s">
        <v>1311</v>
      </c>
      <c r="G1352" t="s">
        <v>16</v>
      </c>
      <c r="H1352" t="s">
        <v>5177</v>
      </c>
      <c r="I1352">
        <v>4.0425000000000004</v>
      </c>
      <c r="J1352">
        <v>234303.3</v>
      </c>
      <c r="K1352">
        <v>57960</v>
      </c>
    </row>
    <row r="1353" spans="1:11" x14ac:dyDescent="0.25">
      <c r="A1353" t="s">
        <v>342</v>
      </c>
      <c r="B1353" t="s">
        <v>1169</v>
      </c>
      <c r="C1353" s="1">
        <v>42350</v>
      </c>
      <c r="D1353" s="1">
        <v>42355</v>
      </c>
      <c r="E1353">
        <v>2</v>
      </c>
      <c r="F1353" t="s">
        <v>675</v>
      </c>
      <c r="G1353" t="s">
        <v>16</v>
      </c>
      <c r="H1353" t="s">
        <v>1737</v>
      </c>
      <c r="I1353">
        <v>3.8548</v>
      </c>
      <c r="J1353">
        <v>79830</v>
      </c>
      <c r="K1353">
        <v>20709.245615855558</v>
      </c>
    </row>
    <row r="1354" spans="1:11" x14ac:dyDescent="0.25">
      <c r="A1354" t="s">
        <v>342</v>
      </c>
      <c r="B1354" t="s">
        <v>1169</v>
      </c>
      <c r="C1354" s="1">
        <v>42350</v>
      </c>
      <c r="D1354" s="1">
        <v>42355</v>
      </c>
      <c r="E1354">
        <v>2</v>
      </c>
      <c r="F1354" t="s">
        <v>675</v>
      </c>
      <c r="G1354" t="s">
        <v>16</v>
      </c>
      <c r="H1354" t="s">
        <v>1738</v>
      </c>
      <c r="I1354">
        <v>3.8548</v>
      </c>
      <c r="J1354">
        <v>79830</v>
      </c>
      <c r="K1354">
        <v>20709.245615855558</v>
      </c>
    </row>
    <row r="1355" spans="1:11" x14ac:dyDescent="0.25">
      <c r="A1355" t="s">
        <v>429</v>
      </c>
      <c r="B1355" t="s">
        <v>1216</v>
      </c>
      <c r="C1355" s="1">
        <v>42345</v>
      </c>
      <c r="D1355" s="1">
        <v>42355</v>
      </c>
      <c r="E1355">
        <v>5</v>
      </c>
      <c r="F1355" t="s">
        <v>675</v>
      </c>
      <c r="G1355" t="s">
        <v>16</v>
      </c>
      <c r="H1355" t="s">
        <v>1739</v>
      </c>
      <c r="I1355">
        <v>3.7574999999999998</v>
      </c>
      <c r="J1355">
        <v>215459.4</v>
      </c>
      <c r="K1355">
        <v>57341.157684630736</v>
      </c>
    </row>
    <row r="1356" spans="1:11" x14ac:dyDescent="0.25">
      <c r="A1356" t="s">
        <v>1740</v>
      </c>
      <c r="B1356" t="s">
        <v>1741</v>
      </c>
      <c r="C1356" s="1">
        <v>42319</v>
      </c>
      <c r="D1356" s="1">
        <v>42327</v>
      </c>
      <c r="E1356">
        <v>715</v>
      </c>
      <c r="F1356" t="s">
        <v>278</v>
      </c>
      <c r="G1356" t="s">
        <v>16</v>
      </c>
      <c r="H1356" t="s">
        <v>1742</v>
      </c>
      <c r="I1356">
        <v>3.7980999999999998</v>
      </c>
      <c r="J1356">
        <v>13154.4</v>
      </c>
      <c r="K1356">
        <v>3463.4159184855584</v>
      </c>
    </row>
    <row r="1357" spans="1:11" x14ac:dyDescent="0.25">
      <c r="A1357" t="s">
        <v>1220</v>
      </c>
      <c r="B1357" t="s">
        <v>1221</v>
      </c>
      <c r="C1357" s="1">
        <v>42336</v>
      </c>
      <c r="D1357" s="1">
        <v>42342</v>
      </c>
      <c r="E1357">
        <v>20</v>
      </c>
      <c r="F1357" t="s">
        <v>331</v>
      </c>
      <c r="G1357" t="s">
        <v>16</v>
      </c>
      <c r="H1357" t="s">
        <v>1743</v>
      </c>
      <c r="I1357">
        <v>3.7399</v>
      </c>
      <c r="J1357">
        <v>40765.519999999997</v>
      </c>
      <c r="K1357">
        <v>10900.163105965401</v>
      </c>
    </row>
    <row r="1358" spans="1:11" x14ac:dyDescent="0.25">
      <c r="A1358" t="s">
        <v>1220</v>
      </c>
      <c r="B1358" t="s">
        <v>1221</v>
      </c>
      <c r="C1358" s="1">
        <v>42335</v>
      </c>
      <c r="D1358" s="1">
        <v>42342</v>
      </c>
      <c r="E1358">
        <v>20</v>
      </c>
      <c r="F1358" t="s">
        <v>331</v>
      </c>
      <c r="G1358" t="s">
        <v>16</v>
      </c>
      <c r="H1358" t="s">
        <v>1744</v>
      </c>
      <c r="I1358">
        <v>3.7606000000000002</v>
      </c>
      <c r="J1358">
        <v>81417.52</v>
      </c>
      <c r="K1358">
        <v>21650.140934957188</v>
      </c>
    </row>
    <row r="1359" spans="1:11" x14ac:dyDescent="0.25">
      <c r="A1359" t="s">
        <v>350</v>
      </c>
      <c r="B1359" t="s">
        <v>1733</v>
      </c>
      <c r="C1359" s="1">
        <v>42304</v>
      </c>
      <c r="D1359" s="1">
        <v>42311</v>
      </c>
      <c r="E1359">
        <v>21</v>
      </c>
      <c r="F1359" t="s">
        <v>331</v>
      </c>
      <c r="G1359" t="s">
        <v>16</v>
      </c>
      <c r="H1359" t="s">
        <v>5178</v>
      </c>
      <c r="I1359">
        <v>3.8582000000000001</v>
      </c>
      <c r="J1359">
        <v>89680.19</v>
      </c>
      <c r="K1359">
        <v>23244.049038411693</v>
      </c>
    </row>
    <row r="1360" spans="1:11" x14ac:dyDescent="0.25">
      <c r="A1360" t="s">
        <v>1220</v>
      </c>
      <c r="B1360" t="s">
        <v>1221</v>
      </c>
      <c r="C1360" s="1">
        <v>42333</v>
      </c>
      <c r="D1360" s="1">
        <v>42341</v>
      </c>
      <c r="E1360">
        <v>20</v>
      </c>
      <c r="F1360" t="s">
        <v>331</v>
      </c>
      <c r="G1360" t="s">
        <v>16</v>
      </c>
      <c r="H1360" t="s">
        <v>5179</v>
      </c>
      <c r="I1360">
        <v>3.7081</v>
      </c>
      <c r="J1360">
        <v>59802.400000000001</v>
      </c>
      <c r="K1360">
        <v>16127.504651978103</v>
      </c>
    </row>
    <row r="1361" spans="1:11" x14ac:dyDescent="0.25">
      <c r="A1361" t="s">
        <v>1220</v>
      </c>
      <c r="B1361" t="s">
        <v>1221</v>
      </c>
      <c r="C1361" s="1">
        <v>42334</v>
      </c>
      <c r="D1361" s="1">
        <v>42343</v>
      </c>
      <c r="E1361">
        <v>20</v>
      </c>
      <c r="F1361" t="s">
        <v>331</v>
      </c>
      <c r="G1361" t="s">
        <v>16</v>
      </c>
      <c r="H1361" t="s">
        <v>1745</v>
      </c>
      <c r="I1361">
        <v>3.7688000000000001</v>
      </c>
      <c r="J1361">
        <v>39711.51</v>
      </c>
      <c r="K1361">
        <v>10536.910953088516</v>
      </c>
    </row>
    <row r="1362" spans="1:11" x14ac:dyDescent="0.25">
      <c r="A1362" t="s">
        <v>1220</v>
      </c>
      <c r="B1362" t="s">
        <v>1221</v>
      </c>
      <c r="C1362" s="1">
        <v>42334</v>
      </c>
      <c r="D1362" s="1">
        <v>42343</v>
      </c>
      <c r="E1362">
        <v>20</v>
      </c>
      <c r="F1362" t="s">
        <v>331</v>
      </c>
      <c r="G1362" t="s">
        <v>16</v>
      </c>
      <c r="H1362" t="s">
        <v>1746</v>
      </c>
      <c r="I1362">
        <v>3.7688000000000001</v>
      </c>
      <c r="J1362">
        <v>61099.63</v>
      </c>
      <c r="K1362">
        <v>16211.958713648906</v>
      </c>
    </row>
    <row r="1363" spans="1:11" x14ac:dyDescent="0.25">
      <c r="A1363" t="s">
        <v>1220</v>
      </c>
      <c r="B1363" t="s">
        <v>1221</v>
      </c>
      <c r="C1363" s="1">
        <v>42334</v>
      </c>
      <c r="D1363" s="1">
        <v>42343</v>
      </c>
      <c r="E1363">
        <v>20</v>
      </c>
      <c r="F1363" t="s">
        <v>331</v>
      </c>
      <c r="G1363" t="s">
        <v>16</v>
      </c>
      <c r="H1363" t="s">
        <v>5180</v>
      </c>
      <c r="I1363">
        <v>3.7688000000000001</v>
      </c>
      <c r="J1363">
        <v>40473.64</v>
      </c>
      <c r="K1363">
        <v>10739.131819146678</v>
      </c>
    </row>
    <row r="1364" spans="1:11" x14ac:dyDescent="0.25">
      <c r="A1364" t="s">
        <v>1747</v>
      </c>
      <c r="C1364" s="1">
        <v>42318</v>
      </c>
      <c r="D1364" s="1">
        <v>42329</v>
      </c>
      <c r="E1364">
        <v>770</v>
      </c>
      <c r="F1364" t="s">
        <v>487</v>
      </c>
      <c r="G1364" t="s">
        <v>16</v>
      </c>
      <c r="H1364" t="s">
        <v>1748</v>
      </c>
      <c r="I1364">
        <v>3.7928000000000002</v>
      </c>
      <c r="J1364">
        <v>36.21</v>
      </c>
      <c r="K1364">
        <v>9.5470364901919424</v>
      </c>
    </row>
    <row r="1365" spans="1:11" x14ac:dyDescent="0.25">
      <c r="A1365" t="s">
        <v>1220</v>
      </c>
      <c r="B1365" t="s">
        <v>1221</v>
      </c>
      <c r="C1365" s="1">
        <v>42340</v>
      </c>
      <c r="D1365" s="1">
        <v>42346</v>
      </c>
      <c r="E1365">
        <v>20</v>
      </c>
      <c r="F1365" t="s">
        <v>331</v>
      </c>
      <c r="G1365" t="s">
        <v>16</v>
      </c>
      <c r="H1365" t="s">
        <v>1749</v>
      </c>
      <c r="I1365">
        <v>3.8744999999999998</v>
      </c>
      <c r="J1365">
        <v>80590.539999999994</v>
      </c>
      <c r="K1365">
        <v>20800.242611949929</v>
      </c>
    </row>
    <row r="1366" spans="1:11" x14ac:dyDescent="0.25">
      <c r="A1366" t="s">
        <v>3137</v>
      </c>
      <c r="B1366" t="s">
        <v>3138</v>
      </c>
      <c r="C1366" s="1">
        <v>42353</v>
      </c>
      <c r="D1366" s="1">
        <v>42359</v>
      </c>
      <c r="E1366">
        <v>203</v>
      </c>
      <c r="F1366" t="s">
        <v>368</v>
      </c>
      <c r="G1366" t="s">
        <v>16</v>
      </c>
      <c r="H1366" t="s">
        <v>5181</v>
      </c>
      <c r="I1366">
        <v>3.9022999999999999</v>
      </c>
      <c r="J1366">
        <v>75113.5</v>
      </c>
      <c r="K1366">
        <v>19248.520103528688</v>
      </c>
    </row>
    <row r="1367" spans="1:11" x14ac:dyDescent="0.25">
      <c r="A1367" t="s">
        <v>429</v>
      </c>
      <c r="B1367" t="s">
        <v>1216</v>
      </c>
      <c r="C1367" s="1">
        <v>42307</v>
      </c>
      <c r="D1367" s="1">
        <v>42311</v>
      </c>
      <c r="E1367">
        <v>5</v>
      </c>
      <c r="F1367" t="s">
        <v>675</v>
      </c>
      <c r="G1367" t="s">
        <v>16</v>
      </c>
      <c r="H1367" t="s">
        <v>1750</v>
      </c>
      <c r="I1367">
        <v>3.9327999999999999</v>
      </c>
      <c r="J1367">
        <v>59513.599999999999</v>
      </c>
      <c r="K1367">
        <v>15132.628152969894</v>
      </c>
    </row>
    <row r="1368" spans="1:11" x14ac:dyDescent="0.25">
      <c r="A1368" t="s">
        <v>429</v>
      </c>
      <c r="B1368" t="s">
        <v>1216</v>
      </c>
      <c r="C1368" s="1">
        <v>42306</v>
      </c>
      <c r="D1368" s="1">
        <v>42311</v>
      </c>
      <c r="E1368">
        <v>5</v>
      </c>
      <c r="F1368" t="s">
        <v>675</v>
      </c>
      <c r="G1368" t="s">
        <v>16</v>
      </c>
      <c r="H1368" t="s">
        <v>356</v>
      </c>
      <c r="I1368">
        <v>3.8797000000000001</v>
      </c>
      <c r="J1368">
        <v>284100.3</v>
      </c>
      <c r="K1368">
        <v>73227.388715622335</v>
      </c>
    </row>
    <row r="1369" spans="1:11" x14ac:dyDescent="0.25">
      <c r="A1369" t="s">
        <v>429</v>
      </c>
      <c r="B1369" t="s">
        <v>1216</v>
      </c>
      <c r="C1369" s="1">
        <v>42306</v>
      </c>
      <c r="D1369" s="1">
        <v>42311</v>
      </c>
      <c r="E1369">
        <v>5</v>
      </c>
      <c r="F1369" t="s">
        <v>675</v>
      </c>
      <c r="G1369" t="s">
        <v>16</v>
      </c>
      <c r="H1369" t="s">
        <v>1751</v>
      </c>
      <c r="I1369">
        <v>3.8797000000000001</v>
      </c>
      <c r="J1369">
        <v>36366</v>
      </c>
      <c r="K1369">
        <v>9373.4051601927986</v>
      </c>
    </row>
    <row r="1370" spans="1:11" x14ac:dyDescent="0.25">
      <c r="A1370" t="s">
        <v>429</v>
      </c>
      <c r="B1370" t="s">
        <v>1216</v>
      </c>
      <c r="C1370" s="1">
        <v>42305</v>
      </c>
      <c r="D1370" s="1">
        <v>42311</v>
      </c>
      <c r="E1370">
        <v>5</v>
      </c>
      <c r="F1370" t="s">
        <v>675</v>
      </c>
      <c r="G1370" t="s">
        <v>16</v>
      </c>
      <c r="H1370" t="s">
        <v>1752</v>
      </c>
      <c r="I1370">
        <v>3.9114</v>
      </c>
      <c r="J1370">
        <v>124891.8</v>
      </c>
      <c r="K1370">
        <v>31930.204019021323</v>
      </c>
    </row>
    <row r="1371" spans="1:11" x14ac:dyDescent="0.25">
      <c r="A1371" t="s">
        <v>1220</v>
      </c>
      <c r="B1371" t="s">
        <v>1221</v>
      </c>
      <c r="C1371" s="1">
        <v>42334</v>
      </c>
      <c r="D1371" s="1">
        <v>42339</v>
      </c>
      <c r="E1371">
        <v>20</v>
      </c>
      <c r="F1371" t="s">
        <v>331</v>
      </c>
      <c r="G1371" t="s">
        <v>16</v>
      </c>
      <c r="H1371" t="s">
        <v>5182</v>
      </c>
      <c r="I1371">
        <v>3.7688000000000001</v>
      </c>
      <c r="J1371">
        <v>60061.84</v>
      </c>
      <c r="K1371">
        <v>15936.595202717046</v>
      </c>
    </row>
    <row r="1372" spans="1:11" x14ac:dyDescent="0.25">
      <c r="A1372" t="s">
        <v>1220</v>
      </c>
      <c r="B1372" t="s">
        <v>1221</v>
      </c>
      <c r="C1372" s="1">
        <v>42334</v>
      </c>
      <c r="D1372" s="1">
        <v>42339</v>
      </c>
      <c r="E1372">
        <v>20</v>
      </c>
      <c r="F1372" t="s">
        <v>331</v>
      </c>
      <c r="G1372" t="s">
        <v>16</v>
      </c>
      <c r="H1372" t="s">
        <v>1753</v>
      </c>
      <c r="I1372">
        <v>3.7688000000000001</v>
      </c>
      <c r="J1372">
        <v>50737.99</v>
      </c>
      <c r="K1372">
        <v>13462.63797495224</v>
      </c>
    </row>
    <row r="1373" spans="1:11" x14ac:dyDescent="0.25">
      <c r="A1373" t="s">
        <v>1220</v>
      </c>
      <c r="B1373" t="s">
        <v>1221</v>
      </c>
      <c r="C1373" s="1">
        <v>42333</v>
      </c>
      <c r="D1373" s="1">
        <v>42339</v>
      </c>
      <c r="E1373">
        <v>20</v>
      </c>
      <c r="F1373" t="s">
        <v>331</v>
      </c>
      <c r="G1373" t="s">
        <v>16</v>
      </c>
      <c r="H1373" t="s">
        <v>1754</v>
      </c>
      <c r="I1373">
        <v>3.7081</v>
      </c>
      <c r="J1373">
        <v>57888.98</v>
      </c>
      <c r="K1373">
        <v>15611.493756910548</v>
      </c>
    </row>
    <row r="1374" spans="1:11" x14ac:dyDescent="0.25">
      <c r="A1374" t="s">
        <v>1220</v>
      </c>
      <c r="B1374" t="s">
        <v>1221</v>
      </c>
      <c r="C1374" s="1">
        <v>42335</v>
      </c>
      <c r="D1374" s="1">
        <v>42340</v>
      </c>
      <c r="E1374">
        <v>20</v>
      </c>
      <c r="F1374" t="s">
        <v>331</v>
      </c>
      <c r="G1374" t="s">
        <v>16</v>
      </c>
      <c r="H1374" t="s">
        <v>1755</v>
      </c>
      <c r="I1374">
        <v>3.7606000000000002</v>
      </c>
      <c r="J1374">
        <v>59769.96</v>
      </c>
      <c r="K1374">
        <v>15893.729723980216</v>
      </c>
    </row>
    <row r="1375" spans="1:11" x14ac:dyDescent="0.25">
      <c r="A1375" t="s">
        <v>1220</v>
      </c>
      <c r="B1375" t="s">
        <v>1221</v>
      </c>
      <c r="C1375" s="1">
        <v>42333</v>
      </c>
      <c r="D1375" s="1">
        <v>42340</v>
      </c>
      <c r="E1375">
        <v>20</v>
      </c>
      <c r="F1375" t="s">
        <v>331</v>
      </c>
      <c r="G1375" t="s">
        <v>16</v>
      </c>
      <c r="H1375" t="s">
        <v>5183</v>
      </c>
      <c r="I1375">
        <v>3.7081</v>
      </c>
      <c r="J1375">
        <v>60126.7</v>
      </c>
      <c r="K1375">
        <v>16214.961840295569</v>
      </c>
    </row>
    <row r="1376" spans="1:11" x14ac:dyDescent="0.25">
      <c r="A1376" t="s">
        <v>1220</v>
      </c>
      <c r="B1376" t="s">
        <v>1221</v>
      </c>
      <c r="C1376" s="1">
        <v>42333</v>
      </c>
      <c r="D1376" s="1">
        <v>42340</v>
      </c>
      <c r="E1376">
        <v>20</v>
      </c>
      <c r="F1376" t="s">
        <v>331</v>
      </c>
      <c r="G1376" t="s">
        <v>16</v>
      </c>
      <c r="H1376" t="s">
        <v>5184</v>
      </c>
      <c r="I1376">
        <v>3.7081</v>
      </c>
      <c r="J1376">
        <v>57710.61</v>
      </c>
      <c r="K1376">
        <v>15563.390954936491</v>
      </c>
    </row>
    <row r="1377" spans="1:11" x14ac:dyDescent="0.25">
      <c r="A1377" t="s">
        <v>353</v>
      </c>
      <c r="B1377" t="s">
        <v>352</v>
      </c>
      <c r="C1377" s="1">
        <v>42332</v>
      </c>
      <c r="D1377" s="1">
        <v>42338</v>
      </c>
      <c r="E1377">
        <v>981</v>
      </c>
      <c r="F1377" t="s">
        <v>675</v>
      </c>
      <c r="G1377" t="s">
        <v>16</v>
      </c>
      <c r="H1377" t="s">
        <v>5185</v>
      </c>
      <c r="I1377">
        <v>3.7231000000000001</v>
      </c>
      <c r="J1377">
        <v>23062</v>
      </c>
      <c r="K1377">
        <v>6194.3004485509391</v>
      </c>
    </row>
    <row r="1378" spans="1:11" x14ac:dyDescent="0.25">
      <c r="A1378" t="s">
        <v>353</v>
      </c>
      <c r="B1378" t="s">
        <v>352</v>
      </c>
      <c r="C1378" s="1">
        <v>42332</v>
      </c>
      <c r="D1378" s="1">
        <v>42338</v>
      </c>
      <c r="E1378">
        <v>981</v>
      </c>
      <c r="F1378" t="s">
        <v>675</v>
      </c>
      <c r="G1378" t="s">
        <v>16</v>
      </c>
      <c r="H1378" t="s">
        <v>576</v>
      </c>
      <c r="I1378">
        <v>3.7231000000000001</v>
      </c>
      <c r="J1378">
        <v>44704.800000000003</v>
      </c>
      <c r="K1378">
        <v>12007.413177191051</v>
      </c>
    </row>
    <row r="1379" spans="1:11" x14ac:dyDescent="0.25">
      <c r="A1379" t="s">
        <v>429</v>
      </c>
      <c r="B1379" t="s">
        <v>1216</v>
      </c>
      <c r="C1379" s="1">
        <v>42332</v>
      </c>
      <c r="D1379" s="1">
        <v>42338</v>
      </c>
      <c r="E1379">
        <v>5</v>
      </c>
      <c r="F1379" t="s">
        <v>675</v>
      </c>
      <c r="G1379" t="s">
        <v>16</v>
      </c>
      <c r="H1379" t="s">
        <v>5186</v>
      </c>
      <c r="I1379">
        <v>3.7231000000000001</v>
      </c>
      <c r="J1379">
        <v>32006.799999999999</v>
      </c>
      <c r="K1379">
        <v>8596.8144825548607</v>
      </c>
    </row>
    <row r="1380" spans="1:11" x14ac:dyDescent="0.25">
      <c r="A1380" t="s">
        <v>428</v>
      </c>
      <c r="B1380" t="s">
        <v>1231</v>
      </c>
      <c r="C1380" s="1">
        <v>42357</v>
      </c>
      <c r="D1380" s="1">
        <v>42366</v>
      </c>
      <c r="E1380">
        <v>22</v>
      </c>
      <c r="F1380" t="s">
        <v>331</v>
      </c>
      <c r="G1380" t="s">
        <v>16</v>
      </c>
      <c r="H1380" t="s">
        <v>1756</v>
      </c>
      <c r="I1380">
        <v>3.9062000000000001</v>
      </c>
      <c r="J1380">
        <v>47994.83</v>
      </c>
      <c r="K1380">
        <v>12286.833751472019</v>
      </c>
    </row>
    <row r="1381" spans="1:11" x14ac:dyDescent="0.25">
      <c r="A1381" t="s">
        <v>428</v>
      </c>
      <c r="B1381" t="s">
        <v>1231</v>
      </c>
      <c r="C1381" s="1">
        <v>42357</v>
      </c>
      <c r="D1381" s="1">
        <v>42361</v>
      </c>
      <c r="E1381">
        <v>22</v>
      </c>
      <c r="F1381" t="s">
        <v>331</v>
      </c>
      <c r="G1381" t="s">
        <v>16</v>
      </c>
      <c r="H1381" t="s">
        <v>5187</v>
      </c>
      <c r="I1381">
        <v>3.9062000000000001</v>
      </c>
      <c r="J1381">
        <v>64079.38</v>
      </c>
      <c r="K1381">
        <v>16404.531258000101</v>
      </c>
    </row>
    <row r="1382" spans="1:11" x14ac:dyDescent="0.25">
      <c r="A1382" t="s">
        <v>428</v>
      </c>
      <c r="B1382" t="s">
        <v>1231</v>
      </c>
      <c r="C1382" s="1">
        <v>42357</v>
      </c>
      <c r="D1382" s="1">
        <v>42361</v>
      </c>
      <c r="E1382">
        <v>22</v>
      </c>
      <c r="F1382" t="s">
        <v>331</v>
      </c>
      <c r="G1382" t="s">
        <v>16</v>
      </c>
      <c r="H1382" t="s">
        <v>1757</v>
      </c>
      <c r="I1382">
        <v>3.9062000000000001</v>
      </c>
      <c r="J1382">
        <v>48279.51</v>
      </c>
      <c r="K1382">
        <v>12359.712764323383</v>
      </c>
    </row>
    <row r="1383" spans="1:11" x14ac:dyDescent="0.25">
      <c r="A1383" t="s">
        <v>428</v>
      </c>
      <c r="B1383" t="s">
        <v>1231</v>
      </c>
      <c r="C1383" s="1">
        <v>42360</v>
      </c>
      <c r="D1383" s="1">
        <v>42366</v>
      </c>
      <c r="E1383">
        <v>22</v>
      </c>
      <c r="F1383" t="s">
        <v>331</v>
      </c>
      <c r="G1383" t="s">
        <v>16</v>
      </c>
      <c r="H1383" t="s">
        <v>1758</v>
      </c>
      <c r="I1383">
        <v>3.9830999999999999</v>
      </c>
      <c r="J1383">
        <v>47114.9</v>
      </c>
      <c r="K1383">
        <v>11828.701262835481</v>
      </c>
    </row>
    <row r="1384" spans="1:11" x14ac:dyDescent="0.25">
      <c r="A1384" t="s">
        <v>428</v>
      </c>
      <c r="B1384" t="s">
        <v>1231</v>
      </c>
      <c r="C1384" s="1">
        <v>42361</v>
      </c>
      <c r="D1384" s="1">
        <v>42366</v>
      </c>
      <c r="E1384">
        <v>22</v>
      </c>
      <c r="F1384" t="s">
        <v>331</v>
      </c>
      <c r="G1384" t="s">
        <v>16</v>
      </c>
      <c r="H1384" t="s">
        <v>5188</v>
      </c>
      <c r="I1384">
        <v>3.9769999999999999</v>
      </c>
      <c r="J1384">
        <v>31625.599999999999</v>
      </c>
      <c r="K1384">
        <v>7952.12471712346</v>
      </c>
    </row>
    <row r="1385" spans="1:11" x14ac:dyDescent="0.25">
      <c r="A1385" t="s">
        <v>428</v>
      </c>
      <c r="B1385" t="s">
        <v>1231</v>
      </c>
      <c r="C1385" s="1">
        <v>42360</v>
      </c>
      <c r="D1385" s="1">
        <v>42366</v>
      </c>
      <c r="E1385">
        <v>22</v>
      </c>
      <c r="F1385" t="s">
        <v>331</v>
      </c>
      <c r="G1385" t="s">
        <v>16</v>
      </c>
      <c r="H1385" t="s">
        <v>1759</v>
      </c>
      <c r="I1385">
        <v>3.9830999999999999</v>
      </c>
      <c r="J1385">
        <v>47464.29</v>
      </c>
      <c r="K1385">
        <v>11916.41937184605</v>
      </c>
    </row>
    <row r="1386" spans="1:11" x14ac:dyDescent="0.25">
      <c r="A1386" t="s">
        <v>474</v>
      </c>
      <c r="B1386" t="s">
        <v>2692</v>
      </c>
      <c r="C1386" s="1">
        <v>42361</v>
      </c>
      <c r="D1386" s="1">
        <v>42374</v>
      </c>
      <c r="E1386">
        <v>32</v>
      </c>
      <c r="F1386" t="s">
        <v>1255</v>
      </c>
      <c r="G1386" t="s">
        <v>16</v>
      </c>
      <c r="H1386" t="s">
        <v>5189</v>
      </c>
      <c r="I1386">
        <v>3.9769999999999999</v>
      </c>
      <c r="J1386">
        <v>474196.65</v>
      </c>
      <c r="K1386">
        <v>119234.76238370631</v>
      </c>
    </row>
    <row r="1387" spans="1:11" x14ac:dyDescent="0.25">
      <c r="A1387" t="s">
        <v>604</v>
      </c>
      <c r="B1387" t="s">
        <v>5190</v>
      </c>
      <c r="C1387" s="1">
        <v>42360</v>
      </c>
      <c r="D1387" s="1">
        <v>42366</v>
      </c>
      <c r="E1387">
        <v>1004</v>
      </c>
      <c r="F1387" t="s">
        <v>389</v>
      </c>
      <c r="G1387" t="s">
        <v>16</v>
      </c>
      <c r="H1387" t="s">
        <v>5191</v>
      </c>
      <c r="I1387">
        <v>3.9830999999999999</v>
      </c>
      <c r="J1387">
        <v>74598</v>
      </c>
      <c r="K1387">
        <v>18728.628455223319</v>
      </c>
    </row>
    <row r="1388" spans="1:11" x14ac:dyDescent="0.25">
      <c r="A1388" t="s">
        <v>428</v>
      </c>
      <c r="B1388" t="s">
        <v>1231</v>
      </c>
      <c r="C1388" s="1">
        <v>42360</v>
      </c>
      <c r="D1388" s="1">
        <v>42368</v>
      </c>
      <c r="E1388">
        <v>22</v>
      </c>
      <c r="F1388" t="s">
        <v>331</v>
      </c>
      <c r="G1388" t="s">
        <v>16</v>
      </c>
      <c r="H1388" t="s">
        <v>1760</v>
      </c>
      <c r="I1388">
        <v>3.9830999999999999</v>
      </c>
      <c r="J1388">
        <v>45665.61</v>
      </c>
      <c r="K1388">
        <v>11464.841455148</v>
      </c>
    </row>
    <row r="1389" spans="1:11" x14ac:dyDescent="0.25">
      <c r="A1389" t="s">
        <v>428</v>
      </c>
      <c r="B1389" t="s">
        <v>1231</v>
      </c>
      <c r="C1389" s="1">
        <v>42355</v>
      </c>
      <c r="D1389" s="1">
        <v>42359</v>
      </c>
      <c r="E1389">
        <v>22</v>
      </c>
      <c r="F1389" t="s">
        <v>331</v>
      </c>
      <c r="G1389" t="s">
        <v>16</v>
      </c>
      <c r="H1389" t="s">
        <v>1761</v>
      </c>
      <c r="I1389">
        <v>3.9357000000000002</v>
      </c>
      <c r="J1389">
        <v>48175.99</v>
      </c>
      <c r="K1389">
        <v>12240.76784307747</v>
      </c>
    </row>
    <row r="1390" spans="1:11" x14ac:dyDescent="0.25">
      <c r="A1390" t="s">
        <v>428</v>
      </c>
      <c r="B1390" t="s">
        <v>1231</v>
      </c>
      <c r="C1390" s="1">
        <v>42357</v>
      </c>
      <c r="D1390" s="1">
        <v>42384</v>
      </c>
      <c r="E1390">
        <v>22</v>
      </c>
      <c r="F1390" t="s">
        <v>331</v>
      </c>
      <c r="G1390" t="s">
        <v>16</v>
      </c>
      <c r="H1390" t="s">
        <v>5192</v>
      </c>
      <c r="I1390">
        <v>3.9062000000000001</v>
      </c>
      <c r="J1390">
        <v>47787.79</v>
      </c>
      <c r="K1390">
        <v>12233.830833034663</v>
      </c>
    </row>
    <row r="1391" spans="1:11" x14ac:dyDescent="0.25">
      <c r="A1391" t="s">
        <v>484</v>
      </c>
      <c r="B1391" t="s">
        <v>1218</v>
      </c>
      <c r="C1391" s="1">
        <v>42269</v>
      </c>
      <c r="D1391" s="1">
        <v>42387</v>
      </c>
      <c r="E1391">
        <v>44</v>
      </c>
      <c r="F1391" t="s">
        <v>311</v>
      </c>
      <c r="G1391" t="s">
        <v>16</v>
      </c>
      <c r="H1391" t="s">
        <v>1762</v>
      </c>
      <c r="I1391">
        <v>3.9821</v>
      </c>
      <c r="J1391">
        <v>94839.33</v>
      </c>
      <c r="K1391">
        <v>23816.410938951809</v>
      </c>
    </row>
    <row r="1392" spans="1:11" x14ac:dyDescent="0.25">
      <c r="A1392" t="s">
        <v>428</v>
      </c>
      <c r="B1392" t="s">
        <v>1231</v>
      </c>
      <c r="C1392" s="1">
        <v>42358</v>
      </c>
      <c r="D1392" s="1">
        <v>42367</v>
      </c>
      <c r="E1392">
        <v>22</v>
      </c>
      <c r="F1392" t="s">
        <v>331</v>
      </c>
      <c r="G1392" t="s">
        <v>16</v>
      </c>
      <c r="H1392" t="s">
        <v>5193</v>
      </c>
      <c r="I1392">
        <v>3.9062000000000001</v>
      </c>
      <c r="J1392">
        <v>31806.77</v>
      </c>
      <c r="K1392">
        <v>8142.6373457580257</v>
      </c>
    </row>
    <row r="1393" spans="1:11" x14ac:dyDescent="0.25">
      <c r="A1393" t="s">
        <v>428</v>
      </c>
      <c r="B1393" t="s">
        <v>1231</v>
      </c>
      <c r="C1393" s="1">
        <v>42360</v>
      </c>
      <c r="D1393" s="1">
        <v>42367</v>
      </c>
      <c r="E1393">
        <v>22</v>
      </c>
      <c r="F1393" t="s">
        <v>331</v>
      </c>
      <c r="G1393" t="s">
        <v>16</v>
      </c>
      <c r="H1393" t="s">
        <v>1763</v>
      </c>
      <c r="I1393">
        <v>3.9830999999999999</v>
      </c>
      <c r="J1393">
        <v>44992.73</v>
      </c>
      <c r="K1393">
        <v>11295.907710075067</v>
      </c>
    </row>
    <row r="1394" spans="1:11" x14ac:dyDescent="0.25">
      <c r="A1394" t="s">
        <v>428</v>
      </c>
      <c r="B1394" t="s">
        <v>1231</v>
      </c>
      <c r="C1394" s="1">
        <v>42361</v>
      </c>
      <c r="D1394" s="1">
        <v>42367</v>
      </c>
      <c r="E1394">
        <v>22</v>
      </c>
      <c r="F1394" t="s">
        <v>331</v>
      </c>
      <c r="G1394" t="s">
        <v>16</v>
      </c>
      <c r="H1394" t="s">
        <v>1764</v>
      </c>
      <c r="I1394">
        <v>3.9769999999999999</v>
      </c>
      <c r="J1394">
        <v>944.63</v>
      </c>
      <c r="K1394">
        <v>237.52325873774203</v>
      </c>
    </row>
    <row r="1395" spans="1:11" x14ac:dyDescent="0.25">
      <c r="A1395" t="s">
        <v>429</v>
      </c>
      <c r="B1395" t="s">
        <v>1216</v>
      </c>
      <c r="C1395" s="1">
        <v>42364</v>
      </c>
      <c r="D1395" s="1">
        <v>42367</v>
      </c>
      <c r="E1395">
        <v>5</v>
      </c>
      <c r="F1395" t="s">
        <v>675</v>
      </c>
      <c r="G1395" t="s">
        <v>16</v>
      </c>
      <c r="H1395" t="s">
        <v>1765</v>
      </c>
      <c r="I1395">
        <v>3.9523999999999999</v>
      </c>
      <c r="J1395">
        <v>31026</v>
      </c>
      <c r="K1395">
        <v>7849.9139763181865</v>
      </c>
    </row>
    <row r="1396" spans="1:11" x14ac:dyDescent="0.25">
      <c r="A1396" t="s">
        <v>428</v>
      </c>
      <c r="B1396" t="s">
        <v>1231</v>
      </c>
      <c r="C1396" s="1">
        <v>42360</v>
      </c>
      <c r="D1396" s="1">
        <v>42381</v>
      </c>
      <c r="E1396">
        <v>22</v>
      </c>
      <c r="F1396" t="s">
        <v>331</v>
      </c>
      <c r="G1396" t="s">
        <v>16</v>
      </c>
      <c r="H1396" t="s">
        <v>5194</v>
      </c>
      <c r="I1396">
        <v>3.9830999999999999</v>
      </c>
      <c r="J1396">
        <v>65696.89</v>
      </c>
      <c r="K1396">
        <v>16493.909266651604</v>
      </c>
    </row>
    <row r="1397" spans="1:11" x14ac:dyDescent="0.25">
      <c r="A1397" t="s">
        <v>429</v>
      </c>
      <c r="B1397" t="s">
        <v>1216</v>
      </c>
      <c r="C1397" s="1">
        <v>42391</v>
      </c>
      <c r="D1397" s="1">
        <v>42404</v>
      </c>
      <c r="E1397">
        <v>5</v>
      </c>
      <c r="F1397" t="s">
        <v>301</v>
      </c>
      <c r="G1397" t="s">
        <v>16</v>
      </c>
      <c r="H1397" t="s">
        <v>1766</v>
      </c>
      <c r="I1397">
        <v>4.1558000000000002</v>
      </c>
      <c r="J1397">
        <v>12487.31</v>
      </c>
      <c r="K1397">
        <v>3004.7908946532557</v>
      </c>
    </row>
    <row r="1398" spans="1:11" x14ac:dyDescent="0.25">
      <c r="A1398" t="s">
        <v>428</v>
      </c>
      <c r="B1398" t="s">
        <v>1231</v>
      </c>
      <c r="C1398" s="1">
        <v>42358</v>
      </c>
      <c r="D1398" s="1">
        <v>42374</v>
      </c>
      <c r="E1398">
        <v>22</v>
      </c>
      <c r="F1398" t="s">
        <v>331</v>
      </c>
      <c r="G1398" t="s">
        <v>16</v>
      </c>
      <c r="H1398" t="s">
        <v>5195</v>
      </c>
      <c r="I1398">
        <v>3.9062000000000001</v>
      </c>
      <c r="J1398">
        <v>32570.23</v>
      </c>
      <c r="K1398">
        <v>8338.0856074957755</v>
      </c>
    </row>
    <row r="1399" spans="1:11" x14ac:dyDescent="0.25">
      <c r="A1399" t="s">
        <v>489</v>
      </c>
      <c r="B1399" t="s">
        <v>1767</v>
      </c>
      <c r="C1399" s="1">
        <v>42399</v>
      </c>
      <c r="D1399" s="1">
        <v>42402</v>
      </c>
      <c r="E1399">
        <v>570</v>
      </c>
      <c r="F1399" t="s">
        <v>331</v>
      </c>
      <c r="G1399" t="s">
        <v>16</v>
      </c>
      <c r="H1399" t="s">
        <v>1768</v>
      </c>
      <c r="I1399">
        <v>4.0427999999999997</v>
      </c>
      <c r="J1399">
        <v>69066.460000000006</v>
      </c>
      <c r="K1399">
        <v>17083.818145839516</v>
      </c>
    </row>
    <row r="1400" spans="1:11" x14ac:dyDescent="0.25">
      <c r="A1400" t="s">
        <v>410</v>
      </c>
      <c r="B1400" t="s">
        <v>1250</v>
      </c>
      <c r="C1400" s="1">
        <v>42426</v>
      </c>
      <c r="D1400" s="1">
        <v>42430</v>
      </c>
      <c r="E1400">
        <v>2108</v>
      </c>
      <c r="F1400" t="s">
        <v>409</v>
      </c>
      <c r="G1400" t="s">
        <v>16</v>
      </c>
      <c r="H1400" t="s">
        <v>5196</v>
      </c>
      <c r="I1400">
        <v>3.94</v>
      </c>
      <c r="J1400">
        <v>48758.97</v>
      </c>
      <c r="K1400">
        <v>12375.373096446701</v>
      </c>
    </row>
    <row r="1401" spans="1:11" x14ac:dyDescent="0.25">
      <c r="A1401" t="s">
        <v>118</v>
      </c>
      <c r="B1401" t="s">
        <v>119</v>
      </c>
      <c r="C1401" s="1">
        <v>42423</v>
      </c>
      <c r="D1401" s="1">
        <v>42431</v>
      </c>
      <c r="E1401">
        <v>2</v>
      </c>
      <c r="F1401" t="s">
        <v>301</v>
      </c>
      <c r="G1401" t="s">
        <v>16</v>
      </c>
      <c r="H1401" t="s">
        <v>5197</v>
      </c>
      <c r="I1401">
        <v>3.9618000000000002</v>
      </c>
      <c r="J1401">
        <v>67230</v>
      </c>
      <c r="K1401">
        <v>16969.559291231257</v>
      </c>
    </row>
    <row r="1402" spans="1:11" x14ac:dyDescent="0.25">
      <c r="A1402" t="s">
        <v>428</v>
      </c>
      <c r="B1402" t="s">
        <v>1231</v>
      </c>
      <c r="C1402" s="1">
        <v>42424</v>
      </c>
      <c r="D1402" s="1">
        <v>42431</v>
      </c>
      <c r="E1402">
        <v>22</v>
      </c>
      <c r="F1402" t="s">
        <v>331</v>
      </c>
      <c r="G1402" t="s">
        <v>16</v>
      </c>
      <c r="H1402" t="s">
        <v>5198</v>
      </c>
      <c r="I1402">
        <v>3.9683999999999999</v>
      </c>
      <c r="J1402">
        <v>39583.769999999997</v>
      </c>
      <c r="K1402">
        <v>9974.7429694587245</v>
      </c>
    </row>
    <row r="1403" spans="1:11" x14ac:dyDescent="0.25">
      <c r="A1403" t="s">
        <v>472</v>
      </c>
      <c r="B1403" t="s">
        <v>1769</v>
      </c>
      <c r="C1403" s="1">
        <v>42405</v>
      </c>
      <c r="D1403" s="1">
        <v>42420</v>
      </c>
      <c r="E1403">
        <v>782</v>
      </c>
      <c r="F1403" t="s">
        <v>301</v>
      </c>
      <c r="G1403" t="s">
        <v>16</v>
      </c>
      <c r="H1403" t="s">
        <v>1770</v>
      </c>
      <c r="I1403">
        <v>3.8653</v>
      </c>
      <c r="J1403">
        <v>17150.41</v>
      </c>
      <c r="K1403">
        <v>4437.0191188264816</v>
      </c>
    </row>
    <row r="1404" spans="1:11" x14ac:dyDescent="0.25">
      <c r="A1404" t="s">
        <v>429</v>
      </c>
      <c r="B1404" t="s">
        <v>1216</v>
      </c>
      <c r="C1404" s="1">
        <v>42425</v>
      </c>
      <c r="D1404" s="1">
        <v>42431</v>
      </c>
      <c r="E1404">
        <v>5</v>
      </c>
      <c r="F1404" t="s">
        <v>675</v>
      </c>
      <c r="G1404" t="s">
        <v>16</v>
      </c>
      <c r="H1404" t="s">
        <v>1771</v>
      </c>
      <c r="I1404">
        <v>3.99</v>
      </c>
      <c r="J1404">
        <v>56563.199999999997</v>
      </c>
      <c r="K1404">
        <v>14176.24060150376</v>
      </c>
    </row>
    <row r="1405" spans="1:11" x14ac:dyDescent="0.25">
      <c r="A1405" t="s">
        <v>354</v>
      </c>
      <c r="B1405" t="s">
        <v>1246</v>
      </c>
      <c r="C1405" s="1">
        <v>42381</v>
      </c>
      <c r="D1405" s="1">
        <v>42431</v>
      </c>
      <c r="E1405">
        <v>1922</v>
      </c>
      <c r="F1405" t="s">
        <v>301</v>
      </c>
      <c r="G1405" t="s">
        <v>16</v>
      </c>
      <c r="H1405" t="s">
        <v>1772</v>
      </c>
      <c r="I1405">
        <v>4.0152999999999999</v>
      </c>
      <c r="J1405">
        <v>21682.62</v>
      </c>
      <c r="K1405">
        <v>5400</v>
      </c>
    </row>
    <row r="1406" spans="1:11" x14ac:dyDescent="0.25">
      <c r="A1406" t="s">
        <v>218</v>
      </c>
      <c r="B1406" t="s">
        <v>219</v>
      </c>
      <c r="C1406" s="1">
        <v>42423</v>
      </c>
      <c r="D1406" s="1">
        <v>42431</v>
      </c>
      <c r="E1406">
        <v>2</v>
      </c>
      <c r="F1406" t="s">
        <v>301</v>
      </c>
      <c r="G1406" t="s">
        <v>16</v>
      </c>
      <c r="H1406" t="s">
        <v>1773</v>
      </c>
      <c r="I1406">
        <v>3.9618000000000002</v>
      </c>
      <c r="J1406">
        <v>67229.960000000006</v>
      </c>
      <c r="K1406">
        <v>16969.549194810439</v>
      </c>
    </row>
    <row r="1407" spans="1:11" x14ac:dyDescent="0.25">
      <c r="A1407" t="s">
        <v>218</v>
      </c>
      <c r="B1407" t="s">
        <v>219</v>
      </c>
      <c r="C1407" s="1">
        <v>42423</v>
      </c>
      <c r="D1407" s="1">
        <v>42431</v>
      </c>
      <c r="E1407">
        <v>2</v>
      </c>
      <c r="F1407" t="s">
        <v>301</v>
      </c>
      <c r="G1407" t="s">
        <v>16</v>
      </c>
      <c r="H1407" t="s">
        <v>5199</v>
      </c>
      <c r="I1407">
        <v>3.9618000000000002</v>
      </c>
      <c r="J1407">
        <v>67230</v>
      </c>
      <c r="K1407">
        <v>16969.559291231257</v>
      </c>
    </row>
    <row r="1408" spans="1:11" x14ac:dyDescent="0.25">
      <c r="A1408" t="s">
        <v>218</v>
      </c>
      <c r="B1408" t="s">
        <v>219</v>
      </c>
      <c r="C1408" s="1">
        <v>42423</v>
      </c>
      <c r="D1408" s="1">
        <v>42431</v>
      </c>
      <c r="E1408">
        <v>2</v>
      </c>
      <c r="F1408" t="s">
        <v>301</v>
      </c>
      <c r="G1408" t="s">
        <v>16</v>
      </c>
      <c r="H1408" t="s">
        <v>1774</v>
      </c>
      <c r="I1408">
        <v>3.9618000000000002</v>
      </c>
      <c r="J1408">
        <v>67230</v>
      </c>
      <c r="K1408">
        <v>16969.559291231257</v>
      </c>
    </row>
    <row r="1409" spans="1:11" x14ac:dyDescent="0.25">
      <c r="A1409" t="s">
        <v>1775</v>
      </c>
      <c r="B1409" t="s">
        <v>1776</v>
      </c>
      <c r="C1409" s="1">
        <v>42412</v>
      </c>
      <c r="D1409" s="1">
        <v>42431</v>
      </c>
      <c r="E1409">
        <v>2706</v>
      </c>
      <c r="F1409" t="s">
        <v>1413</v>
      </c>
      <c r="G1409" t="s">
        <v>16</v>
      </c>
      <c r="H1409" t="s">
        <v>1777</v>
      </c>
      <c r="I1409">
        <v>3.9641999999999999</v>
      </c>
      <c r="J1409">
        <v>17390.3</v>
      </c>
      <c r="K1409">
        <v>4386.8371928762426</v>
      </c>
    </row>
    <row r="1410" spans="1:11" x14ac:dyDescent="0.25">
      <c r="A1410" t="s">
        <v>463</v>
      </c>
      <c r="B1410" t="s">
        <v>1185</v>
      </c>
      <c r="C1410" s="1">
        <v>42408</v>
      </c>
      <c r="D1410" s="1">
        <v>42417</v>
      </c>
      <c r="E1410">
        <v>2</v>
      </c>
      <c r="F1410" t="s">
        <v>675</v>
      </c>
      <c r="G1410" t="s">
        <v>16</v>
      </c>
      <c r="H1410" t="s">
        <v>5200</v>
      </c>
      <c r="I1410">
        <v>3.8975</v>
      </c>
      <c r="J1410">
        <v>79830</v>
      </c>
      <c r="K1410">
        <v>20482.360487491984</v>
      </c>
    </row>
    <row r="1411" spans="1:11" x14ac:dyDescent="0.25">
      <c r="A1411" t="s">
        <v>473</v>
      </c>
      <c r="B1411" t="s">
        <v>1248</v>
      </c>
      <c r="C1411" s="1">
        <v>42410</v>
      </c>
      <c r="D1411" s="1">
        <v>42418</v>
      </c>
      <c r="E1411">
        <v>641</v>
      </c>
      <c r="F1411" t="s">
        <v>409</v>
      </c>
      <c r="G1411" t="s">
        <v>16</v>
      </c>
      <c r="H1411" t="s">
        <v>1778</v>
      </c>
      <c r="I1411">
        <v>3.8975</v>
      </c>
      <c r="J1411">
        <v>66898</v>
      </c>
      <c r="K1411">
        <v>17164.336112892881</v>
      </c>
    </row>
    <row r="1412" spans="1:11" x14ac:dyDescent="0.25">
      <c r="A1412" t="s">
        <v>4022</v>
      </c>
      <c r="B1412" t="s">
        <v>4023</v>
      </c>
      <c r="C1412" s="1">
        <v>42418</v>
      </c>
      <c r="D1412" s="1">
        <v>42431</v>
      </c>
      <c r="E1412">
        <v>677</v>
      </c>
      <c r="F1412" t="s">
        <v>1413</v>
      </c>
      <c r="G1412" t="s">
        <v>16</v>
      </c>
      <c r="H1412" t="s">
        <v>5201</v>
      </c>
      <c r="I1412">
        <v>4.0317999999999996</v>
      </c>
      <c r="J1412">
        <v>14149.51</v>
      </c>
      <c r="K1412">
        <v>3509.4771566049903</v>
      </c>
    </row>
    <row r="1413" spans="1:11" x14ac:dyDescent="0.25">
      <c r="A1413" t="s">
        <v>179</v>
      </c>
      <c r="B1413" t="s">
        <v>180</v>
      </c>
      <c r="C1413" s="1">
        <v>42397</v>
      </c>
      <c r="D1413" s="1">
        <v>42399</v>
      </c>
      <c r="E1413">
        <v>1</v>
      </c>
      <c r="F1413" t="s">
        <v>368</v>
      </c>
      <c r="G1413" t="s">
        <v>16</v>
      </c>
      <c r="H1413" t="s">
        <v>5202</v>
      </c>
      <c r="I1413">
        <v>4.0448000000000004</v>
      </c>
      <c r="J1413">
        <v>73153.88</v>
      </c>
      <c r="K1413">
        <v>18085.907832278481</v>
      </c>
    </row>
    <row r="1414" spans="1:11" x14ac:dyDescent="0.25">
      <c r="A1414" t="s">
        <v>179</v>
      </c>
      <c r="B1414" t="s">
        <v>180</v>
      </c>
      <c r="C1414" s="1">
        <v>42398</v>
      </c>
      <c r="D1414" s="1">
        <v>42402</v>
      </c>
      <c r="E1414">
        <v>1</v>
      </c>
      <c r="F1414" t="s">
        <v>368</v>
      </c>
      <c r="G1414" t="s">
        <v>16</v>
      </c>
      <c r="H1414" t="s">
        <v>1779</v>
      </c>
      <c r="I1414">
        <v>4.0838000000000001</v>
      </c>
      <c r="J1414">
        <v>73859.289999999994</v>
      </c>
      <c r="K1414">
        <v>18085.922425192224</v>
      </c>
    </row>
    <row r="1415" spans="1:11" x14ac:dyDescent="0.25">
      <c r="A1415" t="s">
        <v>179</v>
      </c>
      <c r="B1415" t="s">
        <v>180</v>
      </c>
      <c r="C1415" s="1">
        <v>42398</v>
      </c>
      <c r="D1415" s="1">
        <v>42402</v>
      </c>
      <c r="E1415">
        <v>1</v>
      </c>
      <c r="F1415" t="s">
        <v>368</v>
      </c>
      <c r="G1415" t="s">
        <v>16</v>
      </c>
      <c r="H1415" t="s">
        <v>1780</v>
      </c>
      <c r="I1415">
        <v>4.0838000000000001</v>
      </c>
      <c r="J1415">
        <v>71554.350000000006</v>
      </c>
      <c r="K1415">
        <v>17521.511827219747</v>
      </c>
    </row>
    <row r="1416" spans="1:11" x14ac:dyDescent="0.25">
      <c r="A1416" t="s">
        <v>179</v>
      </c>
      <c r="B1416" t="s">
        <v>180</v>
      </c>
      <c r="C1416" s="1">
        <v>42398</v>
      </c>
      <c r="D1416" s="1">
        <v>42403</v>
      </c>
      <c r="E1416">
        <v>1</v>
      </c>
      <c r="F1416" t="s">
        <v>368</v>
      </c>
      <c r="G1416" t="s">
        <v>16</v>
      </c>
      <c r="H1416" t="s">
        <v>5203</v>
      </c>
      <c r="I1416">
        <v>4.0838000000000001</v>
      </c>
      <c r="J1416">
        <v>38560.49</v>
      </c>
      <c r="K1416">
        <v>9442.306185415544</v>
      </c>
    </row>
    <row r="1417" spans="1:11" x14ac:dyDescent="0.25">
      <c r="A1417" t="s">
        <v>332</v>
      </c>
      <c r="B1417" t="s">
        <v>1241</v>
      </c>
      <c r="C1417" s="1">
        <v>42420</v>
      </c>
      <c r="D1417" s="1">
        <v>42427</v>
      </c>
      <c r="E1417">
        <v>2758</v>
      </c>
      <c r="F1417" t="s">
        <v>331</v>
      </c>
      <c r="G1417" t="s">
        <v>16</v>
      </c>
      <c r="H1417" t="s">
        <v>5204</v>
      </c>
      <c r="I1417">
        <v>4.0491999999999999</v>
      </c>
      <c r="J1417">
        <v>786.24</v>
      </c>
      <c r="K1417">
        <v>194.17168823471303</v>
      </c>
    </row>
    <row r="1418" spans="1:11" x14ac:dyDescent="0.25">
      <c r="A1418" t="s">
        <v>410</v>
      </c>
      <c r="B1418" t="s">
        <v>1250</v>
      </c>
      <c r="C1418" s="1">
        <v>42430</v>
      </c>
      <c r="D1418" s="1">
        <v>42436</v>
      </c>
      <c r="E1418">
        <v>2108</v>
      </c>
      <c r="F1418" t="s">
        <v>409</v>
      </c>
      <c r="G1418" t="s">
        <v>16</v>
      </c>
      <c r="H1418" t="s">
        <v>1781</v>
      </c>
      <c r="I1418">
        <v>3.9796</v>
      </c>
      <c r="J1418">
        <v>48758.97</v>
      </c>
      <c r="K1418">
        <v>12252.228867222837</v>
      </c>
    </row>
    <row r="1419" spans="1:11" x14ac:dyDescent="0.25">
      <c r="A1419" t="s">
        <v>147</v>
      </c>
      <c r="B1419" t="s">
        <v>148</v>
      </c>
      <c r="C1419" s="1">
        <v>42458</v>
      </c>
      <c r="D1419" s="1">
        <v>42465</v>
      </c>
      <c r="E1419">
        <v>3</v>
      </c>
      <c r="F1419" t="s">
        <v>331</v>
      </c>
      <c r="G1419" t="s">
        <v>16</v>
      </c>
      <c r="H1419" t="s">
        <v>1782</v>
      </c>
      <c r="I1419">
        <v>3.6408</v>
      </c>
      <c r="J1419">
        <v>60567</v>
      </c>
      <c r="K1419">
        <v>16635.629531970997</v>
      </c>
    </row>
    <row r="1420" spans="1:11" x14ac:dyDescent="0.25">
      <c r="A1420" t="s">
        <v>1253</v>
      </c>
      <c r="B1420" t="s">
        <v>1254</v>
      </c>
      <c r="C1420" s="1">
        <v>42436</v>
      </c>
      <c r="D1420" s="1">
        <v>42440</v>
      </c>
      <c r="E1420">
        <v>2359</v>
      </c>
      <c r="F1420" t="s">
        <v>1255</v>
      </c>
      <c r="G1420" t="s">
        <v>16</v>
      </c>
      <c r="H1420" t="s">
        <v>1783</v>
      </c>
      <c r="I1420">
        <v>3.7187999999999999</v>
      </c>
      <c r="J1420">
        <v>297261.82</v>
      </c>
      <c r="K1420">
        <v>79934.876841992038</v>
      </c>
    </row>
    <row r="1421" spans="1:11" x14ac:dyDescent="0.25">
      <c r="A1421" t="s">
        <v>104</v>
      </c>
      <c r="B1421" t="s">
        <v>105</v>
      </c>
      <c r="C1421" s="1">
        <v>42452</v>
      </c>
      <c r="D1421" s="1">
        <v>42458</v>
      </c>
      <c r="E1421">
        <v>3</v>
      </c>
      <c r="F1421" t="s">
        <v>331</v>
      </c>
      <c r="G1421" t="s">
        <v>16</v>
      </c>
      <c r="H1421" t="s">
        <v>5205</v>
      </c>
      <c r="I1421">
        <v>3.6073</v>
      </c>
      <c r="J1421">
        <v>73777.47</v>
      </c>
      <c r="K1421">
        <v>20452.26901006293</v>
      </c>
    </row>
    <row r="1422" spans="1:11" x14ac:dyDescent="0.25">
      <c r="A1422" t="s">
        <v>104</v>
      </c>
      <c r="B1422" t="s">
        <v>105</v>
      </c>
      <c r="C1422" s="1">
        <v>42453</v>
      </c>
      <c r="D1422" s="1">
        <v>42458</v>
      </c>
      <c r="E1422">
        <v>3</v>
      </c>
      <c r="F1422" t="s">
        <v>331</v>
      </c>
      <c r="G1422" t="s">
        <v>16</v>
      </c>
      <c r="H1422" t="s">
        <v>1784</v>
      </c>
      <c r="I1422">
        <v>3.6530999999999998</v>
      </c>
      <c r="J1422">
        <v>74683.44</v>
      </c>
      <c r="K1422">
        <v>20443.853165804387</v>
      </c>
    </row>
    <row r="1423" spans="1:11" x14ac:dyDescent="0.25">
      <c r="A1423" t="s">
        <v>104</v>
      </c>
      <c r="B1423" t="s">
        <v>105</v>
      </c>
      <c r="C1423" s="1">
        <v>42453</v>
      </c>
      <c r="D1423" s="1">
        <v>42458</v>
      </c>
      <c r="E1423">
        <v>3</v>
      </c>
      <c r="F1423" t="s">
        <v>331</v>
      </c>
      <c r="G1423" t="s">
        <v>16</v>
      </c>
      <c r="H1423" t="s">
        <v>1785</v>
      </c>
      <c r="I1423">
        <v>3.6530999999999998</v>
      </c>
      <c r="J1423">
        <v>92960.4</v>
      </c>
      <c r="K1423">
        <v>25446.990227478032</v>
      </c>
    </row>
    <row r="1424" spans="1:11" x14ac:dyDescent="0.25">
      <c r="A1424" t="s">
        <v>147</v>
      </c>
      <c r="B1424" t="s">
        <v>148</v>
      </c>
      <c r="C1424" s="1">
        <v>42453</v>
      </c>
      <c r="D1424" s="1">
        <v>42459</v>
      </c>
      <c r="E1424">
        <v>3</v>
      </c>
      <c r="F1424" t="s">
        <v>331</v>
      </c>
      <c r="G1424" t="s">
        <v>16</v>
      </c>
      <c r="H1424" t="s">
        <v>1786</v>
      </c>
      <c r="I1424">
        <v>3.6530999999999998</v>
      </c>
      <c r="J1424">
        <v>94107</v>
      </c>
      <c r="K1424">
        <v>25760.86063890942</v>
      </c>
    </row>
    <row r="1425" spans="1:11" x14ac:dyDescent="0.25">
      <c r="A1425" t="s">
        <v>147</v>
      </c>
      <c r="B1425" t="s">
        <v>148</v>
      </c>
      <c r="C1425" s="1">
        <v>42454</v>
      </c>
      <c r="D1425" s="1">
        <v>42459</v>
      </c>
      <c r="E1425">
        <v>3</v>
      </c>
      <c r="F1425" t="s">
        <v>331</v>
      </c>
      <c r="G1425" t="s">
        <v>16</v>
      </c>
      <c r="H1425" t="s">
        <v>1787</v>
      </c>
      <c r="I1425">
        <v>3.6947999999999999</v>
      </c>
      <c r="J1425">
        <v>72306</v>
      </c>
      <c r="K1425">
        <v>19569.665475803831</v>
      </c>
    </row>
    <row r="1426" spans="1:11" x14ac:dyDescent="0.25">
      <c r="A1426" t="s">
        <v>104</v>
      </c>
      <c r="B1426" t="s">
        <v>105</v>
      </c>
      <c r="C1426" s="1">
        <v>42452</v>
      </c>
      <c r="D1426" s="1">
        <v>42459</v>
      </c>
      <c r="E1426">
        <v>3</v>
      </c>
      <c r="F1426" t="s">
        <v>331</v>
      </c>
      <c r="G1426" t="s">
        <v>16</v>
      </c>
      <c r="H1426" t="s">
        <v>5206</v>
      </c>
      <c r="I1426">
        <v>3.6073</v>
      </c>
      <c r="J1426">
        <v>71453.460000000006</v>
      </c>
      <c r="K1426">
        <v>19808.017076483797</v>
      </c>
    </row>
    <row r="1427" spans="1:11" x14ac:dyDescent="0.25">
      <c r="A1427" t="s">
        <v>147</v>
      </c>
      <c r="B1427" t="s">
        <v>148</v>
      </c>
      <c r="C1427" s="1">
        <v>42453</v>
      </c>
      <c r="D1427" s="1">
        <v>42459</v>
      </c>
      <c r="E1427">
        <v>3</v>
      </c>
      <c r="F1427" t="s">
        <v>331</v>
      </c>
      <c r="G1427" t="s">
        <v>16</v>
      </c>
      <c r="H1427" t="s">
        <v>1788</v>
      </c>
      <c r="I1427">
        <v>3.6530999999999998</v>
      </c>
      <c r="J1427">
        <v>89856</v>
      </c>
      <c r="K1427">
        <v>24597.191426459718</v>
      </c>
    </row>
    <row r="1428" spans="1:11" x14ac:dyDescent="0.25">
      <c r="A1428" t="s">
        <v>147</v>
      </c>
      <c r="B1428" t="s">
        <v>148</v>
      </c>
      <c r="C1428" s="1">
        <v>42453</v>
      </c>
      <c r="D1428" s="1">
        <v>42459</v>
      </c>
      <c r="E1428">
        <v>3</v>
      </c>
      <c r="F1428" t="s">
        <v>331</v>
      </c>
      <c r="G1428" t="s">
        <v>16</v>
      </c>
      <c r="H1428" t="s">
        <v>1789</v>
      </c>
      <c r="I1428">
        <v>3.6530999999999998</v>
      </c>
      <c r="J1428">
        <v>59787</v>
      </c>
      <c r="K1428">
        <v>16366.100024636609</v>
      </c>
    </row>
    <row r="1429" spans="1:11" x14ac:dyDescent="0.25">
      <c r="A1429" t="s">
        <v>1265</v>
      </c>
      <c r="B1429" t="s">
        <v>1266</v>
      </c>
      <c r="C1429" s="1">
        <v>42468</v>
      </c>
      <c r="D1429" s="1">
        <v>42474</v>
      </c>
      <c r="E1429">
        <v>4070</v>
      </c>
      <c r="F1429" t="s">
        <v>331</v>
      </c>
      <c r="G1429" t="s">
        <v>16</v>
      </c>
      <c r="H1429" t="s">
        <v>5207</v>
      </c>
      <c r="I1429">
        <v>3.6920999999999999</v>
      </c>
      <c r="J1429">
        <v>45180.23</v>
      </c>
      <c r="K1429">
        <v>12237.000622951708</v>
      </c>
    </row>
    <row r="1430" spans="1:11" x14ac:dyDescent="0.25">
      <c r="A1430" t="s">
        <v>1265</v>
      </c>
      <c r="B1430" t="s">
        <v>1266</v>
      </c>
      <c r="C1430" s="1">
        <v>42468</v>
      </c>
      <c r="D1430" s="1">
        <v>42474</v>
      </c>
      <c r="E1430">
        <v>4070</v>
      </c>
      <c r="F1430" t="s">
        <v>331</v>
      </c>
      <c r="G1430" t="s">
        <v>16</v>
      </c>
      <c r="H1430" t="s">
        <v>5208</v>
      </c>
      <c r="I1430">
        <v>3.6920999999999999</v>
      </c>
      <c r="J1430">
        <v>38789.199999999997</v>
      </c>
      <c r="K1430">
        <v>10505.999295793721</v>
      </c>
    </row>
    <row r="1431" spans="1:11" x14ac:dyDescent="0.25">
      <c r="A1431" t="s">
        <v>137</v>
      </c>
      <c r="B1431" t="s">
        <v>138</v>
      </c>
      <c r="C1431" s="1">
        <v>42459</v>
      </c>
      <c r="D1431" s="1">
        <v>42478</v>
      </c>
      <c r="E1431">
        <v>5</v>
      </c>
      <c r="F1431" t="s">
        <v>301</v>
      </c>
      <c r="G1431" t="s">
        <v>16</v>
      </c>
      <c r="H1431" t="s">
        <v>1790</v>
      </c>
      <c r="I1431">
        <v>3.6686999999999999</v>
      </c>
      <c r="J1431">
        <v>266129.99</v>
      </c>
      <c r="K1431">
        <v>72540.679259683267</v>
      </c>
    </row>
    <row r="1432" spans="1:11" x14ac:dyDescent="0.25">
      <c r="A1432" t="s">
        <v>128</v>
      </c>
      <c r="B1432" t="s">
        <v>129</v>
      </c>
      <c r="C1432" s="1">
        <v>42452</v>
      </c>
      <c r="D1432" s="1">
        <v>42464</v>
      </c>
      <c r="E1432">
        <v>2</v>
      </c>
      <c r="F1432" t="s">
        <v>331</v>
      </c>
      <c r="G1432" t="s">
        <v>16</v>
      </c>
      <c r="H1432" t="s">
        <v>5209</v>
      </c>
      <c r="I1432">
        <v>3.6073</v>
      </c>
      <c r="J1432">
        <v>74391.33</v>
      </c>
      <c r="K1432">
        <v>20622.440606547832</v>
      </c>
    </row>
    <row r="1433" spans="1:11" x14ac:dyDescent="0.25">
      <c r="A1433" t="s">
        <v>1243</v>
      </c>
      <c r="B1433" t="s">
        <v>1244</v>
      </c>
      <c r="C1433" s="1">
        <v>42445</v>
      </c>
      <c r="D1433" s="1">
        <v>42447</v>
      </c>
      <c r="E1433">
        <v>2461</v>
      </c>
      <c r="F1433" t="s">
        <v>368</v>
      </c>
      <c r="G1433" t="s">
        <v>16</v>
      </c>
      <c r="H1433" t="s">
        <v>1791</v>
      </c>
      <c r="I1433">
        <v>3.7115999999999998</v>
      </c>
      <c r="J1433">
        <v>57470.559999999998</v>
      </c>
      <c r="K1433">
        <v>15484.039228365125</v>
      </c>
    </row>
    <row r="1434" spans="1:11" x14ac:dyDescent="0.25">
      <c r="A1434" t="s">
        <v>1243</v>
      </c>
      <c r="B1434" t="s">
        <v>1244</v>
      </c>
      <c r="C1434" s="1">
        <v>42440</v>
      </c>
      <c r="D1434" s="1">
        <v>42444</v>
      </c>
      <c r="E1434">
        <v>2461</v>
      </c>
      <c r="F1434" t="s">
        <v>368</v>
      </c>
      <c r="G1434" t="s">
        <v>16</v>
      </c>
      <c r="H1434" t="s">
        <v>5210</v>
      </c>
      <c r="I1434">
        <v>3.67</v>
      </c>
      <c r="J1434">
        <v>55154.67</v>
      </c>
      <c r="K1434">
        <v>15028.520435967303</v>
      </c>
    </row>
    <row r="1435" spans="1:11" x14ac:dyDescent="0.25">
      <c r="A1435" t="s">
        <v>1243</v>
      </c>
      <c r="B1435" t="s">
        <v>1244</v>
      </c>
      <c r="C1435" s="1">
        <v>42442</v>
      </c>
      <c r="D1435" s="1">
        <v>42445</v>
      </c>
      <c r="E1435">
        <v>2461</v>
      </c>
      <c r="F1435" t="s">
        <v>368</v>
      </c>
      <c r="G1435" t="s">
        <v>16</v>
      </c>
      <c r="H1435" t="s">
        <v>5211</v>
      </c>
      <c r="I1435">
        <v>3.6271</v>
      </c>
      <c r="J1435">
        <v>39354.730000000003</v>
      </c>
      <c r="K1435">
        <v>10850.191613134461</v>
      </c>
    </row>
    <row r="1436" spans="1:11" x14ac:dyDescent="0.25">
      <c r="A1436" t="s">
        <v>1243</v>
      </c>
      <c r="B1436" t="s">
        <v>1244</v>
      </c>
      <c r="C1436" s="1">
        <v>42442</v>
      </c>
      <c r="D1436" s="1">
        <v>42445</v>
      </c>
      <c r="E1436">
        <v>2461</v>
      </c>
      <c r="F1436" t="s">
        <v>368</v>
      </c>
      <c r="G1436" t="s">
        <v>16</v>
      </c>
      <c r="H1436" t="s">
        <v>1792</v>
      </c>
      <c r="I1436">
        <v>3.6271</v>
      </c>
      <c r="J1436">
        <v>32290.78</v>
      </c>
      <c r="K1436">
        <v>8902.6439855531971</v>
      </c>
    </row>
    <row r="1437" spans="1:11" x14ac:dyDescent="0.25">
      <c r="A1437" t="s">
        <v>353</v>
      </c>
      <c r="B1437" t="s">
        <v>352</v>
      </c>
      <c r="C1437" s="1">
        <v>42444</v>
      </c>
      <c r="D1437" s="1">
        <v>42448</v>
      </c>
      <c r="E1437">
        <v>981</v>
      </c>
      <c r="F1437" t="s">
        <v>675</v>
      </c>
      <c r="G1437" t="s">
        <v>16</v>
      </c>
      <c r="H1437" t="s">
        <v>1793</v>
      </c>
      <c r="I1437">
        <v>3.6238999999999999</v>
      </c>
      <c r="J1437">
        <v>113022</v>
      </c>
      <c r="K1437">
        <v>31187.946687270622</v>
      </c>
    </row>
    <row r="1438" spans="1:11" x14ac:dyDescent="0.25">
      <c r="A1438" t="s">
        <v>147</v>
      </c>
      <c r="B1438" t="s">
        <v>148</v>
      </c>
      <c r="C1438" s="1">
        <v>42455</v>
      </c>
      <c r="D1438" s="1">
        <v>42461</v>
      </c>
      <c r="E1438">
        <v>3</v>
      </c>
      <c r="F1438" t="s">
        <v>331</v>
      </c>
      <c r="G1438" t="s">
        <v>16</v>
      </c>
      <c r="H1438" t="s">
        <v>1794</v>
      </c>
      <c r="I1438">
        <v>3.6947999999999999</v>
      </c>
      <c r="J1438">
        <v>69576</v>
      </c>
      <c r="K1438">
        <v>18830.789217278336</v>
      </c>
    </row>
    <row r="1439" spans="1:11" x14ac:dyDescent="0.25">
      <c r="A1439" t="s">
        <v>147</v>
      </c>
      <c r="B1439" t="s">
        <v>148</v>
      </c>
      <c r="C1439" s="1">
        <v>42457</v>
      </c>
      <c r="D1439" s="1">
        <v>42461</v>
      </c>
      <c r="E1439">
        <v>3</v>
      </c>
      <c r="F1439" t="s">
        <v>331</v>
      </c>
      <c r="G1439" t="s">
        <v>16</v>
      </c>
      <c r="H1439" t="s">
        <v>1795</v>
      </c>
      <c r="I1439">
        <v>3.6947999999999999</v>
      </c>
      <c r="J1439">
        <v>69147</v>
      </c>
      <c r="K1439">
        <v>18714.680090938615</v>
      </c>
    </row>
    <row r="1440" spans="1:11" x14ac:dyDescent="0.25">
      <c r="A1440" t="s">
        <v>428</v>
      </c>
      <c r="B1440" t="s">
        <v>1231</v>
      </c>
      <c r="C1440" s="1">
        <v>42457</v>
      </c>
      <c r="D1440" s="1">
        <v>42462</v>
      </c>
      <c r="E1440">
        <v>22</v>
      </c>
      <c r="F1440" t="s">
        <v>331</v>
      </c>
      <c r="G1440" t="s">
        <v>16</v>
      </c>
      <c r="H1440" t="s">
        <v>1796</v>
      </c>
      <c r="I1440">
        <v>3.6947999999999999</v>
      </c>
      <c r="J1440">
        <v>36529.9</v>
      </c>
      <c r="K1440">
        <v>9886.8409656814983</v>
      </c>
    </row>
    <row r="1441" spans="1:11" x14ac:dyDescent="0.25">
      <c r="A1441" t="s">
        <v>147</v>
      </c>
      <c r="B1441" t="s">
        <v>148</v>
      </c>
      <c r="C1441" s="1">
        <v>42458</v>
      </c>
      <c r="D1441" s="1">
        <v>42464</v>
      </c>
      <c r="E1441">
        <v>3</v>
      </c>
      <c r="F1441" t="s">
        <v>331</v>
      </c>
      <c r="G1441" t="s">
        <v>16</v>
      </c>
      <c r="H1441" t="s">
        <v>5212</v>
      </c>
      <c r="I1441">
        <v>3.6408</v>
      </c>
      <c r="J1441">
        <v>14065.35</v>
      </c>
      <c r="K1441">
        <v>3863.2580751483192</v>
      </c>
    </row>
    <row r="1442" spans="1:11" x14ac:dyDescent="0.25">
      <c r="A1442" t="s">
        <v>147</v>
      </c>
      <c r="B1442" t="s">
        <v>148</v>
      </c>
      <c r="C1442" s="1">
        <v>42458</v>
      </c>
      <c r="D1442" s="1">
        <v>42464</v>
      </c>
      <c r="E1442">
        <v>3</v>
      </c>
      <c r="F1442" t="s">
        <v>331</v>
      </c>
      <c r="G1442" t="s">
        <v>16</v>
      </c>
      <c r="H1442" t="s">
        <v>5213</v>
      </c>
      <c r="I1442">
        <v>3.6408</v>
      </c>
      <c r="J1442">
        <v>92742</v>
      </c>
      <c r="K1442">
        <v>25472.972972972973</v>
      </c>
    </row>
    <row r="1443" spans="1:11" x14ac:dyDescent="0.25">
      <c r="A1443" t="s">
        <v>467</v>
      </c>
      <c r="B1443" t="s">
        <v>3122</v>
      </c>
      <c r="C1443" s="1">
        <v>42282</v>
      </c>
      <c r="D1443" s="1">
        <v>42290</v>
      </c>
      <c r="E1443">
        <v>5</v>
      </c>
      <c r="F1443" t="s">
        <v>675</v>
      </c>
      <c r="G1443" t="s">
        <v>16</v>
      </c>
      <c r="H1443" t="s">
        <v>5214</v>
      </c>
      <c r="I1443">
        <v>4.0010000000000003</v>
      </c>
      <c r="J1443">
        <v>104255</v>
      </c>
      <c r="K1443">
        <v>26057.235691077232</v>
      </c>
    </row>
    <row r="1444" spans="1:11" x14ac:dyDescent="0.25">
      <c r="A1444" t="s">
        <v>1275</v>
      </c>
      <c r="B1444" t="s">
        <v>1276</v>
      </c>
      <c r="C1444" s="1">
        <v>42443</v>
      </c>
      <c r="D1444" s="1">
        <v>42453</v>
      </c>
      <c r="E1444">
        <v>1444</v>
      </c>
      <c r="F1444" t="s">
        <v>368</v>
      </c>
      <c r="G1444" t="s">
        <v>16</v>
      </c>
      <c r="H1444" t="s">
        <v>1797</v>
      </c>
      <c r="I1444">
        <v>3.6271</v>
      </c>
      <c r="J1444">
        <v>59702.5</v>
      </c>
      <c r="K1444">
        <v>16460.119654820657</v>
      </c>
    </row>
    <row r="1445" spans="1:11" x14ac:dyDescent="0.25">
      <c r="A1445" t="s">
        <v>236</v>
      </c>
      <c r="B1445" t="s">
        <v>237</v>
      </c>
      <c r="C1445" s="1">
        <v>42459</v>
      </c>
      <c r="D1445" s="1">
        <v>42474</v>
      </c>
      <c r="E1445">
        <v>3</v>
      </c>
      <c r="F1445" t="s">
        <v>301</v>
      </c>
      <c r="G1445" t="s">
        <v>16</v>
      </c>
      <c r="H1445" t="s">
        <v>5215</v>
      </c>
      <c r="I1445">
        <v>3.6686999999999999</v>
      </c>
      <c r="J1445">
        <v>288644.99</v>
      </c>
      <c r="K1445">
        <v>78677.730531250854</v>
      </c>
    </row>
    <row r="1446" spans="1:11" x14ac:dyDescent="0.25">
      <c r="A1446" t="s">
        <v>147</v>
      </c>
      <c r="B1446" t="s">
        <v>148</v>
      </c>
      <c r="C1446" s="1">
        <v>42453</v>
      </c>
      <c r="D1446" s="1">
        <v>42461</v>
      </c>
      <c r="E1446">
        <v>3</v>
      </c>
      <c r="F1446" t="s">
        <v>331</v>
      </c>
      <c r="G1446" t="s">
        <v>16</v>
      </c>
      <c r="H1446" t="s">
        <v>5216</v>
      </c>
      <c r="I1446">
        <v>3.6530999999999998</v>
      </c>
      <c r="J1446">
        <v>89661</v>
      </c>
      <c r="K1446">
        <v>24543.812104787714</v>
      </c>
    </row>
    <row r="1447" spans="1:11" x14ac:dyDescent="0.25">
      <c r="A1447" t="s">
        <v>270</v>
      </c>
      <c r="B1447" t="s">
        <v>271</v>
      </c>
      <c r="C1447" s="1">
        <v>42521</v>
      </c>
      <c r="D1447" s="1">
        <v>42522</v>
      </c>
      <c r="E1447">
        <v>3</v>
      </c>
      <c r="F1447" t="s">
        <v>368</v>
      </c>
      <c r="G1447" t="s">
        <v>16</v>
      </c>
      <c r="H1447" t="s">
        <v>5217</v>
      </c>
      <c r="I1447">
        <v>3.5996999999999999</v>
      </c>
      <c r="J1447">
        <v>47987.74</v>
      </c>
      <c r="K1447">
        <v>13331.03869766925</v>
      </c>
    </row>
    <row r="1448" spans="1:11" x14ac:dyDescent="0.25">
      <c r="A1448" t="s">
        <v>270</v>
      </c>
      <c r="B1448" t="s">
        <v>271</v>
      </c>
      <c r="C1448" s="1">
        <v>42521</v>
      </c>
      <c r="D1448" s="1">
        <v>42522</v>
      </c>
      <c r="E1448">
        <v>3</v>
      </c>
      <c r="F1448" t="s">
        <v>368</v>
      </c>
      <c r="G1448" t="s">
        <v>16</v>
      </c>
      <c r="H1448" t="s">
        <v>5218</v>
      </c>
      <c r="I1448">
        <v>3.5996999999999999</v>
      </c>
      <c r="J1448">
        <v>48140.36</v>
      </c>
      <c r="K1448">
        <v>13373.436675278495</v>
      </c>
    </row>
    <row r="1449" spans="1:11" x14ac:dyDescent="0.25">
      <c r="A1449" t="s">
        <v>270</v>
      </c>
      <c r="B1449" t="s">
        <v>271</v>
      </c>
      <c r="C1449" s="1">
        <v>42519</v>
      </c>
      <c r="D1449" s="1">
        <v>42522</v>
      </c>
      <c r="E1449">
        <v>3</v>
      </c>
      <c r="F1449" t="s">
        <v>368</v>
      </c>
      <c r="G1449" t="s">
        <v>16</v>
      </c>
      <c r="H1449" t="s">
        <v>1798</v>
      </c>
      <c r="I1449">
        <v>3.6168</v>
      </c>
      <c r="J1449">
        <v>36207.31</v>
      </c>
      <c r="K1449">
        <v>10010.868723733687</v>
      </c>
    </row>
    <row r="1450" spans="1:11" x14ac:dyDescent="0.25">
      <c r="A1450" t="s">
        <v>90</v>
      </c>
      <c r="B1450" t="s">
        <v>91</v>
      </c>
      <c r="C1450" s="1">
        <v>42536</v>
      </c>
      <c r="D1450" s="1">
        <v>42541</v>
      </c>
      <c r="E1450">
        <v>11</v>
      </c>
      <c r="F1450" t="s">
        <v>331</v>
      </c>
      <c r="G1450" t="s">
        <v>16</v>
      </c>
      <c r="H1450" t="s">
        <v>5219</v>
      </c>
      <c r="I1450">
        <v>3.4839000000000002</v>
      </c>
      <c r="J1450">
        <v>45475.8</v>
      </c>
      <c r="K1450">
        <v>13053.130112804616</v>
      </c>
    </row>
    <row r="1451" spans="1:11" x14ac:dyDescent="0.25">
      <c r="A1451" t="s">
        <v>270</v>
      </c>
      <c r="B1451" t="s">
        <v>271</v>
      </c>
      <c r="C1451" s="1">
        <v>42521</v>
      </c>
      <c r="D1451" s="1">
        <v>42527</v>
      </c>
      <c r="E1451">
        <v>3</v>
      </c>
      <c r="F1451" t="s">
        <v>368</v>
      </c>
      <c r="G1451" t="s">
        <v>16</v>
      </c>
      <c r="H1451" t="s">
        <v>1799</v>
      </c>
      <c r="I1451">
        <v>3.5996999999999999</v>
      </c>
      <c r="J1451">
        <v>35778.58</v>
      </c>
      <c r="K1451">
        <v>9939.3227213378887</v>
      </c>
    </row>
    <row r="1452" spans="1:11" x14ac:dyDescent="0.25">
      <c r="A1452" t="s">
        <v>381</v>
      </c>
      <c r="B1452" t="s">
        <v>5220</v>
      </c>
      <c r="C1452" s="1">
        <v>42520</v>
      </c>
      <c r="D1452" s="1">
        <v>42531</v>
      </c>
      <c r="E1452">
        <v>5092</v>
      </c>
      <c r="F1452" t="s">
        <v>338</v>
      </c>
      <c r="G1452" t="s">
        <v>16</v>
      </c>
      <c r="H1452" t="s">
        <v>5221</v>
      </c>
      <c r="I1452">
        <v>3.6168</v>
      </c>
      <c r="J1452">
        <v>99832.8</v>
      </c>
      <c r="K1452">
        <v>27602.521566025214</v>
      </c>
    </row>
    <row r="1453" spans="1:11" x14ac:dyDescent="0.25">
      <c r="A1453" t="s">
        <v>90</v>
      </c>
      <c r="B1453" t="s">
        <v>91</v>
      </c>
      <c r="C1453" s="1">
        <v>42536</v>
      </c>
      <c r="D1453" s="1">
        <v>42545</v>
      </c>
      <c r="E1453">
        <v>11</v>
      </c>
      <c r="F1453" t="s">
        <v>331</v>
      </c>
      <c r="G1453" t="s">
        <v>16</v>
      </c>
      <c r="H1453" t="s">
        <v>5222</v>
      </c>
      <c r="I1453">
        <v>3.4839000000000002</v>
      </c>
      <c r="J1453">
        <v>62067.16</v>
      </c>
      <c r="K1453">
        <v>17815.425241826688</v>
      </c>
    </row>
    <row r="1454" spans="1:11" x14ac:dyDescent="0.25">
      <c r="A1454" t="s">
        <v>212</v>
      </c>
      <c r="B1454" t="s">
        <v>213</v>
      </c>
      <c r="C1454" s="1">
        <v>42555</v>
      </c>
      <c r="D1454" s="1">
        <v>42557</v>
      </c>
      <c r="E1454">
        <v>1</v>
      </c>
      <c r="F1454" t="s">
        <v>368</v>
      </c>
      <c r="G1454" t="s">
        <v>16</v>
      </c>
      <c r="H1454" t="s">
        <v>5223</v>
      </c>
      <c r="I1454">
        <v>3.2298</v>
      </c>
      <c r="J1454">
        <v>42882.37</v>
      </c>
      <c r="K1454">
        <v>13277.097653105455</v>
      </c>
    </row>
    <row r="1455" spans="1:11" x14ac:dyDescent="0.25">
      <c r="A1455" t="s">
        <v>96</v>
      </c>
      <c r="B1455" t="s">
        <v>97</v>
      </c>
      <c r="C1455" s="1">
        <v>42553</v>
      </c>
      <c r="D1455" s="1">
        <v>42571</v>
      </c>
      <c r="E1455">
        <v>1</v>
      </c>
      <c r="F1455" t="s">
        <v>368</v>
      </c>
      <c r="G1455" t="s">
        <v>16</v>
      </c>
      <c r="H1455" t="s">
        <v>5224</v>
      </c>
      <c r="I1455">
        <v>3.2298</v>
      </c>
      <c r="J1455">
        <v>21450.34</v>
      </c>
      <c r="K1455">
        <v>6641.3833673911695</v>
      </c>
    </row>
    <row r="1456" spans="1:11" x14ac:dyDescent="0.25">
      <c r="A1456" t="s">
        <v>160</v>
      </c>
      <c r="B1456" t="s">
        <v>161</v>
      </c>
      <c r="C1456" s="1">
        <v>42570</v>
      </c>
      <c r="D1456" s="1">
        <v>42572</v>
      </c>
      <c r="E1456">
        <v>9</v>
      </c>
      <c r="F1456" t="s">
        <v>368</v>
      </c>
      <c r="G1456" t="s">
        <v>16</v>
      </c>
      <c r="H1456" t="s">
        <v>5225</v>
      </c>
      <c r="I1456">
        <v>3.2633999999999999</v>
      </c>
      <c r="J1456">
        <v>25668.15</v>
      </c>
      <c r="K1456">
        <v>7865.4624011766873</v>
      </c>
    </row>
    <row r="1457" spans="1:11" x14ac:dyDescent="0.25">
      <c r="A1457" t="s">
        <v>35</v>
      </c>
      <c r="B1457" t="s">
        <v>38</v>
      </c>
      <c r="C1457" s="1">
        <v>42537</v>
      </c>
      <c r="D1457" s="1">
        <v>42542</v>
      </c>
      <c r="E1457">
        <v>8</v>
      </c>
      <c r="F1457" t="s">
        <v>331</v>
      </c>
      <c r="G1457" t="s">
        <v>16</v>
      </c>
      <c r="H1457" t="s">
        <v>5226</v>
      </c>
      <c r="I1457">
        <v>3.4767999999999999</v>
      </c>
      <c r="J1457">
        <v>45881.07</v>
      </c>
      <c r="K1457">
        <v>13196.350092038656</v>
      </c>
    </row>
    <row r="1458" spans="1:11" x14ac:dyDescent="0.25">
      <c r="A1458" t="s">
        <v>90</v>
      </c>
      <c r="B1458" t="s">
        <v>91</v>
      </c>
      <c r="C1458" s="1">
        <v>42536</v>
      </c>
      <c r="D1458" s="1">
        <v>42544</v>
      </c>
      <c r="E1458">
        <v>11</v>
      </c>
      <c r="F1458" t="s">
        <v>331</v>
      </c>
      <c r="G1458" t="s">
        <v>16</v>
      </c>
      <c r="H1458" t="s">
        <v>208</v>
      </c>
      <c r="I1458">
        <v>3.4839000000000002</v>
      </c>
      <c r="J1458">
        <v>46360.02</v>
      </c>
      <c r="K1458">
        <v>13306.931886678722</v>
      </c>
    </row>
    <row r="1459" spans="1:11" x14ac:dyDescent="0.25">
      <c r="A1459" t="s">
        <v>90</v>
      </c>
      <c r="B1459" t="s">
        <v>91</v>
      </c>
      <c r="C1459" s="1">
        <v>42536</v>
      </c>
      <c r="D1459" s="1">
        <v>42544</v>
      </c>
      <c r="E1459">
        <v>11</v>
      </c>
      <c r="F1459" t="s">
        <v>331</v>
      </c>
      <c r="G1459" t="s">
        <v>16</v>
      </c>
      <c r="H1459" t="s">
        <v>5227</v>
      </c>
      <c r="I1459">
        <v>3.4839000000000002</v>
      </c>
      <c r="J1459">
        <v>45586.33</v>
      </c>
      <c r="K1459">
        <v>13084.856052125491</v>
      </c>
    </row>
    <row r="1460" spans="1:11" x14ac:dyDescent="0.25">
      <c r="A1460" t="s">
        <v>90</v>
      </c>
      <c r="B1460" t="s">
        <v>91</v>
      </c>
      <c r="C1460" s="1">
        <v>42537</v>
      </c>
      <c r="D1460" s="1">
        <v>42544</v>
      </c>
      <c r="E1460">
        <v>11</v>
      </c>
      <c r="F1460" t="s">
        <v>331</v>
      </c>
      <c r="G1460" t="s">
        <v>16</v>
      </c>
      <c r="H1460" t="s">
        <v>5228</v>
      </c>
      <c r="I1460">
        <v>3.4767999999999999</v>
      </c>
      <c r="J1460">
        <v>44751.24</v>
      </c>
      <c r="K1460">
        <v>12871.387482742752</v>
      </c>
    </row>
    <row r="1461" spans="1:11" x14ac:dyDescent="0.25">
      <c r="A1461" t="s">
        <v>90</v>
      </c>
      <c r="B1461" t="s">
        <v>91</v>
      </c>
      <c r="C1461" s="1">
        <v>42537</v>
      </c>
      <c r="D1461" s="1">
        <v>42544</v>
      </c>
      <c r="E1461">
        <v>11</v>
      </c>
      <c r="F1461" t="s">
        <v>331</v>
      </c>
      <c r="G1461" t="s">
        <v>16</v>
      </c>
      <c r="H1461" t="s">
        <v>5229</v>
      </c>
      <c r="I1461">
        <v>3.4767999999999999</v>
      </c>
      <c r="J1461">
        <v>27938.82</v>
      </c>
      <c r="K1461">
        <v>8035.7857800276115</v>
      </c>
    </row>
    <row r="1462" spans="1:11" x14ac:dyDescent="0.25">
      <c r="A1462" t="s">
        <v>246</v>
      </c>
      <c r="B1462" t="s">
        <v>247</v>
      </c>
      <c r="C1462" s="1">
        <v>42552</v>
      </c>
      <c r="D1462" s="1">
        <v>42572</v>
      </c>
      <c r="E1462">
        <v>1</v>
      </c>
      <c r="F1462" t="s">
        <v>368</v>
      </c>
      <c r="G1462" t="s">
        <v>16</v>
      </c>
      <c r="H1462" t="s">
        <v>1800</v>
      </c>
      <c r="I1462">
        <v>3.2098</v>
      </c>
      <c r="J1462">
        <v>58995.75</v>
      </c>
      <c r="K1462">
        <v>18379.883481836874</v>
      </c>
    </row>
    <row r="1463" spans="1:11" x14ac:dyDescent="0.25">
      <c r="A1463" t="s">
        <v>90</v>
      </c>
      <c r="B1463" t="s">
        <v>91</v>
      </c>
      <c r="C1463" s="1">
        <v>42537</v>
      </c>
      <c r="D1463" s="1">
        <v>42542</v>
      </c>
      <c r="E1463">
        <v>11</v>
      </c>
      <c r="F1463" t="s">
        <v>331</v>
      </c>
      <c r="G1463" t="s">
        <v>16</v>
      </c>
      <c r="H1463" t="s">
        <v>1801</v>
      </c>
      <c r="I1463">
        <v>3.4767999999999999</v>
      </c>
      <c r="J1463">
        <v>26710.74</v>
      </c>
      <c r="K1463">
        <v>7682.5644270593648</v>
      </c>
    </row>
    <row r="1464" spans="1:11" x14ac:dyDescent="0.25">
      <c r="A1464" t="s">
        <v>90</v>
      </c>
      <c r="B1464" t="s">
        <v>91</v>
      </c>
      <c r="C1464" s="1">
        <v>42537</v>
      </c>
      <c r="D1464" s="1">
        <v>42543</v>
      </c>
      <c r="E1464">
        <v>11</v>
      </c>
      <c r="F1464" t="s">
        <v>331</v>
      </c>
      <c r="G1464" t="s">
        <v>16</v>
      </c>
      <c r="H1464" t="s">
        <v>5230</v>
      </c>
      <c r="I1464">
        <v>3.4767999999999999</v>
      </c>
      <c r="J1464">
        <v>45930.19</v>
      </c>
      <c r="K1464">
        <v>13210.478025770824</v>
      </c>
    </row>
    <row r="1465" spans="1:11" x14ac:dyDescent="0.25">
      <c r="A1465" t="s">
        <v>90</v>
      </c>
      <c r="B1465" t="s">
        <v>91</v>
      </c>
      <c r="C1465" s="1">
        <v>42537</v>
      </c>
      <c r="D1465" s="1">
        <v>42543</v>
      </c>
      <c r="E1465">
        <v>11</v>
      </c>
      <c r="F1465" t="s">
        <v>331</v>
      </c>
      <c r="G1465" t="s">
        <v>16</v>
      </c>
      <c r="H1465" t="s">
        <v>1802</v>
      </c>
      <c r="I1465">
        <v>3.4767999999999999</v>
      </c>
      <c r="J1465">
        <v>45684.58</v>
      </c>
      <c r="K1465">
        <v>13139.835480901978</v>
      </c>
    </row>
    <row r="1466" spans="1:11" x14ac:dyDescent="0.25">
      <c r="A1466" t="s">
        <v>98</v>
      </c>
      <c r="B1466" t="s">
        <v>99</v>
      </c>
      <c r="C1466" s="1">
        <v>42576</v>
      </c>
      <c r="D1466" s="1">
        <v>42597</v>
      </c>
      <c r="E1466">
        <v>4</v>
      </c>
      <c r="F1466" t="s">
        <v>301</v>
      </c>
      <c r="G1466" t="s">
        <v>16</v>
      </c>
      <c r="H1466" t="s">
        <v>5231</v>
      </c>
      <c r="I1466">
        <v>3.2854000000000001</v>
      </c>
      <c r="J1466">
        <v>57645</v>
      </c>
      <c r="K1466">
        <v>17545.80872953065</v>
      </c>
    </row>
    <row r="1467" spans="1:11" x14ac:dyDescent="0.25">
      <c r="A1467" t="s">
        <v>98</v>
      </c>
      <c r="B1467" t="s">
        <v>99</v>
      </c>
      <c r="C1467" s="1">
        <v>42576</v>
      </c>
      <c r="D1467" s="1">
        <v>42597</v>
      </c>
      <c r="E1467">
        <v>4</v>
      </c>
      <c r="F1467" t="s">
        <v>301</v>
      </c>
      <c r="G1467" t="s">
        <v>16</v>
      </c>
      <c r="H1467" t="s">
        <v>1803</v>
      </c>
      <c r="I1467">
        <v>3.2854000000000001</v>
      </c>
      <c r="J1467">
        <v>19214.990000000002</v>
      </c>
      <c r="K1467">
        <v>5848.5998660741461</v>
      </c>
    </row>
    <row r="1468" spans="1:11" x14ac:dyDescent="0.25">
      <c r="A1468" t="s">
        <v>236</v>
      </c>
      <c r="B1468" t="s">
        <v>237</v>
      </c>
      <c r="C1468" s="1">
        <v>42576</v>
      </c>
      <c r="D1468" s="1">
        <v>42597</v>
      </c>
      <c r="E1468">
        <v>3</v>
      </c>
      <c r="F1468" t="s">
        <v>301</v>
      </c>
      <c r="G1468" t="s">
        <v>16</v>
      </c>
      <c r="H1468" t="s">
        <v>1804</v>
      </c>
      <c r="I1468">
        <v>3.2854000000000001</v>
      </c>
      <c r="J1468">
        <v>11628.02</v>
      </c>
      <c r="K1468">
        <v>3539.3011505448349</v>
      </c>
    </row>
    <row r="1469" spans="1:11" x14ac:dyDescent="0.25">
      <c r="A1469" t="s">
        <v>236</v>
      </c>
      <c r="B1469" t="s">
        <v>237</v>
      </c>
      <c r="C1469" s="1">
        <v>42577</v>
      </c>
      <c r="D1469" s="1">
        <v>42597</v>
      </c>
      <c r="E1469">
        <v>3</v>
      </c>
      <c r="F1469" t="s">
        <v>301</v>
      </c>
      <c r="G1469" t="s">
        <v>16</v>
      </c>
      <c r="H1469" t="s">
        <v>5232</v>
      </c>
      <c r="I1469">
        <v>3.2818999999999998</v>
      </c>
      <c r="J1469">
        <v>229190.01</v>
      </c>
      <c r="K1469">
        <v>69834.550108169045</v>
      </c>
    </row>
    <row r="1470" spans="1:11" x14ac:dyDescent="0.25">
      <c r="A1470" t="s">
        <v>100</v>
      </c>
      <c r="B1470" t="s">
        <v>101</v>
      </c>
      <c r="C1470" s="1">
        <v>42577</v>
      </c>
      <c r="D1470" s="1">
        <v>42598</v>
      </c>
      <c r="E1470">
        <v>4</v>
      </c>
      <c r="F1470" t="s">
        <v>301</v>
      </c>
      <c r="G1470" t="s">
        <v>16</v>
      </c>
      <c r="H1470" t="s">
        <v>5233</v>
      </c>
      <c r="I1470">
        <v>3.2818999999999998</v>
      </c>
      <c r="J1470">
        <v>17517.990000000002</v>
      </c>
      <c r="K1470">
        <v>5337.7586154361807</v>
      </c>
    </row>
    <row r="1471" spans="1:11" x14ac:dyDescent="0.25">
      <c r="A1471" t="s">
        <v>160</v>
      </c>
      <c r="B1471" t="s">
        <v>161</v>
      </c>
      <c r="C1471" s="1">
        <v>42576</v>
      </c>
      <c r="D1471" s="1">
        <v>42577</v>
      </c>
      <c r="E1471">
        <v>9</v>
      </c>
      <c r="F1471" t="s">
        <v>368</v>
      </c>
      <c r="G1471" t="s">
        <v>16</v>
      </c>
      <c r="H1471" t="s">
        <v>5234</v>
      </c>
      <c r="I1471">
        <v>3.2854000000000001</v>
      </c>
      <c r="J1471">
        <v>33119.39</v>
      </c>
      <c r="K1471">
        <v>10080.778596213551</v>
      </c>
    </row>
    <row r="1472" spans="1:11" x14ac:dyDescent="0.25">
      <c r="A1472" t="s">
        <v>100</v>
      </c>
      <c r="B1472" t="s">
        <v>101</v>
      </c>
      <c r="C1472" s="1">
        <v>42576</v>
      </c>
      <c r="D1472" s="1">
        <v>42593</v>
      </c>
      <c r="E1472">
        <v>4</v>
      </c>
      <c r="F1472" t="s">
        <v>301</v>
      </c>
      <c r="G1472" t="s">
        <v>16</v>
      </c>
      <c r="H1472" t="s">
        <v>1805</v>
      </c>
      <c r="I1472">
        <v>3.2854000000000001</v>
      </c>
      <c r="J1472">
        <v>20752.79</v>
      </c>
      <c r="K1472">
        <v>6316.6707250258723</v>
      </c>
    </row>
    <row r="1473" spans="1:11" x14ac:dyDescent="0.25">
      <c r="A1473" t="s">
        <v>214</v>
      </c>
      <c r="B1473" t="s">
        <v>215</v>
      </c>
      <c r="C1473" s="1">
        <v>42576</v>
      </c>
      <c r="D1473" s="1">
        <v>42593</v>
      </c>
      <c r="E1473">
        <v>3</v>
      </c>
      <c r="F1473" t="s">
        <v>301</v>
      </c>
      <c r="G1473" t="s">
        <v>16</v>
      </c>
      <c r="H1473" t="s">
        <v>5235</v>
      </c>
      <c r="I1473">
        <v>3.2854000000000001</v>
      </c>
      <c r="J1473">
        <v>57645</v>
      </c>
      <c r="K1473">
        <v>17545.80872953065</v>
      </c>
    </row>
    <row r="1474" spans="1:11" x14ac:dyDescent="0.25">
      <c r="A1474" t="s">
        <v>246</v>
      </c>
      <c r="B1474" t="s">
        <v>247</v>
      </c>
      <c r="C1474" s="1">
        <v>42552</v>
      </c>
      <c r="D1474" s="1">
        <v>42573</v>
      </c>
      <c r="E1474">
        <v>1</v>
      </c>
      <c r="F1474" t="s">
        <v>368</v>
      </c>
      <c r="G1474" t="s">
        <v>16</v>
      </c>
      <c r="H1474" t="s">
        <v>1806</v>
      </c>
      <c r="I1474">
        <v>3.2098</v>
      </c>
      <c r="J1474">
        <v>57771</v>
      </c>
      <c r="K1474">
        <v>17998.317652190166</v>
      </c>
    </row>
    <row r="1475" spans="1:11" x14ac:dyDescent="0.25">
      <c r="A1475" t="s">
        <v>181</v>
      </c>
      <c r="B1475" t="s">
        <v>182</v>
      </c>
      <c r="C1475" s="1">
        <v>42591</v>
      </c>
      <c r="D1475" s="1">
        <v>42597</v>
      </c>
      <c r="E1475">
        <v>1</v>
      </c>
      <c r="F1475" t="s">
        <v>368</v>
      </c>
      <c r="G1475" t="s">
        <v>16</v>
      </c>
      <c r="H1475" t="s">
        <v>1807</v>
      </c>
      <c r="I1475">
        <v>3.1770999999999998</v>
      </c>
      <c r="J1475">
        <v>49319.82</v>
      </c>
      <c r="K1475">
        <v>15523.534040477165</v>
      </c>
    </row>
    <row r="1476" spans="1:11" x14ac:dyDescent="0.25">
      <c r="A1476" t="s">
        <v>181</v>
      </c>
      <c r="B1476" t="s">
        <v>182</v>
      </c>
      <c r="C1476" s="1">
        <v>42588</v>
      </c>
      <c r="D1476" s="1">
        <v>42594</v>
      </c>
      <c r="E1476">
        <v>1</v>
      </c>
      <c r="F1476" t="s">
        <v>368</v>
      </c>
      <c r="G1476" t="s">
        <v>16</v>
      </c>
      <c r="H1476" t="s">
        <v>5236</v>
      </c>
      <c r="I1476">
        <v>3.1859000000000002</v>
      </c>
      <c r="J1476">
        <v>53995.44</v>
      </c>
      <c r="K1476">
        <v>16948.253240842463</v>
      </c>
    </row>
    <row r="1477" spans="1:11" x14ac:dyDescent="0.25">
      <c r="A1477" t="s">
        <v>137</v>
      </c>
      <c r="B1477" t="s">
        <v>138</v>
      </c>
      <c r="C1477" s="1">
        <v>42586</v>
      </c>
      <c r="D1477" s="1">
        <v>42598</v>
      </c>
      <c r="E1477">
        <v>5</v>
      </c>
      <c r="F1477" t="s">
        <v>301</v>
      </c>
      <c r="G1477" t="s">
        <v>16</v>
      </c>
      <c r="H1477" t="s">
        <v>1808</v>
      </c>
      <c r="I1477">
        <v>3.2732999999999999</v>
      </c>
      <c r="J1477">
        <v>65736.009999999995</v>
      </c>
      <c r="K1477">
        <v>20082.488620047046</v>
      </c>
    </row>
    <row r="1478" spans="1:11" x14ac:dyDescent="0.25">
      <c r="A1478" t="s">
        <v>238</v>
      </c>
      <c r="B1478" t="s">
        <v>239</v>
      </c>
      <c r="C1478" s="1">
        <v>42577</v>
      </c>
      <c r="D1478" s="1">
        <v>42598</v>
      </c>
      <c r="E1478">
        <v>2</v>
      </c>
      <c r="F1478" t="s">
        <v>301</v>
      </c>
      <c r="G1478" t="s">
        <v>16</v>
      </c>
      <c r="H1478" t="s">
        <v>5237</v>
      </c>
      <c r="I1478">
        <v>3.2818999999999998</v>
      </c>
      <c r="J1478">
        <v>55005.599999999999</v>
      </c>
      <c r="K1478">
        <v>16760.291294676863</v>
      </c>
    </row>
    <row r="1479" spans="1:11" x14ac:dyDescent="0.25">
      <c r="A1479" t="s">
        <v>62</v>
      </c>
      <c r="B1479" t="s">
        <v>63</v>
      </c>
      <c r="C1479" s="1">
        <v>42595</v>
      </c>
      <c r="D1479" s="1">
        <v>42599</v>
      </c>
      <c r="E1479">
        <v>1</v>
      </c>
      <c r="F1479" t="s">
        <v>368</v>
      </c>
      <c r="G1479" t="s">
        <v>16</v>
      </c>
      <c r="H1479" t="s">
        <v>5238</v>
      </c>
      <c r="I1479">
        <v>3.1602000000000001</v>
      </c>
      <c r="J1479">
        <v>57452.67</v>
      </c>
      <c r="K1479">
        <v>18180.074045946458</v>
      </c>
    </row>
    <row r="1480" spans="1:11" x14ac:dyDescent="0.25">
      <c r="A1480" t="s">
        <v>62</v>
      </c>
      <c r="B1480" t="s">
        <v>63</v>
      </c>
      <c r="C1480" s="1">
        <v>42597</v>
      </c>
      <c r="D1480" s="1">
        <v>42599</v>
      </c>
      <c r="E1480">
        <v>1</v>
      </c>
      <c r="F1480" t="s">
        <v>368</v>
      </c>
      <c r="G1480" t="s">
        <v>16</v>
      </c>
      <c r="H1480" t="s">
        <v>1809</v>
      </c>
      <c r="I1480">
        <v>3.1602000000000001</v>
      </c>
      <c r="J1480">
        <v>41614.370000000003</v>
      </c>
      <c r="K1480">
        <v>13168.270995506613</v>
      </c>
    </row>
    <row r="1481" spans="1:11" x14ac:dyDescent="0.25">
      <c r="A1481" t="s">
        <v>1309</v>
      </c>
      <c r="B1481" t="s">
        <v>1310</v>
      </c>
      <c r="C1481" s="1">
        <v>40784</v>
      </c>
      <c r="D1481" s="1">
        <v>40791</v>
      </c>
      <c r="E1481">
        <v>84</v>
      </c>
      <c r="F1481" t="s">
        <v>1311</v>
      </c>
      <c r="G1481" t="s">
        <v>16</v>
      </c>
      <c r="H1481" t="s">
        <v>1810</v>
      </c>
      <c r="I1481">
        <v>1.5973999999999999</v>
      </c>
      <c r="J1481">
        <v>88175.76</v>
      </c>
      <c r="K1481">
        <v>55199.549267559785</v>
      </c>
    </row>
    <row r="1482" spans="1:11" x14ac:dyDescent="0.25">
      <c r="A1482" t="s">
        <v>3637</v>
      </c>
      <c r="B1482" t="s">
        <v>3638</v>
      </c>
      <c r="C1482" s="1">
        <v>40806</v>
      </c>
      <c r="D1482" s="1">
        <v>40808</v>
      </c>
      <c r="E1482">
        <v>1</v>
      </c>
      <c r="F1482" t="s">
        <v>368</v>
      </c>
      <c r="G1482" t="s">
        <v>16</v>
      </c>
      <c r="H1482" t="s">
        <v>1869</v>
      </c>
      <c r="I1482">
        <v>1.7869999999999999</v>
      </c>
      <c r="J1482">
        <v>105133.28</v>
      </c>
      <c r="K1482">
        <v>58832.27756015669</v>
      </c>
    </row>
    <row r="1483" spans="1:11" x14ac:dyDescent="0.25">
      <c r="A1483" t="s">
        <v>654</v>
      </c>
      <c r="B1483" t="s">
        <v>655</v>
      </c>
      <c r="C1483" s="1">
        <v>40841</v>
      </c>
      <c r="D1483" s="1">
        <v>40843</v>
      </c>
      <c r="E1483">
        <v>116</v>
      </c>
      <c r="F1483" t="s">
        <v>301</v>
      </c>
      <c r="G1483" t="s">
        <v>16</v>
      </c>
      <c r="H1483" t="s">
        <v>1811</v>
      </c>
      <c r="I1483">
        <v>1.7767999999999999</v>
      </c>
      <c r="J1483">
        <v>386078.4</v>
      </c>
      <c r="K1483">
        <v>217288.60873480415</v>
      </c>
    </row>
    <row r="1484" spans="1:11" x14ac:dyDescent="0.25">
      <c r="A1484" t="s">
        <v>654</v>
      </c>
      <c r="B1484" t="s">
        <v>655</v>
      </c>
      <c r="C1484" s="1">
        <v>40841</v>
      </c>
      <c r="D1484" s="1">
        <v>40843</v>
      </c>
      <c r="E1484">
        <v>116</v>
      </c>
      <c r="F1484" t="s">
        <v>301</v>
      </c>
      <c r="G1484" t="s">
        <v>16</v>
      </c>
      <c r="H1484" t="s">
        <v>1812</v>
      </c>
      <c r="I1484">
        <v>1.7767999999999999</v>
      </c>
      <c r="J1484">
        <v>178860.61</v>
      </c>
      <c r="K1484">
        <v>100664.45857721748</v>
      </c>
    </row>
    <row r="1485" spans="1:11" x14ac:dyDescent="0.25">
      <c r="A1485" t="s">
        <v>1813</v>
      </c>
      <c r="C1485" s="1">
        <v>40830</v>
      </c>
      <c r="D1485" s="1">
        <v>40835</v>
      </c>
      <c r="E1485">
        <v>1533</v>
      </c>
      <c r="F1485" t="s">
        <v>282</v>
      </c>
      <c r="G1485" t="s">
        <v>16</v>
      </c>
      <c r="H1485" t="s">
        <v>1814</v>
      </c>
      <c r="I1485">
        <v>1.7376</v>
      </c>
      <c r="J1485">
        <v>25</v>
      </c>
      <c r="K1485">
        <v>14.387661141804788</v>
      </c>
    </row>
    <row r="1486" spans="1:11" x14ac:dyDescent="0.25">
      <c r="A1486" t="s">
        <v>1815</v>
      </c>
      <c r="C1486" s="1">
        <v>40830</v>
      </c>
      <c r="D1486" s="1">
        <v>40835</v>
      </c>
      <c r="E1486">
        <v>1539</v>
      </c>
      <c r="F1486" t="s">
        <v>319</v>
      </c>
      <c r="G1486" t="s">
        <v>16</v>
      </c>
      <c r="H1486" t="s">
        <v>1816</v>
      </c>
      <c r="I1486">
        <v>1.7376</v>
      </c>
      <c r="J1486">
        <v>295.14</v>
      </c>
      <c r="K1486">
        <v>169.85497237569061</v>
      </c>
    </row>
    <row r="1487" spans="1:11" x14ac:dyDescent="0.25">
      <c r="A1487" t="s">
        <v>5239</v>
      </c>
      <c r="C1487" s="1">
        <v>40829</v>
      </c>
      <c r="D1487" s="1">
        <v>40834</v>
      </c>
      <c r="E1487">
        <v>1518</v>
      </c>
      <c r="F1487" t="s">
        <v>5240</v>
      </c>
      <c r="G1487" t="s">
        <v>16</v>
      </c>
      <c r="H1487" t="s">
        <v>2774</v>
      </c>
      <c r="I1487">
        <v>1.7658</v>
      </c>
      <c r="J1487">
        <v>372.74</v>
      </c>
      <c r="K1487">
        <v>211.08845848907012</v>
      </c>
    </row>
    <row r="1488" spans="1:11" x14ac:dyDescent="0.25">
      <c r="A1488" t="s">
        <v>654</v>
      </c>
      <c r="B1488" t="s">
        <v>655</v>
      </c>
      <c r="C1488" s="1">
        <v>40875</v>
      </c>
      <c r="D1488" s="1">
        <v>40879</v>
      </c>
      <c r="E1488">
        <v>116</v>
      </c>
      <c r="F1488" t="s">
        <v>301</v>
      </c>
      <c r="G1488" t="s">
        <v>16</v>
      </c>
      <c r="H1488" t="s">
        <v>5241</v>
      </c>
      <c r="I1488">
        <v>1.8936999999999999</v>
      </c>
      <c r="J1488">
        <v>20677.990000000002</v>
      </c>
      <c r="K1488">
        <v>10919.358926968369</v>
      </c>
    </row>
    <row r="1489" spans="1:11" x14ac:dyDescent="0.25">
      <c r="A1489" t="s">
        <v>5242</v>
      </c>
      <c r="C1489" s="1">
        <v>40819</v>
      </c>
      <c r="D1489" s="1">
        <v>40820</v>
      </c>
      <c r="E1489">
        <v>1236</v>
      </c>
      <c r="F1489" t="s">
        <v>660</v>
      </c>
      <c r="G1489" t="s">
        <v>16</v>
      </c>
      <c r="H1489" t="s">
        <v>5243</v>
      </c>
      <c r="I1489">
        <v>1.8544</v>
      </c>
      <c r="J1489">
        <v>123</v>
      </c>
      <c r="K1489">
        <v>66.328731665228645</v>
      </c>
    </row>
    <row r="1490" spans="1:11" x14ac:dyDescent="0.25">
      <c r="A1490" t="s">
        <v>654</v>
      </c>
      <c r="B1490" t="s">
        <v>655</v>
      </c>
      <c r="C1490" s="1">
        <v>40841</v>
      </c>
      <c r="D1490" s="1">
        <v>40844</v>
      </c>
      <c r="E1490">
        <v>116</v>
      </c>
      <c r="F1490" t="s">
        <v>301</v>
      </c>
      <c r="G1490" t="s">
        <v>16</v>
      </c>
      <c r="H1490" t="s">
        <v>5244</v>
      </c>
      <c r="I1490">
        <v>1.7767999999999999</v>
      </c>
      <c r="J1490">
        <v>37080</v>
      </c>
      <c r="K1490">
        <v>20868.977937865828</v>
      </c>
    </row>
    <row r="1491" spans="1:11" x14ac:dyDescent="0.25">
      <c r="A1491" t="s">
        <v>668</v>
      </c>
      <c r="B1491" t="s">
        <v>476</v>
      </c>
      <c r="C1491" s="1">
        <v>40843</v>
      </c>
      <c r="D1491" s="1">
        <v>40851</v>
      </c>
      <c r="E1491">
        <v>1687</v>
      </c>
      <c r="F1491" t="s">
        <v>311</v>
      </c>
      <c r="G1491" t="s">
        <v>16</v>
      </c>
      <c r="H1491" t="s">
        <v>1817</v>
      </c>
      <c r="I1491">
        <v>1.7605999999999999</v>
      </c>
      <c r="J1491">
        <v>212877.5</v>
      </c>
      <c r="K1491">
        <v>120911.90503237533</v>
      </c>
    </row>
    <row r="1492" spans="1:11" x14ac:dyDescent="0.25">
      <c r="A1492" t="s">
        <v>668</v>
      </c>
      <c r="B1492" t="s">
        <v>476</v>
      </c>
      <c r="C1492" s="1">
        <v>40843</v>
      </c>
      <c r="D1492" s="1">
        <v>40851</v>
      </c>
      <c r="E1492">
        <v>1687</v>
      </c>
      <c r="F1492" t="s">
        <v>311</v>
      </c>
      <c r="G1492" t="s">
        <v>16</v>
      </c>
      <c r="H1492" t="s">
        <v>1818</v>
      </c>
      <c r="I1492">
        <v>1.7605999999999999</v>
      </c>
      <c r="J1492">
        <v>202740.48000000001</v>
      </c>
      <c r="K1492">
        <v>115154.1974326934</v>
      </c>
    </row>
    <row r="1493" spans="1:11" x14ac:dyDescent="0.25">
      <c r="A1493" t="s">
        <v>654</v>
      </c>
      <c r="B1493" t="s">
        <v>655</v>
      </c>
      <c r="C1493" s="1">
        <v>40841</v>
      </c>
      <c r="D1493" s="1">
        <v>40844</v>
      </c>
      <c r="E1493">
        <v>116</v>
      </c>
      <c r="F1493" t="s">
        <v>301</v>
      </c>
      <c r="G1493" t="s">
        <v>16</v>
      </c>
      <c r="H1493" t="s">
        <v>5245</v>
      </c>
      <c r="I1493">
        <v>1.7767999999999999</v>
      </c>
      <c r="J1493">
        <v>37080</v>
      </c>
      <c r="K1493">
        <v>20868.977937865828</v>
      </c>
    </row>
    <row r="1494" spans="1:11" x14ac:dyDescent="0.25">
      <c r="A1494" t="s">
        <v>1828</v>
      </c>
      <c r="B1494" t="s">
        <v>549</v>
      </c>
      <c r="C1494" s="1">
        <v>40877</v>
      </c>
      <c r="D1494" s="1">
        <v>40883</v>
      </c>
      <c r="E1494">
        <v>1685</v>
      </c>
      <c r="F1494" t="s">
        <v>311</v>
      </c>
      <c r="G1494" t="s">
        <v>16</v>
      </c>
      <c r="H1494" t="s">
        <v>5246</v>
      </c>
      <c r="I1494">
        <v>1.8486</v>
      </c>
      <c r="J1494">
        <v>369560</v>
      </c>
      <c r="K1494">
        <v>199913.44801471382</v>
      </c>
    </row>
    <row r="1495" spans="1:11" x14ac:dyDescent="0.25">
      <c r="A1495" t="s">
        <v>654</v>
      </c>
      <c r="B1495" t="s">
        <v>655</v>
      </c>
      <c r="C1495" s="1">
        <v>40841</v>
      </c>
      <c r="D1495" s="1">
        <v>40844</v>
      </c>
      <c r="E1495">
        <v>116</v>
      </c>
      <c r="F1495" t="s">
        <v>301</v>
      </c>
      <c r="G1495" t="s">
        <v>16</v>
      </c>
      <c r="H1495" t="s">
        <v>5247</v>
      </c>
      <c r="I1495">
        <v>1.7767999999999999</v>
      </c>
      <c r="J1495">
        <v>37080</v>
      </c>
      <c r="K1495">
        <v>20868.977937865828</v>
      </c>
    </row>
    <row r="1496" spans="1:11" x14ac:dyDescent="0.25">
      <c r="A1496" t="s">
        <v>5248</v>
      </c>
      <c r="B1496" t="s">
        <v>5249</v>
      </c>
      <c r="C1496" s="1">
        <v>40815</v>
      </c>
      <c r="D1496" s="1">
        <v>40817</v>
      </c>
      <c r="E1496">
        <v>227</v>
      </c>
      <c r="F1496" t="s">
        <v>642</v>
      </c>
      <c r="G1496" t="s">
        <v>16</v>
      </c>
      <c r="H1496" t="s">
        <v>5250</v>
      </c>
      <c r="I1496">
        <v>1.8123</v>
      </c>
      <c r="J1496">
        <v>9378.02</v>
      </c>
      <c r="K1496">
        <v>5174.6509959719697</v>
      </c>
    </row>
    <row r="1497" spans="1:11" x14ac:dyDescent="0.25">
      <c r="A1497" t="s">
        <v>709</v>
      </c>
      <c r="B1497" t="s">
        <v>710</v>
      </c>
      <c r="C1497" s="1">
        <v>40816</v>
      </c>
      <c r="D1497" s="1">
        <v>40819</v>
      </c>
      <c r="E1497">
        <v>4</v>
      </c>
      <c r="F1497" t="s">
        <v>278</v>
      </c>
      <c r="G1497" t="s">
        <v>16</v>
      </c>
      <c r="H1497" t="s">
        <v>1819</v>
      </c>
      <c r="I1497">
        <v>1.8290999999999999</v>
      </c>
      <c r="J1497">
        <v>108000</v>
      </c>
      <c r="K1497">
        <v>59045.432179760537</v>
      </c>
    </row>
    <row r="1498" spans="1:11" x14ac:dyDescent="0.25">
      <c r="A1498" t="s">
        <v>5251</v>
      </c>
      <c r="B1498" t="s">
        <v>5252</v>
      </c>
      <c r="C1498" s="1">
        <v>40842</v>
      </c>
      <c r="D1498" s="1">
        <v>40857</v>
      </c>
      <c r="E1498">
        <v>3</v>
      </c>
      <c r="F1498" t="s">
        <v>331</v>
      </c>
      <c r="G1498" t="s">
        <v>16</v>
      </c>
      <c r="H1498" t="s">
        <v>5253</v>
      </c>
      <c r="I1498">
        <v>1.7547999999999999</v>
      </c>
      <c r="J1498">
        <v>54266.42</v>
      </c>
      <c r="K1498">
        <v>30924.561203555961</v>
      </c>
    </row>
    <row r="1499" spans="1:11" x14ac:dyDescent="0.25">
      <c r="A1499" t="s">
        <v>5251</v>
      </c>
      <c r="B1499" t="s">
        <v>5252</v>
      </c>
      <c r="C1499" s="1">
        <v>40846</v>
      </c>
      <c r="D1499" s="1">
        <v>40857</v>
      </c>
      <c r="E1499">
        <v>3</v>
      </c>
      <c r="F1499" t="s">
        <v>331</v>
      </c>
      <c r="G1499" t="s">
        <v>16</v>
      </c>
      <c r="H1499" t="s">
        <v>5254</v>
      </c>
      <c r="I1499">
        <v>1.6986000000000001</v>
      </c>
      <c r="J1499">
        <v>54266.42</v>
      </c>
      <c r="K1499">
        <v>31947.733427528554</v>
      </c>
    </row>
    <row r="1500" spans="1:11" x14ac:dyDescent="0.25">
      <c r="A1500" t="s">
        <v>1339</v>
      </c>
      <c r="B1500" t="s">
        <v>1340</v>
      </c>
      <c r="C1500" s="1">
        <v>40843</v>
      </c>
      <c r="D1500" s="1">
        <v>40850</v>
      </c>
      <c r="E1500">
        <v>1843</v>
      </c>
      <c r="F1500" t="s">
        <v>373</v>
      </c>
      <c r="G1500" t="s">
        <v>16</v>
      </c>
      <c r="H1500" t="s">
        <v>1820</v>
      </c>
      <c r="I1500">
        <v>1.7605999999999999</v>
      </c>
      <c r="J1500">
        <v>98910</v>
      </c>
      <c r="K1500">
        <v>56179.711462001593</v>
      </c>
    </row>
    <row r="1501" spans="1:11" x14ac:dyDescent="0.25">
      <c r="A1501" t="s">
        <v>1332</v>
      </c>
      <c r="B1501" t="s">
        <v>1333</v>
      </c>
      <c r="C1501" s="1">
        <v>40835</v>
      </c>
      <c r="D1501" s="1">
        <v>40839</v>
      </c>
      <c r="E1501">
        <v>142</v>
      </c>
      <c r="F1501" t="s">
        <v>331</v>
      </c>
      <c r="G1501" t="s">
        <v>16</v>
      </c>
      <c r="H1501" t="s">
        <v>5255</v>
      </c>
      <c r="I1501">
        <v>1.7724</v>
      </c>
      <c r="J1501">
        <v>58751.17</v>
      </c>
      <c r="K1501">
        <v>33147.805235838408</v>
      </c>
    </row>
    <row r="1502" spans="1:11" x14ac:dyDescent="0.25">
      <c r="A1502" t="s">
        <v>1821</v>
      </c>
      <c r="B1502" t="s">
        <v>1822</v>
      </c>
      <c r="C1502" s="1">
        <v>40855</v>
      </c>
      <c r="D1502" s="1">
        <v>40861</v>
      </c>
      <c r="E1502">
        <v>119</v>
      </c>
      <c r="F1502" t="s">
        <v>370</v>
      </c>
      <c r="G1502" t="s">
        <v>16</v>
      </c>
      <c r="H1502" t="s">
        <v>1823</v>
      </c>
      <c r="I1502">
        <v>1.7503</v>
      </c>
      <c r="J1502">
        <v>14411.36</v>
      </c>
      <c r="K1502">
        <v>8233.6513740501632</v>
      </c>
    </row>
    <row r="1503" spans="1:11" x14ac:dyDescent="0.25">
      <c r="A1503" t="s">
        <v>670</v>
      </c>
      <c r="C1503" s="1">
        <v>40836</v>
      </c>
      <c r="D1503" s="1">
        <v>40871</v>
      </c>
      <c r="E1503">
        <v>352</v>
      </c>
      <c r="F1503" t="s">
        <v>478</v>
      </c>
      <c r="G1503" t="s">
        <v>16</v>
      </c>
      <c r="H1503" t="s">
        <v>1824</v>
      </c>
      <c r="I1503">
        <v>1.7604</v>
      </c>
      <c r="J1503">
        <v>823.65</v>
      </c>
      <c r="K1503">
        <v>467.87661895023859</v>
      </c>
    </row>
    <row r="1504" spans="1:11" x14ac:dyDescent="0.25">
      <c r="A1504" t="s">
        <v>670</v>
      </c>
      <c r="C1504" s="1">
        <v>40847</v>
      </c>
      <c r="D1504" s="1">
        <v>40871</v>
      </c>
      <c r="E1504">
        <v>352</v>
      </c>
      <c r="F1504" t="s">
        <v>478</v>
      </c>
      <c r="G1504" t="s">
        <v>16</v>
      </c>
      <c r="H1504" t="s">
        <v>5256</v>
      </c>
      <c r="I1504">
        <v>1.6986000000000001</v>
      </c>
      <c r="J1504">
        <v>34</v>
      </c>
      <c r="K1504">
        <v>20.016484163428707</v>
      </c>
    </row>
    <row r="1505" spans="1:11" x14ac:dyDescent="0.25">
      <c r="A1505" t="s">
        <v>670</v>
      </c>
      <c r="C1505" s="1">
        <v>40837</v>
      </c>
      <c r="D1505" s="1">
        <v>40871</v>
      </c>
      <c r="E1505">
        <v>352</v>
      </c>
      <c r="F1505" t="s">
        <v>478</v>
      </c>
      <c r="G1505" t="s">
        <v>16</v>
      </c>
      <c r="H1505" t="s">
        <v>1825</v>
      </c>
      <c r="I1505">
        <v>1.7826</v>
      </c>
      <c r="J1505">
        <v>342.95</v>
      </c>
      <c r="K1505">
        <v>192.38752384157971</v>
      </c>
    </row>
    <row r="1506" spans="1:11" x14ac:dyDescent="0.25">
      <c r="A1506" t="s">
        <v>1332</v>
      </c>
      <c r="B1506" t="s">
        <v>1333</v>
      </c>
      <c r="C1506" s="1">
        <v>40831</v>
      </c>
      <c r="D1506" s="1">
        <v>40836</v>
      </c>
      <c r="E1506">
        <v>142</v>
      </c>
      <c r="F1506" t="s">
        <v>331</v>
      </c>
      <c r="G1506" t="s">
        <v>16</v>
      </c>
      <c r="H1506" t="s">
        <v>1826</v>
      </c>
      <c r="I1506">
        <v>1.7376</v>
      </c>
      <c r="J1506">
        <v>58846.69</v>
      </c>
      <c r="K1506">
        <v>33866.649401473296</v>
      </c>
    </row>
    <row r="1507" spans="1:11" x14ac:dyDescent="0.25">
      <c r="A1507" t="s">
        <v>1332</v>
      </c>
      <c r="B1507" t="s">
        <v>1333</v>
      </c>
      <c r="C1507" s="1">
        <v>40826</v>
      </c>
      <c r="D1507" s="1">
        <v>40836</v>
      </c>
      <c r="E1507">
        <v>142</v>
      </c>
      <c r="F1507" t="s">
        <v>331</v>
      </c>
      <c r="G1507" t="s">
        <v>16</v>
      </c>
      <c r="H1507" t="s">
        <v>5257</v>
      </c>
      <c r="I1507">
        <v>1.7665999999999999</v>
      </c>
      <c r="J1507">
        <v>58783.01</v>
      </c>
      <c r="K1507">
        <v>33274.657534246573</v>
      </c>
    </row>
    <row r="1508" spans="1:11" x14ac:dyDescent="0.25">
      <c r="A1508" t="s">
        <v>651</v>
      </c>
      <c r="B1508" t="s">
        <v>652</v>
      </c>
      <c r="C1508" s="1">
        <v>40815</v>
      </c>
      <c r="D1508" s="1">
        <v>40822</v>
      </c>
      <c r="E1508">
        <v>141</v>
      </c>
      <c r="F1508" t="s">
        <v>331</v>
      </c>
      <c r="G1508" t="s">
        <v>16</v>
      </c>
      <c r="H1508" t="s">
        <v>1827</v>
      </c>
      <c r="I1508">
        <v>1.8123</v>
      </c>
      <c r="J1508">
        <v>58942.21</v>
      </c>
      <c r="K1508">
        <v>32523.428792142582</v>
      </c>
    </row>
    <row r="1509" spans="1:11" x14ac:dyDescent="0.25">
      <c r="A1509" t="s">
        <v>1828</v>
      </c>
      <c r="B1509" t="s">
        <v>549</v>
      </c>
      <c r="C1509" s="1">
        <v>40872</v>
      </c>
      <c r="D1509" s="1">
        <v>40877</v>
      </c>
      <c r="E1509">
        <v>1685</v>
      </c>
      <c r="F1509" t="s">
        <v>311</v>
      </c>
      <c r="G1509" t="s">
        <v>16</v>
      </c>
      <c r="H1509" t="s">
        <v>1829</v>
      </c>
      <c r="I1509">
        <v>1.8936999999999999</v>
      </c>
      <c r="J1509">
        <v>246206.4</v>
      </c>
      <c r="K1509">
        <v>130013.41289538998</v>
      </c>
    </row>
    <row r="1510" spans="1:11" x14ac:dyDescent="0.25">
      <c r="A1510" t="s">
        <v>672</v>
      </c>
      <c r="B1510" t="s">
        <v>673</v>
      </c>
      <c r="C1510" s="1">
        <v>40870</v>
      </c>
      <c r="D1510" s="1">
        <v>40878</v>
      </c>
      <c r="E1510">
        <v>118</v>
      </c>
      <c r="F1510" t="s">
        <v>370</v>
      </c>
      <c r="G1510" t="s">
        <v>16</v>
      </c>
      <c r="H1510" t="s">
        <v>1830</v>
      </c>
      <c r="I1510">
        <v>1.8069</v>
      </c>
      <c r="J1510">
        <v>70477.42</v>
      </c>
      <c r="K1510">
        <v>39004.604571365322</v>
      </c>
    </row>
    <row r="1511" spans="1:11" x14ac:dyDescent="0.25">
      <c r="A1511" t="s">
        <v>5258</v>
      </c>
      <c r="B1511" t="s">
        <v>5259</v>
      </c>
      <c r="C1511" s="1">
        <v>40834</v>
      </c>
      <c r="D1511" s="1">
        <v>40835</v>
      </c>
      <c r="E1511">
        <v>1530</v>
      </c>
      <c r="F1511" t="s">
        <v>3648</v>
      </c>
      <c r="G1511" t="s">
        <v>16</v>
      </c>
      <c r="H1511" t="s">
        <v>5260</v>
      </c>
      <c r="I1511">
        <v>1.7487999999999999</v>
      </c>
      <c r="J1511">
        <v>104910</v>
      </c>
      <c r="K1511">
        <v>59989.707227813356</v>
      </c>
    </row>
    <row r="1512" spans="1:11" x14ac:dyDescent="0.25">
      <c r="A1512" t="s">
        <v>5261</v>
      </c>
      <c r="B1512" t="s">
        <v>144</v>
      </c>
      <c r="C1512" s="1">
        <v>40897</v>
      </c>
      <c r="D1512" s="1">
        <v>40904</v>
      </c>
      <c r="E1512">
        <v>1237</v>
      </c>
      <c r="F1512" t="s">
        <v>675</v>
      </c>
      <c r="G1512" t="s">
        <v>16</v>
      </c>
      <c r="H1512" t="s">
        <v>5262</v>
      </c>
      <c r="I1512">
        <v>1.8615999999999999</v>
      </c>
      <c r="J1512">
        <v>26969.599999999999</v>
      </c>
      <c r="K1512">
        <v>14487.322733132789</v>
      </c>
    </row>
    <row r="1513" spans="1:11" x14ac:dyDescent="0.25">
      <c r="A1513" t="s">
        <v>677</v>
      </c>
      <c r="B1513" t="s">
        <v>678</v>
      </c>
      <c r="C1513" s="1">
        <v>40906</v>
      </c>
      <c r="D1513" s="1">
        <v>40911</v>
      </c>
      <c r="E1513">
        <v>2629</v>
      </c>
      <c r="F1513" t="s">
        <v>331</v>
      </c>
      <c r="G1513" t="s">
        <v>16</v>
      </c>
      <c r="H1513" t="s">
        <v>1831</v>
      </c>
      <c r="I1513">
        <v>1.8633999999999999</v>
      </c>
      <c r="J1513">
        <v>75871.399999999994</v>
      </c>
      <c r="K1513">
        <v>40716.646989374261</v>
      </c>
    </row>
    <row r="1514" spans="1:11" x14ac:dyDescent="0.25">
      <c r="A1514" t="s">
        <v>677</v>
      </c>
      <c r="B1514" t="s">
        <v>678</v>
      </c>
      <c r="C1514" s="1">
        <v>40906</v>
      </c>
      <c r="D1514" s="1">
        <v>40911</v>
      </c>
      <c r="E1514">
        <v>2629</v>
      </c>
      <c r="F1514" t="s">
        <v>331</v>
      </c>
      <c r="G1514" t="s">
        <v>16</v>
      </c>
      <c r="H1514" t="s">
        <v>1832</v>
      </c>
      <c r="I1514">
        <v>1.8633999999999999</v>
      </c>
      <c r="J1514">
        <v>58304.81</v>
      </c>
      <c r="K1514">
        <v>31289.476226253086</v>
      </c>
    </row>
    <row r="1515" spans="1:11" x14ac:dyDescent="0.25">
      <c r="A1515" t="s">
        <v>5263</v>
      </c>
      <c r="C1515" s="1">
        <v>40893</v>
      </c>
      <c r="D1515" s="1">
        <v>40906</v>
      </c>
      <c r="E1515">
        <v>3100</v>
      </c>
      <c r="F1515" t="s">
        <v>5264</v>
      </c>
      <c r="G1515" t="s">
        <v>16</v>
      </c>
      <c r="H1515" t="s">
        <v>2057</v>
      </c>
      <c r="I1515">
        <v>1.8609</v>
      </c>
      <c r="J1515">
        <v>505.81</v>
      </c>
      <c r="K1515">
        <v>271.80933956687625</v>
      </c>
    </row>
    <row r="1516" spans="1:11" x14ac:dyDescent="0.25">
      <c r="A1516" t="s">
        <v>677</v>
      </c>
      <c r="B1516" t="s">
        <v>678</v>
      </c>
      <c r="C1516" s="1">
        <v>40903</v>
      </c>
      <c r="D1516" s="1">
        <v>40911</v>
      </c>
      <c r="E1516">
        <v>2629</v>
      </c>
      <c r="F1516" t="s">
        <v>331</v>
      </c>
      <c r="G1516" t="s">
        <v>16</v>
      </c>
      <c r="H1516" t="s">
        <v>1833</v>
      </c>
      <c r="I1516">
        <v>1.8560000000000001</v>
      </c>
      <c r="J1516">
        <v>80881.48</v>
      </c>
      <c r="K1516">
        <v>43578.383620689652</v>
      </c>
    </row>
    <row r="1517" spans="1:11" x14ac:dyDescent="0.25">
      <c r="A1517" t="s">
        <v>677</v>
      </c>
      <c r="B1517" t="s">
        <v>678</v>
      </c>
      <c r="C1517" s="1">
        <v>40906</v>
      </c>
      <c r="D1517" s="1">
        <v>40911</v>
      </c>
      <c r="E1517">
        <v>2629</v>
      </c>
      <c r="F1517" t="s">
        <v>331</v>
      </c>
      <c r="G1517" t="s">
        <v>16</v>
      </c>
      <c r="H1517" t="s">
        <v>1834</v>
      </c>
      <c r="I1517">
        <v>1.8633999999999999</v>
      </c>
      <c r="J1517">
        <v>58273.49</v>
      </c>
      <c r="K1517">
        <v>31272.66824085006</v>
      </c>
    </row>
    <row r="1518" spans="1:11" x14ac:dyDescent="0.25">
      <c r="A1518" t="s">
        <v>5265</v>
      </c>
      <c r="C1518" s="1">
        <v>40891</v>
      </c>
      <c r="D1518" s="1">
        <v>40906</v>
      </c>
      <c r="E1518">
        <v>3046</v>
      </c>
      <c r="F1518" t="s">
        <v>288</v>
      </c>
      <c r="G1518" t="s">
        <v>16</v>
      </c>
      <c r="H1518" t="s">
        <v>5266</v>
      </c>
      <c r="I1518">
        <v>1.8409</v>
      </c>
      <c r="J1518">
        <v>2215.92</v>
      </c>
      <c r="K1518">
        <v>1203.7155739040686</v>
      </c>
    </row>
    <row r="1519" spans="1:11" x14ac:dyDescent="0.25">
      <c r="A1519" t="s">
        <v>677</v>
      </c>
      <c r="B1519" t="s">
        <v>678</v>
      </c>
      <c r="C1519" s="1">
        <v>40906</v>
      </c>
      <c r="D1519" s="1">
        <v>40911</v>
      </c>
      <c r="E1519">
        <v>2629</v>
      </c>
      <c r="F1519" t="s">
        <v>331</v>
      </c>
      <c r="G1519" t="s">
        <v>16</v>
      </c>
      <c r="H1519" t="s">
        <v>5267</v>
      </c>
      <c r="I1519">
        <v>1.8633999999999999</v>
      </c>
      <c r="J1519">
        <v>77468.36</v>
      </c>
      <c r="K1519">
        <v>41573.661049694107</v>
      </c>
    </row>
    <row r="1520" spans="1:11" x14ac:dyDescent="0.25">
      <c r="A1520" t="s">
        <v>677</v>
      </c>
      <c r="B1520" t="s">
        <v>678</v>
      </c>
      <c r="C1520" s="1">
        <v>40907</v>
      </c>
      <c r="D1520" s="1">
        <v>40911</v>
      </c>
      <c r="E1520">
        <v>2629</v>
      </c>
      <c r="F1520" t="s">
        <v>331</v>
      </c>
      <c r="G1520" t="s">
        <v>16</v>
      </c>
      <c r="H1520" t="s">
        <v>1835</v>
      </c>
      <c r="I1520">
        <v>1.8757999999999999</v>
      </c>
      <c r="J1520">
        <v>50132.11</v>
      </c>
      <c r="K1520">
        <v>26725.722358460389</v>
      </c>
    </row>
    <row r="1521" spans="1:11" x14ac:dyDescent="0.25">
      <c r="A1521" t="s">
        <v>1836</v>
      </c>
      <c r="B1521" t="s">
        <v>1837</v>
      </c>
      <c r="C1521" s="1">
        <v>40907</v>
      </c>
      <c r="D1521" s="1">
        <v>40921</v>
      </c>
      <c r="E1521">
        <v>1533</v>
      </c>
      <c r="F1521" t="s">
        <v>331</v>
      </c>
      <c r="G1521" t="s">
        <v>16</v>
      </c>
      <c r="H1521" t="s">
        <v>1838</v>
      </c>
      <c r="I1521">
        <v>1.8757999999999999</v>
      </c>
      <c r="J1521">
        <v>57929.05</v>
      </c>
      <c r="K1521">
        <v>30882.316878131998</v>
      </c>
    </row>
    <row r="1522" spans="1:11" x14ac:dyDescent="0.25">
      <c r="A1522" t="s">
        <v>681</v>
      </c>
      <c r="B1522" t="s">
        <v>682</v>
      </c>
      <c r="C1522" s="1">
        <v>40899</v>
      </c>
      <c r="D1522" s="1">
        <v>40921</v>
      </c>
      <c r="E1522">
        <v>1534</v>
      </c>
      <c r="F1522" t="s">
        <v>331</v>
      </c>
      <c r="G1522" t="s">
        <v>16</v>
      </c>
      <c r="H1522" t="s">
        <v>1839</v>
      </c>
      <c r="I1522">
        <v>1.8555999999999999</v>
      </c>
      <c r="J1522">
        <v>58184.25</v>
      </c>
      <c r="K1522">
        <v>31356.030394481568</v>
      </c>
    </row>
    <row r="1523" spans="1:11" x14ac:dyDescent="0.25">
      <c r="A1523" t="s">
        <v>681</v>
      </c>
      <c r="B1523" t="s">
        <v>682</v>
      </c>
      <c r="C1523" s="1">
        <v>40898</v>
      </c>
      <c r="D1523" s="1">
        <v>40921</v>
      </c>
      <c r="E1523">
        <v>1534</v>
      </c>
      <c r="F1523" t="s">
        <v>331</v>
      </c>
      <c r="G1523" t="s">
        <v>16</v>
      </c>
      <c r="H1523" t="s">
        <v>1840</v>
      </c>
      <c r="I1523">
        <v>1.8508</v>
      </c>
      <c r="J1523">
        <v>79633.66</v>
      </c>
      <c r="K1523">
        <v>43026.615517614002</v>
      </c>
    </row>
    <row r="1524" spans="1:11" x14ac:dyDescent="0.25">
      <c r="A1524" t="s">
        <v>1368</v>
      </c>
      <c r="B1524" t="s">
        <v>1369</v>
      </c>
      <c r="C1524" s="1">
        <v>40932</v>
      </c>
      <c r="D1524" s="1">
        <v>40935</v>
      </c>
      <c r="E1524">
        <v>3413</v>
      </c>
      <c r="F1524" t="s">
        <v>689</v>
      </c>
      <c r="G1524" t="s">
        <v>16</v>
      </c>
      <c r="H1524" t="s">
        <v>5268</v>
      </c>
      <c r="I1524">
        <v>1.7527999999999999</v>
      </c>
      <c r="J1524">
        <v>50863.31</v>
      </c>
      <c r="K1524">
        <v>29018.319260611592</v>
      </c>
    </row>
    <row r="1525" spans="1:11" x14ac:dyDescent="0.25">
      <c r="A1525" t="s">
        <v>1841</v>
      </c>
      <c r="B1525" t="s">
        <v>286</v>
      </c>
      <c r="C1525" s="1">
        <v>40903</v>
      </c>
      <c r="D1525" s="1">
        <v>40906</v>
      </c>
      <c r="E1525">
        <v>1686</v>
      </c>
      <c r="F1525" t="s">
        <v>311</v>
      </c>
      <c r="G1525" t="s">
        <v>16</v>
      </c>
      <c r="H1525" t="s">
        <v>1842</v>
      </c>
      <c r="I1525">
        <v>1.8560000000000001</v>
      </c>
      <c r="J1525">
        <v>16783.310000000001</v>
      </c>
      <c r="K1525">
        <v>9042.7316810344819</v>
      </c>
    </row>
    <row r="1526" spans="1:11" x14ac:dyDescent="0.25">
      <c r="A1526" t="s">
        <v>709</v>
      </c>
      <c r="B1526" t="s">
        <v>710</v>
      </c>
      <c r="C1526" s="1">
        <v>40917</v>
      </c>
      <c r="D1526" s="1">
        <v>40920</v>
      </c>
      <c r="E1526">
        <v>4</v>
      </c>
      <c r="F1526" t="s">
        <v>278</v>
      </c>
      <c r="G1526" t="s">
        <v>16</v>
      </c>
      <c r="H1526" t="s">
        <v>1843</v>
      </c>
      <c r="I1526">
        <v>1.8449</v>
      </c>
      <c r="J1526">
        <v>33558.74</v>
      </c>
      <c r="K1526">
        <v>18190.004878313186</v>
      </c>
    </row>
    <row r="1527" spans="1:11" x14ac:dyDescent="0.25">
      <c r="A1527" t="s">
        <v>654</v>
      </c>
      <c r="B1527" t="s">
        <v>655</v>
      </c>
      <c r="C1527" s="1">
        <v>40904</v>
      </c>
      <c r="D1527" s="1">
        <v>40911</v>
      </c>
      <c r="E1527">
        <v>116</v>
      </c>
      <c r="F1527" t="s">
        <v>675</v>
      </c>
      <c r="G1527" t="s">
        <v>16</v>
      </c>
      <c r="H1527" t="s">
        <v>5269</v>
      </c>
      <c r="I1527">
        <v>1.8566</v>
      </c>
      <c r="J1527">
        <v>34741.449999999997</v>
      </c>
      <c r="K1527">
        <v>18712.404395130885</v>
      </c>
    </row>
    <row r="1528" spans="1:11" x14ac:dyDescent="0.25">
      <c r="A1528" t="s">
        <v>654</v>
      </c>
      <c r="B1528" t="s">
        <v>655</v>
      </c>
      <c r="C1528" s="1">
        <v>40904</v>
      </c>
      <c r="D1528" s="1">
        <v>40911</v>
      </c>
      <c r="E1528">
        <v>116</v>
      </c>
      <c r="F1528" t="s">
        <v>675</v>
      </c>
      <c r="G1528" t="s">
        <v>16</v>
      </c>
      <c r="H1528" t="s">
        <v>1844</v>
      </c>
      <c r="I1528">
        <v>1.8566</v>
      </c>
      <c r="J1528">
        <v>20844.919999999998</v>
      </c>
      <c r="K1528">
        <v>11227.469568027578</v>
      </c>
    </row>
    <row r="1529" spans="1:11" x14ac:dyDescent="0.25">
      <c r="A1529" t="s">
        <v>654</v>
      </c>
      <c r="B1529" t="s">
        <v>655</v>
      </c>
      <c r="C1529" s="1">
        <v>40904</v>
      </c>
      <c r="D1529" s="1">
        <v>40911</v>
      </c>
      <c r="E1529">
        <v>116</v>
      </c>
      <c r="F1529" t="s">
        <v>675</v>
      </c>
      <c r="G1529" t="s">
        <v>16</v>
      </c>
      <c r="H1529" t="s">
        <v>5270</v>
      </c>
      <c r="I1529">
        <v>1.8566</v>
      </c>
      <c r="J1529">
        <v>708890</v>
      </c>
      <c r="K1529">
        <v>381821.60939351504</v>
      </c>
    </row>
    <row r="1530" spans="1:11" x14ac:dyDescent="0.25">
      <c r="A1530" t="s">
        <v>677</v>
      </c>
      <c r="B1530" t="s">
        <v>678</v>
      </c>
      <c r="C1530" s="1">
        <v>40906</v>
      </c>
      <c r="D1530" s="1">
        <v>40911</v>
      </c>
      <c r="E1530">
        <v>2629</v>
      </c>
      <c r="F1530" t="s">
        <v>331</v>
      </c>
      <c r="G1530" t="s">
        <v>16</v>
      </c>
      <c r="H1530" t="s">
        <v>5271</v>
      </c>
      <c r="I1530">
        <v>1.8633999999999999</v>
      </c>
      <c r="J1530">
        <v>58398.75</v>
      </c>
      <c r="K1530">
        <v>31339.88944939358</v>
      </c>
    </row>
    <row r="1531" spans="1:11" x14ac:dyDescent="0.25">
      <c r="A1531" t="s">
        <v>677</v>
      </c>
      <c r="B1531" t="s">
        <v>678</v>
      </c>
      <c r="C1531" s="1">
        <v>40907</v>
      </c>
      <c r="D1531" s="1">
        <v>40910</v>
      </c>
      <c r="E1531">
        <v>2629</v>
      </c>
      <c r="F1531" t="s">
        <v>331</v>
      </c>
      <c r="G1531" t="s">
        <v>16</v>
      </c>
      <c r="H1531" t="s">
        <v>5272</v>
      </c>
      <c r="I1531">
        <v>1.8757999999999999</v>
      </c>
      <c r="J1531">
        <v>57240.160000000003</v>
      </c>
      <c r="K1531">
        <v>30515.065572022602</v>
      </c>
    </row>
    <row r="1532" spans="1:11" x14ac:dyDescent="0.25">
      <c r="A1532" t="s">
        <v>1836</v>
      </c>
      <c r="B1532" t="s">
        <v>1837</v>
      </c>
      <c r="C1532" s="1">
        <v>40907</v>
      </c>
      <c r="D1532" s="1">
        <v>40920</v>
      </c>
      <c r="E1532">
        <v>1533</v>
      </c>
      <c r="F1532" t="s">
        <v>331</v>
      </c>
      <c r="G1532" t="s">
        <v>16</v>
      </c>
      <c r="H1532" t="s">
        <v>1845</v>
      </c>
      <c r="I1532">
        <v>1.8757999999999999</v>
      </c>
      <c r="J1532">
        <v>57929.05</v>
      </c>
      <c r="K1532">
        <v>30882.316878131998</v>
      </c>
    </row>
    <row r="1533" spans="1:11" x14ac:dyDescent="0.25">
      <c r="A1533" t="s">
        <v>677</v>
      </c>
      <c r="B1533" t="s">
        <v>678</v>
      </c>
      <c r="C1533" s="1">
        <v>40912</v>
      </c>
      <c r="D1533" s="1">
        <v>40913</v>
      </c>
      <c r="E1533">
        <v>2629</v>
      </c>
      <c r="F1533" t="s">
        <v>331</v>
      </c>
      <c r="G1533" t="s">
        <v>16</v>
      </c>
      <c r="H1533" t="s">
        <v>5273</v>
      </c>
      <c r="I1533">
        <v>1.8456999999999999</v>
      </c>
      <c r="J1533">
        <v>73522.92</v>
      </c>
      <c r="K1533">
        <v>39834.707698975995</v>
      </c>
    </row>
    <row r="1534" spans="1:11" x14ac:dyDescent="0.25">
      <c r="A1534" t="s">
        <v>4099</v>
      </c>
      <c r="B1534" t="s">
        <v>4100</v>
      </c>
      <c r="C1534" s="1">
        <v>40918</v>
      </c>
      <c r="D1534" s="1">
        <v>40927</v>
      </c>
      <c r="E1534">
        <v>2751</v>
      </c>
      <c r="F1534" t="s">
        <v>309</v>
      </c>
      <c r="G1534" t="s">
        <v>16</v>
      </c>
      <c r="H1534" t="s">
        <v>5274</v>
      </c>
      <c r="I1534">
        <v>1.8442000000000001</v>
      </c>
      <c r="J1534">
        <v>45555.58</v>
      </c>
      <c r="K1534">
        <v>24702.082203665545</v>
      </c>
    </row>
    <row r="1535" spans="1:11" x14ac:dyDescent="0.25">
      <c r="A1535" t="s">
        <v>5275</v>
      </c>
      <c r="B1535" t="s">
        <v>5276</v>
      </c>
      <c r="C1535" s="1">
        <v>40924</v>
      </c>
      <c r="D1535" s="1">
        <v>40928</v>
      </c>
      <c r="E1535">
        <v>3580</v>
      </c>
      <c r="F1535" t="s">
        <v>5277</v>
      </c>
      <c r="G1535" t="s">
        <v>16</v>
      </c>
      <c r="H1535" t="s">
        <v>5278</v>
      </c>
      <c r="I1535">
        <v>1.7853000000000001</v>
      </c>
      <c r="J1535">
        <v>336945.74</v>
      </c>
      <c r="K1535">
        <v>188733.40054892734</v>
      </c>
    </row>
    <row r="1536" spans="1:11" x14ac:dyDescent="0.25">
      <c r="A1536" t="s">
        <v>654</v>
      </c>
      <c r="B1536" t="s">
        <v>655</v>
      </c>
      <c r="C1536" s="1">
        <v>40897</v>
      </c>
      <c r="D1536" s="1">
        <v>40899</v>
      </c>
      <c r="E1536">
        <v>116</v>
      </c>
      <c r="F1536" t="s">
        <v>675</v>
      </c>
      <c r="G1536" t="s">
        <v>16</v>
      </c>
      <c r="H1536" t="s">
        <v>5279</v>
      </c>
      <c r="I1536">
        <v>1.8615999999999999</v>
      </c>
      <c r="J1536">
        <v>349252.8</v>
      </c>
      <c r="K1536">
        <v>187608.93854748603</v>
      </c>
    </row>
    <row r="1537" spans="1:11" x14ac:dyDescent="0.25">
      <c r="A1537" t="s">
        <v>654</v>
      </c>
      <c r="B1537" t="s">
        <v>655</v>
      </c>
      <c r="C1537" s="1">
        <v>40897</v>
      </c>
      <c r="D1537" s="1">
        <v>40899</v>
      </c>
      <c r="E1537">
        <v>116</v>
      </c>
      <c r="F1537" t="s">
        <v>675</v>
      </c>
      <c r="G1537" t="s">
        <v>16</v>
      </c>
      <c r="H1537" t="s">
        <v>5280</v>
      </c>
      <c r="I1537">
        <v>1.8615999999999999</v>
      </c>
      <c r="J1537">
        <v>145460</v>
      </c>
      <c r="K1537">
        <v>78137.086377309839</v>
      </c>
    </row>
    <row r="1538" spans="1:11" x14ac:dyDescent="0.25">
      <c r="A1538" t="s">
        <v>684</v>
      </c>
      <c r="B1538" t="s">
        <v>685</v>
      </c>
      <c r="C1538" s="1">
        <v>40926</v>
      </c>
      <c r="D1538" s="1">
        <v>40931</v>
      </c>
      <c r="E1538">
        <v>3636</v>
      </c>
      <c r="F1538" t="s">
        <v>309</v>
      </c>
      <c r="G1538" t="s">
        <v>16</v>
      </c>
      <c r="H1538" t="s">
        <v>5281</v>
      </c>
      <c r="I1538">
        <v>1.776</v>
      </c>
      <c r="J1538">
        <v>27949.71</v>
      </c>
      <c r="K1538">
        <v>15737.449324324325</v>
      </c>
    </row>
    <row r="1539" spans="1:11" x14ac:dyDescent="0.25">
      <c r="A1539" t="s">
        <v>2313</v>
      </c>
      <c r="B1539" t="s">
        <v>2314</v>
      </c>
      <c r="C1539" s="1">
        <v>40927</v>
      </c>
      <c r="D1539" s="1">
        <v>40934</v>
      </c>
      <c r="E1539">
        <v>1747</v>
      </c>
      <c r="F1539" t="s">
        <v>309</v>
      </c>
      <c r="G1539" t="s">
        <v>16</v>
      </c>
      <c r="H1539" t="s">
        <v>5282</v>
      </c>
      <c r="I1539">
        <v>1.7790999999999999</v>
      </c>
      <c r="J1539">
        <v>69673.5</v>
      </c>
      <c r="K1539">
        <v>39162.216851216908</v>
      </c>
    </row>
    <row r="1540" spans="1:11" x14ac:dyDescent="0.25">
      <c r="A1540" t="s">
        <v>677</v>
      </c>
      <c r="B1540" t="s">
        <v>678</v>
      </c>
      <c r="C1540" s="1">
        <v>40912</v>
      </c>
      <c r="D1540" s="1">
        <v>40914</v>
      </c>
      <c r="E1540">
        <v>2629</v>
      </c>
      <c r="F1540" t="s">
        <v>331</v>
      </c>
      <c r="G1540" t="s">
        <v>16</v>
      </c>
      <c r="H1540" t="s">
        <v>1846</v>
      </c>
      <c r="I1540">
        <v>1.8456999999999999</v>
      </c>
      <c r="J1540">
        <v>55455.32</v>
      </c>
      <c r="K1540">
        <v>30045.684564122013</v>
      </c>
    </row>
    <row r="1541" spans="1:11" x14ac:dyDescent="0.25">
      <c r="A1541" t="s">
        <v>672</v>
      </c>
      <c r="B1541" t="s">
        <v>673</v>
      </c>
      <c r="C1541" s="1">
        <v>40892</v>
      </c>
      <c r="D1541" s="1">
        <v>40898</v>
      </c>
      <c r="E1541">
        <v>118</v>
      </c>
      <c r="F1541" t="s">
        <v>370</v>
      </c>
      <c r="G1541" t="s">
        <v>16</v>
      </c>
      <c r="H1541" t="s">
        <v>5283</v>
      </c>
      <c r="I1541">
        <v>1.8728</v>
      </c>
      <c r="J1541">
        <v>78404.77</v>
      </c>
      <c r="K1541">
        <v>41864.998932080307</v>
      </c>
    </row>
    <row r="1542" spans="1:11" x14ac:dyDescent="0.25">
      <c r="A1542" t="s">
        <v>684</v>
      </c>
      <c r="B1542" t="s">
        <v>685</v>
      </c>
      <c r="C1542" s="1">
        <v>40925</v>
      </c>
      <c r="D1542" s="1">
        <v>40933</v>
      </c>
      <c r="E1542">
        <v>3636</v>
      </c>
      <c r="F1542" t="s">
        <v>309</v>
      </c>
      <c r="G1542" t="s">
        <v>16</v>
      </c>
      <c r="H1542" t="s">
        <v>1847</v>
      </c>
      <c r="I1542">
        <v>1.7836000000000001</v>
      </c>
      <c r="J1542">
        <v>28223.95</v>
      </c>
      <c r="K1542">
        <v>15824.147790984525</v>
      </c>
    </row>
    <row r="1543" spans="1:11" x14ac:dyDescent="0.25">
      <c r="A1543" t="s">
        <v>684</v>
      </c>
      <c r="B1543" t="s">
        <v>685</v>
      </c>
      <c r="C1543" s="1">
        <v>40925</v>
      </c>
      <c r="D1543" s="1">
        <v>40933</v>
      </c>
      <c r="E1543">
        <v>3636</v>
      </c>
      <c r="F1543" t="s">
        <v>309</v>
      </c>
      <c r="G1543" t="s">
        <v>16</v>
      </c>
      <c r="H1543" t="s">
        <v>1848</v>
      </c>
      <c r="I1543">
        <v>1.7836000000000001</v>
      </c>
      <c r="J1543">
        <v>33655.440000000002</v>
      </c>
      <c r="K1543">
        <v>18869.387755102041</v>
      </c>
    </row>
    <row r="1544" spans="1:11" x14ac:dyDescent="0.25">
      <c r="A1544" t="s">
        <v>1339</v>
      </c>
      <c r="B1544" t="s">
        <v>1340</v>
      </c>
      <c r="C1544" s="1">
        <v>40876</v>
      </c>
      <c r="D1544" s="1">
        <v>40879</v>
      </c>
      <c r="E1544">
        <v>1843</v>
      </c>
      <c r="F1544" t="s">
        <v>373</v>
      </c>
      <c r="G1544" t="s">
        <v>16</v>
      </c>
      <c r="H1544" t="s">
        <v>1849</v>
      </c>
      <c r="I1544">
        <v>1.8595999999999999</v>
      </c>
      <c r="J1544">
        <v>98910</v>
      </c>
      <c r="K1544">
        <v>53188.857818885779</v>
      </c>
    </row>
    <row r="1545" spans="1:11" x14ac:dyDescent="0.25">
      <c r="A1545" t="s">
        <v>654</v>
      </c>
      <c r="B1545" t="s">
        <v>655</v>
      </c>
      <c r="C1545" s="1">
        <v>40939</v>
      </c>
      <c r="D1545" s="1">
        <v>40942</v>
      </c>
      <c r="E1545">
        <v>116</v>
      </c>
      <c r="F1545" t="s">
        <v>675</v>
      </c>
      <c r="G1545" t="s">
        <v>16</v>
      </c>
      <c r="H1545" t="s">
        <v>5284</v>
      </c>
      <c r="I1545">
        <v>1.7508999999999999</v>
      </c>
      <c r="J1545">
        <v>155107.19</v>
      </c>
      <c r="K1545">
        <v>88587.120909246674</v>
      </c>
    </row>
    <row r="1546" spans="1:11" x14ac:dyDescent="0.25">
      <c r="A1546" t="s">
        <v>713</v>
      </c>
      <c r="B1546" t="s">
        <v>714</v>
      </c>
      <c r="C1546" s="1">
        <v>40942</v>
      </c>
      <c r="D1546" s="1">
        <v>40943</v>
      </c>
      <c r="E1546">
        <v>3412</v>
      </c>
      <c r="F1546" t="s">
        <v>689</v>
      </c>
      <c r="G1546" t="s">
        <v>16</v>
      </c>
      <c r="H1546" t="s">
        <v>5285</v>
      </c>
      <c r="I1546">
        <v>1.7325999999999999</v>
      </c>
      <c r="J1546">
        <v>26737.360000000001</v>
      </c>
      <c r="K1546">
        <v>15431.92889299319</v>
      </c>
    </row>
    <row r="1547" spans="1:11" x14ac:dyDescent="0.25">
      <c r="A1547" t="s">
        <v>731</v>
      </c>
      <c r="B1547" t="s">
        <v>732</v>
      </c>
      <c r="C1547" s="1">
        <v>40970</v>
      </c>
      <c r="D1547" s="1">
        <v>40976</v>
      </c>
      <c r="E1547">
        <v>1716</v>
      </c>
      <c r="F1547" t="s">
        <v>689</v>
      </c>
      <c r="G1547" t="s">
        <v>16</v>
      </c>
      <c r="H1547" t="s">
        <v>1850</v>
      </c>
      <c r="I1547">
        <v>1.7152000000000001</v>
      </c>
      <c r="J1547">
        <v>49703.21</v>
      </c>
      <c r="K1547">
        <v>28978.084188432837</v>
      </c>
    </row>
    <row r="1548" spans="1:11" x14ac:dyDescent="0.25">
      <c r="A1548" t="s">
        <v>731</v>
      </c>
      <c r="B1548" t="s">
        <v>732</v>
      </c>
      <c r="C1548" s="1">
        <v>40970</v>
      </c>
      <c r="D1548" s="1">
        <v>40976</v>
      </c>
      <c r="E1548">
        <v>1716</v>
      </c>
      <c r="F1548" t="s">
        <v>689</v>
      </c>
      <c r="G1548" t="s">
        <v>16</v>
      </c>
      <c r="H1548" t="s">
        <v>5286</v>
      </c>
      <c r="I1548">
        <v>1.7152000000000001</v>
      </c>
      <c r="J1548">
        <v>49851.09</v>
      </c>
      <c r="K1548">
        <v>29064.301539179105</v>
      </c>
    </row>
    <row r="1549" spans="1:11" x14ac:dyDescent="0.25">
      <c r="A1549" t="s">
        <v>731</v>
      </c>
      <c r="B1549" t="s">
        <v>732</v>
      </c>
      <c r="C1549" s="1">
        <v>40970</v>
      </c>
      <c r="D1549" s="1">
        <v>40976</v>
      </c>
      <c r="E1549">
        <v>1716</v>
      </c>
      <c r="F1549" t="s">
        <v>689</v>
      </c>
      <c r="G1549" t="s">
        <v>16</v>
      </c>
      <c r="H1549" t="s">
        <v>341</v>
      </c>
      <c r="I1549">
        <v>1.7152000000000001</v>
      </c>
      <c r="J1549">
        <v>50079.65</v>
      </c>
      <c r="K1549">
        <v>29197.557136194031</v>
      </c>
    </row>
    <row r="1550" spans="1:11" x14ac:dyDescent="0.25">
      <c r="A1550" t="s">
        <v>5287</v>
      </c>
      <c r="B1550" t="s">
        <v>448</v>
      </c>
      <c r="C1550" s="1">
        <v>40953</v>
      </c>
      <c r="D1550" s="1">
        <v>40956</v>
      </c>
      <c r="E1550">
        <v>4170</v>
      </c>
      <c r="F1550" t="s">
        <v>311</v>
      </c>
      <c r="G1550" t="s">
        <v>16</v>
      </c>
      <c r="H1550" t="s">
        <v>5288</v>
      </c>
      <c r="I1550">
        <v>1.7169000000000001</v>
      </c>
      <c r="J1550">
        <v>118623.74</v>
      </c>
      <c r="K1550">
        <v>69091.816646281091</v>
      </c>
    </row>
    <row r="1551" spans="1:11" x14ac:dyDescent="0.25">
      <c r="A1551" t="s">
        <v>1851</v>
      </c>
      <c r="B1551" t="s">
        <v>144</v>
      </c>
      <c r="C1551" s="1">
        <v>41004</v>
      </c>
      <c r="D1551" s="1">
        <v>41006</v>
      </c>
      <c r="E1551">
        <v>3513</v>
      </c>
      <c r="F1551" t="s">
        <v>689</v>
      </c>
      <c r="G1551" t="s">
        <v>16</v>
      </c>
      <c r="H1551" t="s">
        <v>1852</v>
      </c>
      <c r="I1551">
        <v>1.8315999999999999</v>
      </c>
      <c r="J1551">
        <v>22506</v>
      </c>
      <c r="K1551">
        <v>12287.617383708233</v>
      </c>
    </row>
    <row r="1552" spans="1:11" x14ac:dyDescent="0.25">
      <c r="A1552" t="s">
        <v>717</v>
      </c>
      <c r="B1552" t="s">
        <v>718</v>
      </c>
      <c r="C1552" s="1">
        <v>40994</v>
      </c>
      <c r="D1552" s="1">
        <v>41000</v>
      </c>
      <c r="E1552">
        <v>3</v>
      </c>
      <c r="F1552" t="s">
        <v>309</v>
      </c>
      <c r="G1552" t="s">
        <v>16</v>
      </c>
      <c r="H1552" t="s">
        <v>5289</v>
      </c>
      <c r="I1552">
        <v>1.8193999999999999</v>
      </c>
      <c r="J1552">
        <v>41598.29</v>
      </c>
      <c r="K1552">
        <v>22863.740793668243</v>
      </c>
    </row>
    <row r="1553" spans="1:11" x14ac:dyDescent="0.25">
      <c r="A1553" t="s">
        <v>5290</v>
      </c>
      <c r="B1553" t="s">
        <v>5291</v>
      </c>
      <c r="C1553" s="1">
        <v>40995</v>
      </c>
      <c r="D1553" s="1">
        <v>41001</v>
      </c>
      <c r="E1553">
        <v>4290</v>
      </c>
      <c r="F1553" t="s">
        <v>642</v>
      </c>
      <c r="G1553" t="s">
        <v>16</v>
      </c>
      <c r="H1553" t="s">
        <v>5292</v>
      </c>
      <c r="I1553">
        <v>1.8143</v>
      </c>
      <c r="J1553">
        <v>8098.56</v>
      </c>
      <c r="K1553">
        <v>4463.7380808025137</v>
      </c>
    </row>
    <row r="1554" spans="1:11" x14ac:dyDescent="0.25">
      <c r="A1554" t="s">
        <v>704</v>
      </c>
      <c r="B1554" t="s">
        <v>705</v>
      </c>
      <c r="C1554" s="1">
        <v>40974</v>
      </c>
      <c r="D1554" s="1">
        <v>40975</v>
      </c>
      <c r="E1554">
        <v>3416</v>
      </c>
      <c r="F1554" t="s">
        <v>689</v>
      </c>
      <c r="G1554" t="s">
        <v>16</v>
      </c>
      <c r="H1554" t="s">
        <v>1853</v>
      </c>
      <c r="I1554">
        <v>1.7314000000000001</v>
      </c>
      <c r="J1554">
        <v>40258.589999999997</v>
      </c>
      <c r="K1554">
        <v>23252.044588194523</v>
      </c>
    </row>
    <row r="1555" spans="1:11" x14ac:dyDescent="0.25">
      <c r="A1555" t="s">
        <v>3674</v>
      </c>
      <c r="B1555" t="s">
        <v>3675</v>
      </c>
      <c r="C1555" s="1">
        <v>40980</v>
      </c>
      <c r="D1555" s="1">
        <v>40985</v>
      </c>
      <c r="E1555">
        <v>4482</v>
      </c>
      <c r="F1555" t="s">
        <v>301</v>
      </c>
      <c r="G1555" t="s">
        <v>16</v>
      </c>
      <c r="H1555" t="s">
        <v>5293</v>
      </c>
      <c r="I1555">
        <v>1.7766999999999999</v>
      </c>
      <c r="J1555">
        <v>51372</v>
      </c>
      <c r="K1555">
        <v>28914.279281814601</v>
      </c>
    </row>
    <row r="1556" spans="1:11" x14ac:dyDescent="0.25">
      <c r="A1556" t="s">
        <v>687</v>
      </c>
      <c r="B1556" t="s">
        <v>688</v>
      </c>
      <c r="C1556" s="1">
        <v>40963</v>
      </c>
      <c r="D1556" s="1">
        <v>40965</v>
      </c>
      <c r="E1556">
        <v>3414</v>
      </c>
      <c r="F1556" t="s">
        <v>689</v>
      </c>
      <c r="G1556" t="s">
        <v>16</v>
      </c>
      <c r="H1556" t="s">
        <v>5294</v>
      </c>
      <c r="I1556">
        <v>1.704</v>
      </c>
      <c r="J1556">
        <v>47453.25</v>
      </c>
      <c r="K1556">
        <v>27848.151408450703</v>
      </c>
    </row>
    <row r="1557" spans="1:11" x14ac:dyDescent="0.25">
      <c r="A1557" t="s">
        <v>717</v>
      </c>
      <c r="B1557" t="s">
        <v>718</v>
      </c>
      <c r="C1557" s="1">
        <v>40997</v>
      </c>
      <c r="D1557" s="1">
        <v>41011</v>
      </c>
      <c r="E1557">
        <v>3</v>
      </c>
      <c r="F1557" t="s">
        <v>309</v>
      </c>
      <c r="G1557" t="s">
        <v>16</v>
      </c>
      <c r="H1557" t="s">
        <v>5295</v>
      </c>
      <c r="I1557">
        <v>1.8223</v>
      </c>
      <c r="J1557">
        <v>41575.879999999997</v>
      </c>
      <c r="K1557">
        <v>22815.057893870384</v>
      </c>
    </row>
    <row r="1558" spans="1:11" x14ac:dyDescent="0.25">
      <c r="A1558" t="s">
        <v>720</v>
      </c>
      <c r="B1558" t="s">
        <v>721</v>
      </c>
      <c r="C1558" s="1">
        <v>41079</v>
      </c>
      <c r="D1558" s="1">
        <v>41080</v>
      </c>
      <c r="E1558">
        <v>4819</v>
      </c>
      <c r="F1558" t="s">
        <v>689</v>
      </c>
      <c r="G1558" t="s">
        <v>16</v>
      </c>
      <c r="H1558" t="s">
        <v>5296</v>
      </c>
      <c r="I1558">
        <v>2.0634000000000001</v>
      </c>
      <c r="J1558">
        <v>43300.14</v>
      </c>
      <c r="K1558">
        <v>20984.850247164875</v>
      </c>
    </row>
    <row r="1559" spans="1:11" x14ac:dyDescent="0.25">
      <c r="A1559" t="s">
        <v>713</v>
      </c>
      <c r="B1559" t="s">
        <v>714</v>
      </c>
      <c r="C1559" s="1">
        <v>40963</v>
      </c>
      <c r="D1559" s="1">
        <v>40964</v>
      </c>
      <c r="E1559">
        <v>3412</v>
      </c>
      <c r="F1559" t="s">
        <v>689</v>
      </c>
      <c r="G1559" t="s">
        <v>16</v>
      </c>
      <c r="H1559" t="s">
        <v>5297</v>
      </c>
      <c r="I1559">
        <v>1.704</v>
      </c>
      <c r="J1559">
        <v>905.36</v>
      </c>
      <c r="K1559">
        <v>531.31455399061031</v>
      </c>
    </row>
    <row r="1560" spans="1:11" x14ac:dyDescent="0.25">
      <c r="A1560" t="s">
        <v>1851</v>
      </c>
      <c r="B1560" t="s">
        <v>144</v>
      </c>
      <c r="C1560" s="1">
        <v>41003</v>
      </c>
      <c r="D1560" s="1">
        <v>41004</v>
      </c>
      <c r="E1560">
        <v>3513</v>
      </c>
      <c r="F1560" t="s">
        <v>689</v>
      </c>
      <c r="G1560" t="s">
        <v>16</v>
      </c>
      <c r="H1560" t="s">
        <v>5298</v>
      </c>
      <c r="I1560">
        <v>1.8255999999999999</v>
      </c>
      <c r="J1560">
        <v>22218</v>
      </c>
      <c r="K1560">
        <v>12170.245398773006</v>
      </c>
    </row>
    <row r="1561" spans="1:11" x14ac:dyDescent="0.25">
      <c r="A1561" t="s">
        <v>717</v>
      </c>
      <c r="B1561" t="s">
        <v>718</v>
      </c>
      <c r="C1561" s="1">
        <v>40992</v>
      </c>
      <c r="D1561" s="1">
        <v>40998</v>
      </c>
      <c r="E1561">
        <v>3</v>
      </c>
      <c r="F1561" t="s">
        <v>309</v>
      </c>
      <c r="G1561" t="s">
        <v>16</v>
      </c>
      <c r="H1561" t="s">
        <v>1854</v>
      </c>
      <c r="I1561">
        <v>1.8193999999999999</v>
      </c>
      <c r="J1561">
        <v>41598.29</v>
      </c>
      <c r="K1561">
        <v>22863.740793668243</v>
      </c>
    </row>
    <row r="1562" spans="1:11" x14ac:dyDescent="0.25">
      <c r="A1562" t="s">
        <v>687</v>
      </c>
      <c r="B1562" t="s">
        <v>688</v>
      </c>
      <c r="C1562" s="1">
        <v>40963</v>
      </c>
      <c r="D1562" s="1">
        <v>40966</v>
      </c>
      <c r="E1562">
        <v>3414</v>
      </c>
      <c r="F1562" t="s">
        <v>689</v>
      </c>
      <c r="G1562" t="s">
        <v>16</v>
      </c>
      <c r="H1562" t="s">
        <v>5299</v>
      </c>
      <c r="I1562">
        <v>1.704</v>
      </c>
      <c r="J1562">
        <v>44909.97</v>
      </c>
      <c r="K1562">
        <v>26355.616197183099</v>
      </c>
    </row>
    <row r="1563" spans="1:11" x14ac:dyDescent="0.25">
      <c r="A1563" t="s">
        <v>687</v>
      </c>
      <c r="B1563" t="s">
        <v>688</v>
      </c>
      <c r="C1563" s="1">
        <v>40963</v>
      </c>
      <c r="D1563" s="1">
        <v>40966</v>
      </c>
      <c r="E1563">
        <v>3414</v>
      </c>
      <c r="F1563" t="s">
        <v>689</v>
      </c>
      <c r="G1563" t="s">
        <v>16</v>
      </c>
      <c r="H1563" t="s">
        <v>1855</v>
      </c>
      <c r="I1563">
        <v>1.704</v>
      </c>
      <c r="J1563">
        <v>44782.17</v>
      </c>
      <c r="K1563">
        <v>26280.616197183099</v>
      </c>
    </row>
    <row r="1564" spans="1:11" x14ac:dyDescent="0.25">
      <c r="A1564" t="s">
        <v>736</v>
      </c>
      <c r="B1564" t="s">
        <v>737</v>
      </c>
      <c r="C1564" s="1">
        <v>40964</v>
      </c>
      <c r="D1564" s="1">
        <v>40966</v>
      </c>
      <c r="E1564">
        <v>3415</v>
      </c>
      <c r="F1564" t="s">
        <v>689</v>
      </c>
      <c r="G1564" t="s">
        <v>16</v>
      </c>
      <c r="H1564" t="s">
        <v>5300</v>
      </c>
      <c r="I1564">
        <v>1.7098</v>
      </c>
      <c r="J1564">
        <v>49259.55</v>
      </c>
      <c r="K1564">
        <v>28810.123991110071</v>
      </c>
    </row>
    <row r="1565" spans="1:11" x14ac:dyDescent="0.25">
      <c r="A1565" t="s">
        <v>704</v>
      </c>
      <c r="B1565" t="s">
        <v>705</v>
      </c>
      <c r="C1565" s="1">
        <v>40978</v>
      </c>
      <c r="D1565" s="1">
        <v>40981</v>
      </c>
      <c r="E1565">
        <v>3416</v>
      </c>
      <c r="F1565" t="s">
        <v>689</v>
      </c>
      <c r="G1565" t="s">
        <v>16</v>
      </c>
      <c r="H1565" t="s">
        <v>1856</v>
      </c>
      <c r="I1565">
        <v>1.7766999999999999</v>
      </c>
      <c r="J1565">
        <v>34818.239999999998</v>
      </c>
      <c r="K1565">
        <v>19597.140766589746</v>
      </c>
    </row>
    <row r="1566" spans="1:11" x14ac:dyDescent="0.25">
      <c r="A1566" t="s">
        <v>704</v>
      </c>
      <c r="B1566" t="s">
        <v>705</v>
      </c>
      <c r="C1566" s="1">
        <v>40985</v>
      </c>
      <c r="D1566" s="1">
        <v>40988</v>
      </c>
      <c r="E1566">
        <v>3416</v>
      </c>
      <c r="F1566" t="s">
        <v>689</v>
      </c>
      <c r="G1566" t="s">
        <v>16</v>
      </c>
      <c r="H1566" t="s">
        <v>5301</v>
      </c>
      <c r="I1566">
        <v>1.8016000000000001</v>
      </c>
      <c r="J1566">
        <v>40258.589999999997</v>
      </c>
      <c r="K1566">
        <v>22346.020204262877</v>
      </c>
    </row>
    <row r="1567" spans="1:11" x14ac:dyDescent="0.25">
      <c r="A1567" t="s">
        <v>1857</v>
      </c>
      <c r="B1567" t="s">
        <v>1858</v>
      </c>
      <c r="C1567" s="1">
        <v>40941</v>
      </c>
      <c r="D1567" s="1">
        <v>40949</v>
      </c>
      <c r="E1567">
        <v>1714</v>
      </c>
      <c r="F1567" t="s">
        <v>689</v>
      </c>
      <c r="G1567" t="s">
        <v>16</v>
      </c>
      <c r="H1567" t="s">
        <v>1859</v>
      </c>
      <c r="I1567">
        <v>1.7376</v>
      </c>
      <c r="J1567">
        <v>27299.19</v>
      </c>
      <c r="K1567">
        <v>15710.859806629835</v>
      </c>
    </row>
    <row r="1568" spans="1:11" x14ac:dyDescent="0.25">
      <c r="A1568" t="s">
        <v>1857</v>
      </c>
      <c r="B1568" t="s">
        <v>1858</v>
      </c>
      <c r="C1568" s="1">
        <v>40941</v>
      </c>
      <c r="D1568" s="1">
        <v>40949</v>
      </c>
      <c r="E1568">
        <v>1714</v>
      </c>
      <c r="F1568" t="s">
        <v>689</v>
      </c>
      <c r="G1568" t="s">
        <v>16</v>
      </c>
      <c r="H1568" t="s">
        <v>1860</v>
      </c>
      <c r="I1568">
        <v>1.7376</v>
      </c>
      <c r="J1568">
        <v>26583.67</v>
      </c>
      <c r="K1568">
        <v>15299.073434622467</v>
      </c>
    </row>
    <row r="1569" spans="1:11" x14ac:dyDescent="0.25">
      <c r="A1569" t="s">
        <v>1857</v>
      </c>
      <c r="B1569" t="s">
        <v>1858</v>
      </c>
      <c r="C1569" s="1">
        <v>40941</v>
      </c>
      <c r="D1569" s="1">
        <v>40949</v>
      </c>
      <c r="E1569">
        <v>1714</v>
      </c>
      <c r="F1569" t="s">
        <v>689</v>
      </c>
      <c r="G1569" t="s">
        <v>16</v>
      </c>
      <c r="H1569" t="s">
        <v>1861</v>
      </c>
      <c r="I1569">
        <v>1.7376</v>
      </c>
      <c r="J1569">
        <v>27364.9</v>
      </c>
      <c r="K1569">
        <v>15748.676335174954</v>
      </c>
    </row>
    <row r="1570" spans="1:11" x14ac:dyDescent="0.25">
      <c r="A1570" t="s">
        <v>736</v>
      </c>
      <c r="B1570" t="s">
        <v>737</v>
      </c>
      <c r="C1570" s="1">
        <v>40967</v>
      </c>
      <c r="D1570" s="1">
        <v>40969</v>
      </c>
      <c r="E1570">
        <v>3415</v>
      </c>
      <c r="F1570" t="s">
        <v>689</v>
      </c>
      <c r="G1570" t="s">
        <v>16</v>
      </c>
      <c r="H1570" t="s">
        <v>5302</v>
      </c>
      <c r="I1570">
        <v>1.7088000000000001</v>
      </c>
      <c r="J1570">
        <v>49649.43</v>
      </c>
      <c r="K1570">
        <v>29055.143960674159</v>
      </c>
    </row>
    <row r="1571" spans="1:11" x14ac:dyDescent="0.25">
      <c r="A1571" t="s">
        <v>713</v>
      </c>
      <c r="B1571" t="s">
        <v>714</v>
      </c>
      <c r="C1571" s="1">
        <v>40963</v>
      </c>
      <c r="D1571" s="1">
        <v>40964</v>
      </c>
      <c r="E1571">
        <v>3412</v>
      </c>
      <c r="F1571" t="s">
        <v>689</v>
      </c>
      <c r="G1571" t="s">
        <v>16</v>
      </c>
      <c r="H1571" t="s">
        <v>1862</v>
      </c>
      <c r="I1571">
        <v>1.704</v>
      </c>
      <c r="J1571">
        <v>21027.74</v>
      </c>
      <c r="K1571">
        <v>12340.223004694835</v>
      </c>
    </row>
    <row r="1572" spans="1:11" x14ac:dyDescent="0.25">
      <c r="A1572" t="s">
        <v>704</v>
      </c>
      <c r="B1572" t="s">
        <v>705</v>
      </c>
      <c r="C1572" s="1">
        <v>40976</v>
      </c>
      <c r="D1572" s="1">
        <v>40978</v>
      </c>
      <c r="E1572">
        <v>3416</v>
      </c>
      <c r="F1572" t="s">
        <v>689</v>
      </c>
      <c r="G1572" t="s">
        <v>16</v>
      </c>
      <c r="H1572" t="s">
        <v>5303</v>
      </c>
      <c r="I1572">
        <v>1.7692000000000001</v>
      </c>
      <c r="J1572">
        <v>40258.589999999997</v>
      </c>
      <c r="K1572">
        <v>22755.250960886275</v>
      </c>
    </row>
    <row r="1573" spans="1:11" x14ac:dyDescent="0.25">
      <c r="A1573" t="s">
        <v>727</v>
      </c>
      <c r="B1573" t="s">
        <v>728</v>
      </c>
      <c r="C1573" s="1">
        <v>40968</v>
      </c>
      <c r="D1573" s="1">
        <v>40976</v>
      </c>
      <c r="E1573">
        <v>1715</v>
      </c>
      <c r="F1573" t="s">
        <v>689</v>
      </c>
      <c r="G1573" t="s">
        <v>16</v>
      </c>
      <c r="H1573" t="s">
        <v>1863</v>
      </c>
      <c r="I1573">
        <v>1.7023999999999999</v>
      </c>
      <c r="J1573">
        <v>39170.519999999997</v>
      </c>
      <c r="K1573">
        <v>23008.999060150374</v>
      </c>
    </row>
    <row r="1574" spans="1:11" x14ac:dyDescent="0.25">
      <c r="A1574" t="s">
        <v>727</v>
      </c>
      <c r="B1574" t="s">
        <v>728</v>
      </c>
      <c r="C1574" s="1">
        <v>40968</v>
      </c>
      <c r="D1574" s="1">
        <v>40976</v>
      </c>
      <c r="E1574">
        <v>1715</v>
      </c>
      <c r="F1574" t="s">
        <v>689</v>
      </c>
      <c r="G1574" t="s">
        <v>16</v>
      </c>
      <c r="H1574" t="s">
        <v>1864</v>
      </c>
      <c r="I1574">
        <v>1.7023999999999999</v>
      </c>
      <c r="J1574">
        <v>39170.519999999997</v>
      </c>
      <c r="K1574">
        <v>23008.999060150374</v>
      </c>
    </row>
    <row r="1575" spans="1:11" x14ac:dyDescent="0.25">
      <c r="A1575" t="s">
        <v>687</v>
      </c>
      <c r="B1575" t="s">
        <v>688</v>
      </c>
      <c r="C1575" s="1">
        <v>40962</v>
      </c>
      <c r="D1575" s="1">
        <v>40963</v>
      </c>
      <c r="E1575">
        <v>3414</v>
      </c>
      <c r="F1575" t="s">
        <v>689</v>
      </c>
      <c r="G1575" t="s">
        <v>16</v>
      </c>
      <c r="H1575" t="s">
        <v>1865</v>
      </c>
      <c r="I1575">
        <v>1.7076</v>
      </c>
      <c r="J1575">
        <v>46111.32</v>
      </c>
      <c r="K1575">
        <v>27003.583977512299</v>
      </c>
    </row>
    <row r="1576" spans="1:11" x14ac:dyDescent="0.25">
      <c r="A1576" t="s">
        <v>687</v>
      </c>
      <c r="B1576" t="s">
        <v>688</v>
      </c>
      <c r="C1576" s="1">
        <v>40963</v>
      </c>
      <c r="D1576" s="1">
        <v>40963</v>
      </c>
      <c r="E1576">
        <v>3414</v>
      </c>
      <c r="F1576" t="s">
        <v>689</v>
      </c>
      <c r="G1576" t="s">
        <v>16</v>
      </c>
      <c r="H1576" t="s">
        <v>1866</v>
      </c>
      <c r="I1576">
        <v>1.704</v>
      </c>
      <c r="J1576">
        <v>45970.74</v>
      </c>
      <c r="K1576">
        <v>26978.133802816901</v>
      </c>
    </row>
    <row r="1577" spans="1:11" x14ac:dyDescent="0.25">
      <c r="A1577" t="s">
        <v>687</v>
      </c>
      <c r="B1577" t="s">
        <v>688</v>
      </c>
      <c r="C1577" s="1">
        <v>40962</v>
      </c>
      <c r="D1577" s="1">
        <v>40963</v>
      </c>
      <c r="E1577">
        <v>3414</v>
      </c>
      <c r="F1577" t="s">
        <v>689</v>
      </c>
      <c r="G1577" t="s">
        <v>16</v>
      </c>
      <c r="H1577" t="s">
        <v>5304</v>
      </c>
      <c r="I1577">
        <v>1.7076</v>
      </c>
      <c r="J1577">
        <v>45957.96</v>
      </c>
      <c r="K1577">
        <v>26913.773717498243</v>
      </c>
    </row>
    <row r="1578" spans="1:11" x14ac:dyDescent="0.25">
      <c r="A1578" t="s">
        <v>1857</v>
      </c>
      <c r="B1578" t="s">
        <v>1858</v>
      </c>
      <c r="C1578" s="1">
        <v>40942</v>
      </c>
      <c r="D1578" s="1">
        <v>40949</v>
      </c>
      <c r="E1578">
        <v>1714</v>
      </c>
      <c r="F1578" t="s">
        <v>689</v>
      </c>
      <c r="G1578" t="s">
        <v>16</v>
      </c>
      <c r="H1578" t="s">
        <v>5305</v>
      </c>
      <c r="I1578">
        <v>1.7325999999999999</v>
      </c>
      <c r="J1578">
        <v>27269.98</v>
      </c>
      <c r="K1578">
        <v>15739.339720651045</v>
      </c>
    </row>
    <row r="1579" spans="1:11" x14ac:dyDescent="0.25">
      <c r="A1579" t="s">
        <v>704</v>
      </c>
      <c r="B1579" t="s">
        <v>705</v>
      </c>
      <c r="C1579" s="1">
        <v>40972</v>
      </c>
      <c r="D1579" s="1">
        <v>40974</v>
      </c>
      <c r="E1579">
        <v>3416</v>
      </c>
      <c r="F1579" t="s">
        <v>689</v>
      </c>
      <c r="G1579" t="s">
        <v>16</v>
      </c>
      <c r="H1579" t="s">
        <v>5306</v>
      </c>
      <c r="I1579">
        <v>1.7244999999999999</v>
      </c>
      <c r="J1579">
        <v>40258.589999999997</v>
      </c>
      <c r="K1579">
        <v>23345.079733256018</v>
      </c>
    </row>
    <row r="1580" spans="1:11" x14ac:dyDescent="0.25">
      <c r="A1580" t="s">
        <v>704</v>
      </c>
      <c r="B1580" t="s">
        <v>705</v>
      </c>
      <c r="C1580" s="1">
        <v>40974</v>
      </c>
      <c r="D1580" s="1">
        <v>40975</v>
      </c>
      <c r="E1580">
        <v>3416</v>
      </c>
      <c r="F1580" t="s">
        <v>689</v>
      </c>
      <c r="G1580" t="s">
        <v>16</v>
      </c>
      <c r="H1580" t="s">
        <v>5307</v>
      </c>
      <c r="I1580">
        <v>1.7314000000000001</v>
      </c>
      <c r="J1580">
        <v>40258.589999999997</v>
      </c>
      <c r="K1580">
        <v>23252.044588194523</v>
      </c>
    </row>
    <row r="1581" spans="1:11" x14ac:dyDescent="0.25">
      <c r="A1581" t="s">
        <v>704</v>
      </c>
      <c r="B1581" t="s">
        <v>705</v>
      </c>
      <c r="C1581" s="1">
        <v>40971</v>
      </c>
      <c r="D1581" s="1">
        <v>40973</v>
      </c>
      <c r="E1581">
        <v>3416</v>
      </c>
      <c r="F1581" t="s">
        <v>689</v>
      </c>
      <c r="G1581" t="s">
        <v>16</v>
      </c>
      <c r="H1581" t="s">
        <v>5308</v>
      </c>
      <c r="I1581">
        <v>1.7244999999999999</v>
      </c>
      <c r="J1581">
        <v>40258.589999999997</v>
      </c>
      <c r="K1581">
        <v>23345.079733256018</v>
      </c>
    </row>
    <row r="1582" spans="1:11" x14ac:dyDescent="0.25">
      <c r="A1582" t="s">
        <v>704</v>
      </c>
      <c r="B1582" t="s">
        <v>705</v>
      </c>
      <c r="C1582" s="1">
        <v>40968</v>
      </c>
      <c r="D1582" s="1">
        <v>40969</v>
      </c>
      <c r="E1582">
        <v>3416</v>
      </c>
      <c r="F1582" t="s">
        <v>689</v>
      </c>
      <c r="G1582" t="s">
        <v>16</v>
      </c>
      <c r="H1582" t="s">
        <v>5309</v>
      </c>
      <c r="I1582">
        <v>1.7023999999999999</v>
      </c>
      <c r="J1582">
        <v>40258.589999999997</v>
      </c>
      <c r="K1582">
        <v>23648.137922932332</v>
      </c>
    </row>
    <row r="1583" spans="1:11" x14ac:dyDescent="0.25">
      <c r="A1583" t="s">
        <v>2313</v>
      </c>
      <c r="B1583" t="s">
        <v>2314</v>
      </c>
      <c r="C1583" s="1">
        <v>40928</v>
      </c>
      <c r="D1583" s="1">
        <v>40951</v>
      </c>
      <c r="E1583">
        <v>1747</v>
      </c>
      <c r="F1583" t="s">
        <v>309</v>
      </c>
      <c r="G1583" t="s">
        <v>16</v>
      </c>
      <c r="H1583" t="s">
        <v>5310</v>
      </c>
      <c r="I1583">
        <v>1.7647999999999999</v>
      </c>
      <c r="J1583">
        <v>1393.47</v>
      </c>
      <c r="K1583">
        <v>789.5908884859474</v>
      </c>
    </row>
    <row r="1584" spans="1:11" x14ac:dyDescent="0.25">
      <c r="A1584" t="s">
        <v>677</v>
      </c>
      <c r="B1584" t="s">
        <v>678</v>
      </c>
      <c r="C1584" s="1">
        <v>40894</v>
      </c>
      <c r="D1584" s="1">
        <v>40936</v>
      </c>
      <c r="E1584">
        <v>2629</v>
      </c>
      <c r="F1584" t="s">
        <v>331</v>
      </c>
      <c r="G1584" t="s">
        <v>16</v>
      </c>
      <c r="H1584" t="s">
        <v>5311</v>
      </c>
      <c r="I1584">
        <v>1.8465</v>
      </c>
      <c r="J1584">
        <v>58367.43</v>
      </c>
      <c r="K1584">
        <v>31609.764419171406</v>
      </c>
    </row>
    <row r="1585" spans="1:11" x14ac:dyDescent="0.25">
      <c r="A1585" t="s">
        <v>704</v>
      </c>
      <c r="B1585" t="s">
        <v>705</v>
      </c>
      <c r="C1585" s="1">
        <v>40974</v>
      </c>
      <c r="D1585" s="1">
        <v>40977</v>
      </c>
      <c r="E1585">
        <v>3416</v>
      </c>
      <c r="F1585" t="s">
        <v>689</v>
      </c>
      <c r="G1585" t="s">
        <v>16</v>
      </c>
      <c r="H1585" t="s">
        <v>1867</v>
      </c>
      <c r="I1585">
        <v>1.7314000000000001</v>
      </c>
      <c r="J1585">
        <v>40258.589999999997</v>
      </c>
      <c r="K1585">
        <v>23252.044588194523</v>
      </c>
    </row>
    <row r="1586" spans="1:11" x14ac:dyDescent="0.25">
      <c r="A1586" t="s">
        <v>704</v>
      </c>
      <c r="B1586" t="s">
        <v>705</v>
      </c>
      <c r="C1586" s="1">
        <v>40971</v>
      </c>
      <c r="D1586" s="1">
        <v>40973</v>
      </c>
      <c r="E1586">
        <v>3416</v>
      </c>
      <c r="F1586" t="s">
        <v>689</v>
      </c>
      <c r="G1586" t="s">
        <v>16</v>
      </c>
      <c r="H1586" t="s">
        <v>1868</v>
      </c>
      <c r="I1586">
        <v>1.7244999999999999</v>
      </c>
      <c r="J1586">
        <v>40258.589999999997</v>
      </c>
      <c r="K1586">
        <v>23345.079733256018</v>
      </c>
    </row>
    <row r="1587" spans="1:11" x14ac:dyDescent="0.25">
      <c r="A1587" t="s">
        <v>687</v>
      </c>
      <c r="B1587" t="s">
        <v>688</v>
      </c>
      <c r="C1587" s="1">
        <v>40958</v>
      </c>
      <c r="D1587" s="1">
        <v>40959</v>
      </c>
      <c r="E1587">
        <v>3414</v>
      </c>
      <c r="F1587" t="s">
        <v>689</v>
      </c>
      <c r="G1587" t="s">
        <v>16</v>
      </c>
      <c r="H1587" t="s">
        <v>1869</v>
      </c>
      <c r="I1587">
        <v>1.7136</v>
      </c>
      <c r="J1587">
        <v>47210.43</v>
      </c>
      <c r="K1587">
        <v>27550.437675070028</v>
      </c>
    </row>
    <row r="1588" spans="1:11" x14ac:dyDescent="0.25">
      <c r="A1588" t="s">
        <v>687</v>
      </c>
      <c r="B1588" t="s">
        <v>688</v>
      </c>
      <c r="C1588" s="1">
        <v>40958</v>
      </c>
      <c r="D1588" s="1">
        <v>40959</v>
      </c>
      <c r="E1588">
        <v>3414</v>
      </c>
      <c r="F1588" t="s">
        <v>689</v>
      </c>
      <c r="G1588" t="s">
        <v>16</v>
      </c>
      <c r="H1588" t="s">
        <v>1870</v>
      </c>
      <c r="I1588">
        <v>1.7136</v>
      </c>
      <c r="J1588">
        <v>47287.11</v>
      </c>
      <c r="K1588">
        <v>27595.18557422969</v>
      </c>
    </row>
    <row r="1589" spans="1:11" x14ac:dyDescent="0.25">
      <c r="A1589" t="s">
        <v>687</v>
      </c>
      <c r="B1589" t="s">
        <v>688</v>
      </c>
      <c r="C1589" s="1">
        <v>40957</v>
      </c>
      <c r="D1589" s="1">
        <v>40959</v>
      </c>
      <c r="E1589">
        <v>3414</v>
      </c>
      <c r="F1589" t="s">
        <v>689</v>
      </c>
      <c r="G1589" t="s">
        <v>16</v>
      </c>
      <c r="H1589" t="s">
        <v>5312</v>
      </c>
      <c r="I1589">
        <v>1.7136</v>
      </c>
      <c r="J1589">
        <v>47235.99</v>
      </c>
      <c r="K1589">
        <v>27565.353641456582</v>
      </c>
    </row>
    <row r="1590" spans="1:11" x14ac:dyDescent="0.25">
      <c r="A1590" t="s">
        <v>1368</v>
      </c>
      <c r="B1590" t="s">
        <v>1369</v>
      </c>
      <c r="C1590" s="1">
        <v>40947</v>
      </c>
      <c r="D1590" s="1">
        <v>40952</v>
      </c>
      <c r="E1590">
        <v>3413</v>
      </c>
      <c r="F1590" t="s">
        <v>689</v>
      </c>
      <c r="G1590" t="s">
        <v>16</v>
      </c>
      <c r="H1590" t="s">
        <v>1871</v>
      </c>
      <c r="I1590">
        <v>1.7261</v>
      </c>
      <c r="J1590">
        <v>49382.54</v>
      </c>
      <c r="K1590">
        <v>28609.31579862117</v>
      </c>
    </row>
    <row r="1591" spans="1:11" x14ac:dyDescent="0.25">
      <c r="A1591" t="s">
        <v>1368</v>
      </c>
      <c r="B1591" t="s">
        <v>1369</v>
      </c>
      <c r="C1591" s="1">
        <v>40947</v>
      </c>
      <c r="D1591" s="1">
        <v>40952</v>
      </c>
      <c r="E1591">
        <v>3413</v>
      </c>
      <c r="F1591" t="s">
        <v>689</v>
      </c>
      <c r="G1591" t="s">
        <v>16</v>
      </c>
      <c r="H1591" t="s">
        <v>1872</v>
      </c>
      <c r="I1591">
        <v>1.7261</v>
      </c>
      <c r="J1591">
        <v>48784.13</v>
      </c>
      <c r="K1591">
        <v>28262.632524187473</v>
      </c>
    </row>
    <row r="1592" spans="1:11" x14ac:dyDescent="0.25">
      <c r="A1592" t="s">
        <v>704</v>
      </c>
      <c r="B1592" t="s">
        <v>705</v>
      </c>
      <c r="C1592" s="1">
        <v>40968</v>
      </c>
      <c r="D1592" s="1">
        <v>40969</v>
      </c>
      <c r="E1592">
        <v>3416</v>
      </c>
      <c r="F1592" t="s">
        <v>689</v>
      </c>
      <c r="G1592" t="s">
        <v>16</v>
      </c>
      <c r="H1592" t="s">
        <v>1873</v>
      </c>
      <c r="I1592">
        <v>1.7023999999999999</v>
      </c>
      <c r="J1592">
        <v>40258.589999999997</v>
      </c>
      <c r="K1592">
        <v>23648.137922932332</v>
      </c>
    </row>
    <row r="1593" spans="1:11" x14ac:dyDescent="0.25">
      <c r="A1593" t="s">
        <v>704</v>
      </c>
      <c r="B1593" t="s">
        <v>705</v>
      </c>
      <c r="C1593" s="1">
        <v>40981</v>
      </c>
      <c r="D1593" s="1">
        <v>40982</v>
      </c>
      <c r="E1593">
        <v>3416</v>
      </c>
      <c r="F1593" t="s">
        <v>689</v>
      </c>
      <c r="G1593" t="s">
        <v>16</v>
      </c>
      <c r="H1593" t="s">
        <v>1874</v>
      </c>
      <c r="I1593">
        <v>1.8157000000000001</v>
      </c>
      <c r="J1593">
        <v>41346.660000000003</v>
      </c>
      <c r="K1593">
        <v>22771.74643388225</v>
      </c>
    </row>
    <row r="1594" spans="1:11" x14ac:dyDescent="0.25">
      <c r="A1594" t="s">
        <v>704</v>
      </c>
      <c r="B1594" t="s">
        <v>705</v>
      </c>
      <c r="C1594" s="1">
        <v>40981</v>
      </c>
      <c r="D1594" s="1">
        <v>40982</v>
      </c>
      <c r="E1594">
        <v>3416</v>
      </c>
      <c r="F1594" t="s">
        <v>689</v>
      </c>
      <c r="G1594" t="s">
        <v>16</v>
      </c>
      <c r="H1594" t="s">
        <v>1875</v>
      </c>
      <c r="I1594">
        <v>1.8157000000000001</v>
      </c>
      <c r="J1594">
        <v>41346.660000000003</v>
      </c>
      <c r="K1594">
        <v>22771.74643388225</v>
      </c>
    </row>
    <row r="1595" spans="1:11" x14ac:dyDescent="0.25">
      <c r="A1595" t="s">
        <v>5313</v>
      </c>
      <c r="C1595" s="1">
        <v>40992</v>
      </c>
      <c r="D1595" s="1">
        <v>40997</v>
      </c>
      <c r="E1595">
        <v>4845</v>
      </c>
      <c r="F1595" t="s">
        <v>5314</v>
      </c>
      <c r="G1595" t="s">
        <v>16</v>
      </c>
      <c r="H1595" t="s">
        <v>589</v>
      </c>
      <c r="I1595">
        <v>1.8193999999999999</v>
      </c>
      <c r="J1595">
        <v>680</v>
      </c>
      <c r="K1595">
        <v>373.74958777618997</v>
      </c>
    </row>
    <row r="1596" spans="1:11" x14ac:dyDescent="0.25">
      <c r="A1596" t="s">
        <v>717</v>
      </c>
      <c r="B1596" t="s">
        <v>718</v>
      </c>
      <c r="C1596" s="1">
        <v>40991</v>
      </c>
      <c r="D1596" s="1">
        <v>40995</v>
      </c>
      <c r="E1596">
        <v>3</v>
      </c>
      <c r="F1596" t="s">
        <v>309</v>
      </c>
      <c r="G1596" t="s">
        <v>16</v>
      </c>
      <c r="H1596" t="s">
        <v>1876</v>
      </c>
      <c r="I1596">
        <v>1.825</v>
      </c>
      <c r="J1596">
        <v>41284.67</v>
      </c>
      <c r="K1596">
        <v>22621.73698630137</v>
      </c>
    </row>
    <row r="1597" spans="1:11" x14ac:dyDescent="0.25">
      <c r="A1597" t="s">
        <v>687</v>
      </c>
      <c r="B1597" t="s">
        <v>688</v>
      </c>
      <c r="C1597" s="1">
        <v>40964</v>
      </c>
      <c r="D1597" s="1">
        <v>40966</v>
      </c>
      <c r="E1597">
        <v>3414</v>
      </c>
      <c r="F1597" t="s">
        <v>689</v>
      </c>
      <c r="G1597" t="s">
        <v>16</v>
      </c>
      <c r="H1597" t="s">
        <v>5315</v>
      </c>
      <c r="I1597">
        <v>1.7098</v>
      </c>
      <c r="J1597">
        <v>47274.33</v>
      </c>
      <c r="K1597">
        <v>27649.040823488129</v>
      </c>
    </row>
    <row r="1598" spans="1:11" x14ac:dyDescent="0.25">
      <c r="A1598" t="s">
        <v>704</v>
      </c>
      <c r="B1598" t="s">
        <v>705</v>
      </c>
      <c r="C1598" s="1">
        <v>40974</v>
      </c>
      <c r="D1598" s="1">
        <v>40976</v>
      </c>
      <c r="E1598">
        <v>3416</v>
      </c>
      <c r="F1598" t="s">
        <v>689</v>
      </c>
      <c r="G1598" t="s">
        <v>16</v>
      </c>
      <c r="H1598" t="s">
        <v>1877</v>
      </c>
      <c r="I1598">
        <v>1.7314000000000001</v>
      </c>
      <c r="J1598">
        <v>40258.589999999997</v>
      </c>
      <c r="K1598">
        <v>23252.044588194523</v>
      </c>
    </row>
    <row r="1599" spans="1:11" x14ac:dyDescent="0.25">
      <c r="A1599" t="s">
        <v>704</v>
      </c>
      <c r="B1599" t="s">
        <v>705</v>
      </c>
      <c r="C1599" s="1">
        <v>40981</v>
      </c>
      <c r="D1599" s="1">
        <v>40983</v>
      </c>
      <c r="E1599">
        <v>3416</v>
      </c>
      <c r="F1599" t="s">
        <v>689</v>
      </c>
      <c r="G1599" t="s">
        <v>16</v>
      </c>
      <c r="H1599" t="s">
        <v>1878</v>
      </c>
      <c r="I1599">
        <v>1.8157000000000001</v>
      </c>
      <c r="J1599">
        <v>41346.660000000003</v>
      </c>
      <c r="K1599">
        <v>22771.74643388225</v>
      </c>
    </row>
    <row r="1600" spans="1:11" x14ac:dyDescent="0.25">
      <c r="A1600" t="s">
        <v>704</v>
      </c>
      <c r="B1600" t="s">
        <v>705</v>
      </c>
      <c r="C1600" s="1">
        <v>40981</v>
      </c>
      <c r="D1600" s="1">
        <v>40983</v>
      </c>
      <c r="E1600">
        <v>3416</v>
      </c>
      <c r="F1600" t="s">
        <v>689</v>
      </c>
      <c r="G1600" t="s">
        <v>16</v>
      </c>
      <c r="H1600" t="s">
        <v>5316</v>
      </c>
      <c r="I1600">
        <v>1.8157000000000001</v>
      </c>
      <c r="J1600">
        <v>41346.660000000003</v>
      </c>
      <c r="K1600">
        <v>22771.74643388225</v>
      </c>
    </row>
    <row r="1601" spans="1:11" x14ac:dyDescent="0.25">
      <c r="A1601" t="s">
        <v>1879</v>
      </c>
      <c r="B1601" t="s">
        <v>1880</v>
      </c>
      <c r="C1601" s="1">
        <v>40983</v>
      </c>
      <c r="D1601" s="1">
        <v>40984</v>
      </c>
      <c r="E1601">
        <v>4591</v>
      </c>
      <c r="F1601" t="s">
        <v>1881</v>
      </c>
      <c r="G1601" t="s">
        <v>16</v>
      </c>
      <c r="H1601" t="s">
        <v>1882</v>
      </c>
      <c r="I1601">
        <v>1.8146</v>
      </c>
      <c r="J1601">
        <v>26402.43</v>
      </c>
      <c r="K1601">
        <v>14550</v>
      </c>
    </row>
    <row r="1602" spans="1:11" x14ac:dyDescent="0.25">
      <c r="A1602" t="s">
        <v>1851</v>
      </c>
      <c r="B1602" t="s">
        <v>144</v>
      </c>
      <c r="C1602" s="1">
        <v>41004</v>
      </c>
      <c r="D1602" s="1">
        <v>41009</v>
      </c>
      <c r="E1602">
        <v>3513</v>
      </c>
      <c r="F1602" t="s">
        <v>689</v>
      </c>
      <c r="G1602" t="s">
        <v>16</v>
      </c>
      <c r="H1602" t="s">
        <v>5317</v>
      </c>
      <c r="I1602">
        <v>1.8315999999999999</v>
      </c>
      <c r="J1602">
        <v>22164</v>
      </c>
      <c r="K1602">
        <v>12100.895392006989</v>
      </c>
    </row>
    <row r="1603" spans="1:11" x14ac:dyDescent="0.25">
      <c r="A1603" t="s">
        <v>1851</v>
      </c>
      <c r="B1603" t="s">
        <v>144</v>
      </c>
      <c r="C1603" s="1">
        <v>41004</v>
      </c>
      <c r="D1603" s="1">
        <v>41009</v>
      </c>
      <c r="E1603">
        <v>3513</v>
      </c>
      <c r="F1603" t="s">
        <v>689</v>
      </c>
      <c r="G1603" t="s">
        <v>16</v>
      </c>
      <c r="H1603" t="s">
        <v>5318</v>
      </c>
      <c r="I1603">
        <v>1.8315999999999999</v>
      </c>
      <c r="J1603">
        <v>22818</v>
      </c>
      <c r="K1603">
        <v>12457.960253330422</v>
      </c>
    </row>
    <row r="1604" spans="1:11" x14ac:dyDescent="0.25">
      <c r="A1604" t="s">
        <v>727</v>
      </c>
      <c r="B1604" t="s">
        <v>728</v>
      </c>
      <c r="C1604" s="1">
        <v>40951</v>
      </c>
      <c r="D1604" s="1">
        <v>40954</v>
      </c>
      <c r="E1604">
        <v>1715</v>
      </c>
      <c r="F1604" t="s">
        <v>689</v>
      </c>
      <c r="G1604" t="s">
        <v>16</v>
      </c>
      <c r="H1604" t="s">
        <v>5319</v>
      </c>
      <c r="I1604">
        <v>1.726</v>
      </c>
      <c r="J1604">
        <v>47875.08</v>
      </c>
      <c r="K1604">
        <v>27737.589803012746</v>
      </c>
    </row>
    <row r="1605" spans="1:11" x14ac:dyDescent="0.25">
      <c r="A1605" t="s">
        <v>720</v>
      </c>
      <c r="B1605" t="s">
        <v>721</v>
      </c>
      <c r="C1605" s="1">
        <v>41079</v>
      </c>
      <c r="D1605" s="1">
        <v>41083</v>
      </c>
      <c r="E1605">
        <v>4819</v>
      </c>
      <c r="F1605" t="s">
        <v>689</v>
      </c>
      <c r="G1605" t="s">
        <v>16</v>
      </c>
      <c r="H1605" t="s">
        <v>5320</v>
      </c>
      <c r="I1605">
        <v>2.0634000000000001</v>
      </c>
      <c r="J1605">
        <v>3022.01</v>
      </c>
      <c r="K1605">
        <v>1464.5778811670059</v>
      </c>
    </row>
    <row r="1606" spans="1:11" x14ac:dyDescent="0.25">
      <c r="A1606" t="s">
        <v>720</v>
      </c>
      <c r="B1606" t="s">
        <v>721</v>
      </c>
      <c r="C1606" s="1">
        <v>41080</v>
      </c>
      <c r="D1606" s="1">
        <v>41082</v>
      </c>
      <c r="E1606">
        <v>4819</v>
      </c>
      <c r="F1606" t="s">
        <v>689</v>
      </c>
      <c r="G1606" t="s">
        <v>16</v>
      </c>
      <c r="H1606" t="s">
        <v>5321</v>
      </c>
      <c r="I1606">
        <v>2.044</v>
      </c>
      <c r="J1606">
        <v>43646.17</v>
      </c>
      <c r="K1606">
        <v>21353.312133072406</v>
      </c>
    </row>
    <row r="1607" spans="1:11" x14ac:dyDescent="0.25">
      <c r="A1607" t="s">
        <v>720</v>
      </c>
      <c r="B1607" t="s">
        <v>721</v>
      </c>
      <c r="C1607" s="1">
        <v>41080</v>
      </c>
      <c r="D1607" s="1">
        <v>41083</v>
      </c>
      <c r="E1607">
        <v>4819</v>
      </c>
      <c r="F1607" t="s">
        <v>689</v>
      </c>
      <c r="G1607" t="s">
        <v>16</v>
      </c>
      <c r="H1607" t="s">
        <v>375</v>
      </c>
      <c r="I1607">
        <v>2.044</v>
      </c>
      <c r="J1607">
        <v>43277.07</v>
      </c>
      <c r="K1607">
        <v>21172.734833659491</v>
      </c>
    </row>
    <row r="1608" spans="1:11" x14ac:dyDescent="0.25">
      <c r="A1608" t="s">
        <v>720</v>
      </c>
      <c r="B1608" t="s">
        <v>721</v>
      </c>
      <c r="C1608" s="1">
        <v>41081</v>
      </c>
      <c r="D1608" s="1">
        <v>41083</v>
      </c>
      <c r="E1608">
        <v>4819</v>
      </c>
      <c r="F1608" t="s">
        <v>689</v>
      </c>
      <c r="G1608" t="s">
        <v>16</v>
      </c>
      <c r="H1608" t="s">
        <v>376</v>
      </c>
      <c r="I1608">
        <v>2.0293000000000001</v>
      </c>
      <c r="J1608">
        <v>43323.31</v>
      </c>
      <c r="K1608">
        <v>21348.893707189673</v>
      </c>
    </row>
    <row r="1609" spans="1:11" x14ac:dyDescent="0.25">
      <c r="A1609" t="s">
        <v>720</v>
      </c>
      <c r="B1609" t="s">
        <v>721</v>
      </c>
      <c r="C1609" s="1">
        <v>41082</v>
      </c>
      <c r="D1609" s="1">
        <v>41086</v>
      </c>
      <c r="E1609">
        <v>4819</v>
      </c>
      <c r="F1609" t="s">
        <v>689</v>
      </c>
      <c r="G1609" t="s">
        <v>16</v>
      </c>
      <c r="H1609" t="s">
        <v>2500</v>
      </c>
      <c r="I1609">
        <v>2.0363000000000002</v>
      </c>
      <c r="J1609">
        <v>42977.17</v>
      </c>
      <c r="K1609">
        <v>21105.519815351374</v>
      </c>
    </row>
    <row r="1610" spans="1:11" x14ac:dyDescent="0.25">
      <c r="A1610" t="s">
        <v>720</v>
      </c>
      <c r="B1610" t="s">
        <v>721</v>
      </c>
      <c r="C1610" s="1">
        <v>41082</v>
      </c>
      <c r="D1610" s="1">
        <v>41084</v>
      </c>
      <c r="E1610">
        <v>4819</v>
      </c>
      <c r="F1610" t="s">
        <v>689</v>
      </c>
      <c r="G1610" t="s">
        <v>16</v>
      </c>
      <c r="H1610" t="s">
        <v>5322</v>
      </c>
      <c r="I1610">
        <v>2.0363000000000002</v>
      </c>
      <c r="J1610">
        <v>42538.87</v>
      </c>
      <c r="K1610">
        <v>20890.276481854344</v>
      </c>
    </row>
    <row r="1611" spans="1:11" x14ac:dyDescent="0.25">
      <c r="A1611" t="s">
        <v>720</v>
      </c>
      <c r="B1611" t="s">
        <v>721</v>
      </c>
      <c r="C1611" s="1">
        <v>41073</v>
      </c>
      <c r="D1611" s="1">
        <v>41075</v>
      </c>
      <c r="E1611">
        <v>4819</v>
      </c>
      <c r="F1611" t="s">
        <v>689</v>
      </c>
      <c r="G1611" t="s">
        <v>16</v>
      </c>
      <c r="H1611" t="s">
        <v>5323</v>
      </c>
      <c r="I1611">
        <v>2.0564</v>
      </c>
      <c r="J1611">
        <v>43369.34</v>
      </c>
      <c r="K1611">
        <v>21089.933865006809</v>
      </c>
    </row>
    <row r="1612" spans="1:11" x14ac:dyDescent="0.25">
      <c r="A1612" t="s">
        <v>720</v>
      </c>
      <c r="B1612" t="s">
        <v>721</v>
      </c>
      <c r="C1612" s="1">
        <v>41082</v>
      </c>
      <c r="D1612" s="1">
        <v>41086</v>
      </c>
      <c r="E1612">
        <v>4819</v>
      </c>
      <c r="F1612" t="s">
        <v>689</v>
      </c>
      <c r="G1612" t="s">
        <v>16</v>
      </c>
      <c r="H1612" t="s">
        <v>1883</v>
      </c>
      <c r="I1612">
        <v>2.0363000000000002</v>
      </c>
      <c r="J1612">
        <v>43277.07</v>
      </c>
      <c r="K1612">
        <v>21252.796739183814</v>
      </c>
    </row>
    <row r="1613" spans="1:11" x14ac:dyDescent="0.25">
      <c r="A1613" t="s">
        <v>720</v>
      </c>
      <c r="B1613" t="s">
        <v>721</v>
      </c>
      <c r="C1613" s="1">
        <v>41070</v>
      </c>
      <c r="D1613" s="1">
        <v>41072</v>
      </c>
      <c r="E1613">
        <v>4819</v>
      </c>
      <c r="F1613" t="s">
        <v>689</v>
      </c>
      <c r="G1613" t="s">
        <v>16</v>
      </c>
      <c r="H1613" t="s">
        <v>5324</v>
      </c>
      <c r="I1613">
        <v>2.0352999999999999</v>
      </c>
      <c r="J1613">
        <v>60582.41</v>
      </c>
      <c r="K1613">
        <v>29765.837960005894</v>
      </c>
    </row>
    <row r="1614" spans="1:11" x14ac:dyDescent="0.25">
      <c r="A1614" t="s">
        <v>720</v>
      </c>
      <c r="B1614" t="s">
        <v>721</v>
      </c>
      <c r="C1614" s="1">
        <v>41072</v>
      </c>
      <c r="D1614" s="1">
        <v>41074</v>
      </c>
      <c r="E1614">
        <v>4819</v>
      </c>
      <c r="F1614" t="s">
        <v>689</v>
      </c>
      <c r="G1614" t="s">
        <v>16</v>
      </c>
      <c r="H1614" t="s">
        <v>1884</v>
      </c>
      <c r="I1614">
        <v>2.0348000000000002</v>
      </c>
      <c r="J1614">
        <v>43092.52</v>
      </c>
      <c r="K1614">
        <v>21177.766856693532</v>
      </c>
    </row>
    <row r="1615" spans="1:11" x14ac:dyDescent="0.25">
      <c r="A1615" t="s">
        <v>720</v>
      </c>
      <c r="B1615" t="s">
        <v>721</v>
      </c>
      <c r="C1615" s="1">
        <v>41078</v>
      </c>
      <c r="D1615" s="1">
        <v>41079</v>
      </c>
      <c r="E1615">
        <v>4819</v>
      </c>
      <c r="F1615" t="s">
        <v>689</v>
      </c>
      <c r="G1615" t="s">
        <v>16</v>
      </c>
      <c r="H1615" t="s">
        <v>5325</v>
      </c>
      <c r="I1615">
        <v>2.0442999999999998</v>
      </c>
      <c r="J1615">
        <v>58341</v>
      </c>
      <c r="K1615">
        <v>28538.374993885438</v>
      </c>
    </row>
    <row r="1616" spans="1:11" x14ac:dyDescent="0.25">
      <c r="A1616" t="s">
        <v>720</v>
      </c>
      <c r="B1616" t="s">
        <v>721</v>
      </c>
      <c r="C1616" s="1">
        <v>41072</v>
      </c>
      <c r="D1616" s="1">
        <v>41073</v>
      </c>
      <c r="E1616">
        <v>4819</v>
      </c>
      <c r="F1616" t="s">
        <v>689</v>
      </c>
      <c r="G1616" t="s">
        <v>16</v>
      </c>
      <c r="H1616" t="s">
        <v>1885</v>
      </c>
      <c r="I1616">
        <v>2.0348000000000002</v>
      </c>
      <c r="J1616">
        <v>43600.03</v>
      </c>
      <c r="K1616">
        <v>21427.182032632201</v>
      </c>
    </row>
    <row r="1617" spans="1:11" x14ac:dyDescent="0.25">
      <c r="A1617" t="s">
        <v>748</v>
      </c>
      <c r="B1617" t="s">
        <v>749</v>
      </c>
      <c r="C1617" s="1">
        <v>41153</v>
      </c>
      <c r="D1617" s="1">
        <v>41157</v>
      </c>
      <c r="E1617">
        <v>4855</v>
      </c>
      <c r="F1617" t="s">
        <v>309</v>
      </c>
      <c r="G1617" t="s">
        <v>16</v>
      </c>
      <c r="H1617" t="s">
        <v>1886</v>
      </c>
      <c r="I1617">
        <v>2.0371999999999999</v>
      </c>
      <c r="J1617">
        <v>45281.52</v>
      </c>
      <c r="K1617">
        <v>22227.331631651286</v>
      </c>
    </row>
    <row r="1618" spans="1:11" x14ac:dyDescent="0.25">
      <c r="A1618" t="s">
        <v>751</v>
      </c>
      <c r="B1618" t="s">
        <v>752</v>
      </c>
      <c r="C1618" s="1">
        <v>41110</v>
      </c>
      <c r="D1618" s="1">
        <v>41112</v>
      </c>
      <c r="E1618">
        <v>4250</v>
      </c>
      <c r="F1618" t="s">
        <v>689</v>
      </c>
      <c r="G1618" t="s">
        <v>16</v>
      </c>
      <c r="H1618" t="s">
        <v>1887</v>
      </c>
      <c r="I1618">
        <v>2.0238999999999998</v>
      </c>
      <c r="J1618">
        <v>24288.63</v>
      </c>
      <c r="K1618">
        <v>12000.904194871287</v>
      </c>
    </row>
    <row r="1619" spans="1:11" x14ac:dyDescent="0.25">
      <c r="A1619" t="s">
        <v>751</v>
      </c>
      <c r="B1619" t="s">
        <v>752</v>
      </c>
      <c r="C1619" s="1">
        <v>41111</v>
      </c>
      <c r="D1619" s="1">
        <v>41113</v>
      </c>
      <c r="E1619">
        <v>4250</v>
      </c>
      <c r="F1619" t="s">
        <v>689</v>
      </c>
      <c r="G1619" t="s">
        <v>16</v>
      </c>
      <c r="H1619" t="s">
        <v>5326</v>
      </c>
      <c r="I1619">
        <v>2.0226999999999999</v>
      </c>
      <c r="J1619">
        <v>24551.85</v>
      </c>
      <c r="K1619">
        <v>12138.156918969695</v>
      </c>
    </row>
    <row r="1620" spans="1:11" x14ac:dyDescent="0.25">
      <c r="A1620" t="s">
        <v>751</v>
      </c>
      <c r="B1620" t="s">
        <v>752</v>
      </c>
      <c r="C1620" s="1">
        <v>41117</v>
      </c>
      <c r="D1620" s="1">
        <v>41118</v>
      </c>
      <c r="E1620">
        <v>4250</v>
      </c>
      <c r="F1620" t="s">
        <v>689</v>
      </c>
      <c r="G1620" t="s">
        <v>16</v>
      </c>
      <c r="H1620" t="s">
        <v>5327</v>
      </c>
      <c r="I1620">
        <v>2.0255000000000001</v>
      </c>
      <c r="J1620">
        <v>33685.58</v>
      </c>
      <c r="K1620">
        <v>16630.747963465812</v>
      </c>
    </row>
    <row r="1621" spans="1:11" x14ac:dyDescent="0.25">
      <c r="A1621" t="s">
        <v>751</v>
      </c>
      <c r="B1621" t="s">
        <v>752</v>
      </c>
      <c r="C1621" s="1">
        <v>41111</v>
      </c>
      <c r="D1621" s="1">
        <v>41113</v>
      </c>
      <c r="E1621">
        <v>4250</v>
      </c>
      <c r="F1621" t="s">
        <v>689</v>
      </c>
      <c r="G1621" t="s">
        <v>16</v>
      </c>
      <c r="H1621" t="s">
        <v>1888</v>
      </c>
      <c r="I1621">
        <v>2.0226999999999999</v>
      </c>
      <c r="J1621">
        <v>32981.47</v>
      </c>
      <c r="K1621">
        <v>16305.665694368912</v>
      </c>
    </row>
    <row r="1622" spans="1:11" x14ac:dyDescent="0.25">
      <c r="A1622" t="s">
        <v>751</v>
      </c>
      <c r="B1622" t="s">
        <v>752</v>
      </c>
      <c r="C1622" s="1">
        <v>41120</v>
      </c>
      <c r="D1622" s="1">
        <v>41122</v>
      </c>
      <c r="E1622">
        <v>4250</v>
      </c>
      <c r="F1622" t="s">
        <v>689</v>
      </c>
      <c r="G1622" t="s">
        <v>16</v>
      </c>
      <c r="H1622" t="s">
        <v>1889</v>
      </c>
      <c r="I1622">
        <v>2.0173000000000001</v>
      </c>
      <c r="J1622">
        <v>33086.75</v>
      </c>
      <c r="K1622">
        <v>16401.502007633968</v>
      </c>
    </row>
    <row r="1623" spans="1:11" x14ac:dyDescent="0.25">
      <c r="A1623" t="s">
        <v>751</v>
      </c>
      <c r="B1623" t="s">
        <v>752</v>
      </c>
      <c r="C1623" s="1">
        <v>41113</v>
      </c>
      <c r="D1623" s="1">
        <v>41114</v>
      </c>
      <c r="E1623">
        <v>4250</v>
      </c>
      <c r="F1623" t="s">
        <v>689</v>
      </c>
      <c r="G1623" t="s">
        <v>16</v>
      </c>
      <c r="H1623" t="s">
        <v>5328</v>
      </c>
      <c r="I1623">
        <v>2.0226999999999999</v>
      </c>
      <c r="J1623">
        <v>33349.97</v>
      </c>
      <c r="K1623">
        <v>16487.847926039452</v>
      </c>
    </row>
    <row r="1624" spans="1:11" x14ac:dyDescent="0.25">
      <c r="A1624" t="s">
        <v>720</v>
      </c>
      <c r="B1624" t="s">
        <v>721</v>
      </c>
      <c r="C1624" s="1">
        <v>41116</v>
      </c>
      <c r="D1624" s="1">
        <v>41120</v>
      </c>
      <c r="E1624">
        <v>4819</v>
      </c>
      <c r="F1624" t="s">
        <v>689</v>
      </c>
      <c r="G1624" t="s">
        <v>16</v>
      </c>
      <c r="H1624" t="s">
        <v>5329</v>
      </c>
      <c r="I1624">
        <v>1</v>
      </c>
      <c r="J1624">
        <v>32457.8</v>
      </c>
      <c r="K1624">
        <v>32457.8</v>
      </c>
    </row>
    <row r="1625" spans="1:11" x14ac:dyDescent="0.25">
      <c r="A1625" t="s">
        <v>720</v>
      </c>
      <c r="B1625" t="s">
        <v>721</v>
      </c>
      <c r="C1625" s="1">
        <v>41116</v>
      </c>
      <c r="D1625" s="1">
        <v>41120</v>
      </c>
      <c r="E1625">
        <v>4819</v>
      </c>
      <c r="F1625" t="s">
        <v>689</v>
      </c>
      <c r="G1625" t="s">
        <v>16</v>
      </c>
      <c r="H1625" t="s">
        <v>5330</v>
      </c>
      <c r="I1625">
        <v>1</v>
      </c>
      <c r="J1625">
        <v>4079.94</v>
      </c>
      <c r="K1625">
        <v>4079.94</v>
      </c>
    </row>
    <row r="1626" spans="1:11" x14ac:dyDescent="0.25">
      <c r="A1626" t="s">
        <v>751</v>
      </c>
      <c r="B1626" t="s">
        <v>752</v>
      </c>
      <c r="C1626" s="1">
        <v>41113</v>
      </c>
      <c r="D1626" s="1">
        <v>41115</v>
      </c>
      <c r="E1626">
        <v>4250</v>
      </c>
      <c r="F1626" t="s">
        <v>689</v>
      </c>
      <c r="G1626" t="s">
        <v>16</v>
      </c>
      <c r="H1626" t="s">
        <v>5331</v>
      </c>
      <c r="I1626">
        <v>2.0226999999999999</v>
      </c>
      <c r="J1626">
        <v>24420.240000000002</v>
      </c>
      <c r="K1626">
        <v>12073.090423691106</v>
      </c>
    </row>
    <row r="1627" spans="1:11" x14ac:dyDescent="0.25">
      <c r="A1627" t="s">
        <v>751</v>
      </c>
      <c r="B1627" t="s">
        <v>752</v>
      </c>
      <c r="C1627" s="1">
        <v>41113</v>
      </c>
      <c r="D1627" s="1">
        <v>41115</v>
      </c>
      <c r="E1627">
        <v>4250</v>
      </c>
      <c r="F1627" t="s">
        <v>689</v>
      </c>
      <c r="G1627" t="s">
        <v>16</v>
      </c>
      <c r="H1627" t="s">
        <v>1890</v>
      </c>
      <c r="I1627">
        <v>2.0226999999999999</v>
      </c>
      <c r="J1627">
        <v>32955.14</v>
      </c>
      <c r="K1627">
        <v>16292.648440203688</v>
      </c>
    </row>
    <row r="1628" spans="1:11" x14ac:dyDescent="0.25">
      <c r="A1628" t="s">
        <v>751</v>
      </c>
      <c r="B1628" t="s">
        <v>752</v>
      </c>
      <c r="C1628" s="1">
        <v>41115</v>
      </c>
      <c r="D1628" s="1">
        <v>41116</v>
      </c>
      <c r="E1628">
        <v>4250</v>
      </c>
      <c r="F1628" t="s">
        <v>689</v>
      </c>
      <c r="G1628" t="s">
        <v>16</v>
      </c>
      <c r="H1628" t="s">
        <v>5332</v>
      </c>
      <c r="I1628">
        <v>1</v>
      </c>
      <c r="J1628">
        <v>24742.68</v>
      </c>
      <c r="K1628">
        <v>24742.68</v>
      </c>
    </row>
    <row r="1629" spans="1:11" x14ac:dyDescent="0.25">
      <c r="A1629" t="s">
        <v>759</v>
      </c>
      <c r="B1629" t="s">
        <v>760</v>
      </c>
      <c r="C1629" s="1">
        <v>41090</v>
      </c>
      <c r="D1629" s="1">
        <v>41100</v>
      </c>
      <c r="E1629">
        <v>8</v>
      </c>
      <c r="F1629" t="s">
        <v>689</v>
      </c>
      <c r="G1629" t="s">
        <v>16</v>
      </c>
      <c r="H1629" t="s">
        <v>1891</v>
      </c>
      <c r="I1629">
        <v>2.0129999999999999</v>
      </c>
      <c r="J1629">
        <v>43072.44</v>
      </c>
      <c r="K1629">
        <v>21397.138599105812</v>
      </c>
    </row>
    <row r="1630" spans="1:11" x14ac:dyDescent="0.25">
      <c r="A1630" t="s">
        <v>759</v>
      </c>
      <c r="B1630" t="s">
        <v>760</v>
      </c>
      <c r="C1630" s="1">
        <v>41090</v>
      </c>
      <c r="D1630" s="1">
        <v>41100</v>
      </c>
      <c r="E1630">
        <v>8</v>
      </c>
      <c r="F1630" t="s">
        <v>689</v>
      </c>
      <c r="G1630" t="s">
        <v>16</v>
      </c>
      <c r="H1630" t="s">
        <v>1892</v>
      </c>
      <c r="I1630">
        <v>2.0129999999999999</v>
      </c>
      <c r="J1630">
        <v>41675.5</v>
      </c>
      <c r="K1630">
        <v>20703.179334326876</v>
      </c>
    </row>
    <row r="1631" spans="1:11" x14ac:dyDescent="0.25">
      <c r="A1631" t="s">
        <v>751</v>
      </c>
      <c r="B1631" t="s">
        <v>752</v>
      </c>
      <c r="C1631" s="1">
        <v>41106</v>
      </c>
      <c r="D1631" s="1">
        <v>41107</v>
      </c>
      <c r="E1631">
        <v>4250</v>
      </c>
      <c r="F1631" t="s">
        <v>689</v>
      </c>
      <c r="G1631" t="s">
        <v>16</v>
      </c>
      <c r="H1631" t="s">
        <v>1893</v>
      </c>
      <c r="I1631">
        <v>2.0337999999999998</v>
      </c>
      <c r="J1631">
        <v>24690.04</v>
      </c>
      <c r="K1631">
        <v>12139.856426393942</v>
      </c>
    </row>
    <row r="1632" spans="1:11" x14ac:dyDescent="0.25">
      <c r="A1632" t="s">
        <v>751</v>
      </c>
      <c r="B1632" t="s">
        <v>752</v>
      </c>
      <c r="C1632" s="1">
        <v>41105</v>
      </c>
      <c r="D1632" s="1">
        <v>41107</v>
      </c>
      <c r="E1632">
        <v>4250</v>
      </c>
      <c r="F1632" t="s">
        <v>689</v>
      </c>
      <c r="G1632" t="s">
        <v>16</v>
      </c>
      <c r="H1632" t="s">
        <v>5333</v>
      </c>
      <c r="I1632">
        <v>2.0337999999999998</v>
      </c>
      <c r="J1632">
        <v>33349.97</v>
      </c>
      <c r="K1632">
        <v>16397.861146622086</v>
      </c>
    </row>
    <row r="1633" spans="1:11" x14ac:dyDescent="0.25">
      <c r="A1633" t="s">
        <v>751</v>
      </c>
      <c r="B1633" t="s">
        <v>752</v>
      </c>
      <c r="C1633" s="1">
        <v>41108</v>
      </c>
      <c r="D1633" s="1">
        <v>41110</v>
      </c>
      <c r="E1633">
        <v>4250</v>
      </c>
      <c r="F1633" t="s">
        <v>689</v>
      </c>
      <c r="G1633" t="s">
        <v>16</v>
      </c>
      <c r="H1633" t="s">
        <v>5334</v>
      </c>
      <c r="I1633">
        <v>2.0348999999999999</v>
      </c>
      <c r="J1633">
        <v>32323.42</v>
      </c>
      <c r="K1633">
        <v>15884.52503808541</v>
      </c>
    </row>
    <row r="1634" spans="1:11" x14ac:dyDescent="0.25">
      <c r="A1634" t="s">
        <v>751</v>
      </c>
      <c r="B1634" t="s">
        <v>752</v>
      </c>
      <c r="C1634" s="1">
        <v>41125</v>
      </c>
      <c r="D1634" s="1">
        <v>41127</v>
      </c>
      <c r="E1634">
        <v>4250</v>
      </c>
      <c r="F1634" t="s">
        <v>689</v>
      </c>
      <c r="G1634" t="s">
        <v>16</v>
      </c>
      <c r="H1634" t="s">
        <v>5335</v>
      </c>
      <c r="I1634">
        <v>2.0312999999999999</v>
      </c>
      <c r="J1634">
        <v>33836.93</v>
      </c>
      <c r="K1634">
        <v>16657.770885639737</v>
      </c>
    </row>
    <row r="1635" spans="1:11" x14ac:dyDescent="0.25">
      <c r="A1635" t="s">
        <v>1398</v>
      </c>
      <c r="B1635" t="s">
        <v>1399</v>
      </c>
      <c r="C1635" s="1">
        <v>41141</v>
      </c>
      <c r="D1635" s="1">
        <v>41143</v>
      </c>
      <c r="E1635">
        <v>1905</v>
      </c>
      <c r="F1635" t="s">
        <v>689</v>
      </c>
      <c r="G1635" t="s">
        <v>16</v>
      </c>
      <c r="H1635" t="s">
        <v>1894</v>
      </c>
      <c r="I1635">
        <v>2.0182000000000002</v>
      </c>
      <c r="J1635">
        <v>20643.03</v>
      </c>
      <c r="K1635">
        <v>10228.436230304231</v>
      </c>
    </row>
    <row r="1636" spans="1:11" x14ac:dyDescent="0.25">
      <c r="A1636" t="s">
        <v>1398</v>
      </c>
      <c r="B1636" t="s">
        <v>1399</v>
      </c>
      <c r="C1636" s="1">
        <v>41141</v>
      </c>
      <c r="D1636" s="1">
        <v>41143</v>
      </c>
      <c r="E1636">
        <v>1905</v>
      </c>
      <c r="F1636" t="s">
        <v>689</v>
      </c>
      <c r="G1636" t="s">
        <v>16</v>
      </c>
      <c r="H1636" t="s">
        <v>5336</v>
      </c>
      <c r="I1636">
        <v>2.0182000000000002</v>
      </c>
      <c r="J1636">
        <v>21093.79</v>
      </c>
      <c r="K1636">
        <v>10451.783767713805</v>
      </c>
    </row>
    <row r="1637" spans="1:11" x14ac:dyDescent="0.25">
      <c r="A1637" t="s">
        <v>1416</v>
      </c>
      <c r="B1637" t="s">
        <v>771</v>
      </c>
      <c r="C1637" s="1">
        <v>41158</v>
      </c>
      <c r="D1637" s="1">
        <v>41159</v>
      </c>
      <c r="E1637">
        <v>4821</v>
      </c>
      <c r="F1637" t="s">
        <v>331</v>
      </c>
      <c r="G1637" t="s">
        <v>16</v>
      </c>
      <c r="H1637" t="s">
        <v>5337</v>
      </c>
      <c r="I1637">
        <v>2.0385</v>
      </c>
      <c r="J1637">
        <v>42140.160000000003</v>
      </c>
      <c r="K1637">
        <v>20672.1412803532</v>
      </c>
    </row>
    <row r="1638" spans="1:11" x14ac:dyDescent="0.25">
      <c r="A1638" t="s">
        <v>1895</v>
      </c>
      <c r="B1638" t="s">
        <v>1896</v>
      </c>
      <c r="C1638" s="1">
        <v>41156</v>
      </c>
      <c r="D1638" s="1">
        <v>41158</v>
      </c>
      <c r="E1638">
        <v>4871</v>
      </c>
      <c r="F1638" t="s">
        <v>278</v>
      </c>
      <c r="G1638" t="s">
        <v>16</v>
      </c>
      <c r="H1638" t="s">
        <v>1897</v>
      </c>
      <c r="I1638">
        <v>2.0335000000000001</v>
      </c>
      <c r="J1638">
        <v>50770</v>
      </c>
      <c r="K1638">
        <v>24966.805999508237</v>
      </c>
    </row>
    <row r="1639" spans="1:11" x14ac:dyDescent="0.25">
      <c r="A1639" t="s">
        <v>751</v>
      </c>
      <c r="B1639" t="s">
        <v>752</v>
      </c>
      <c r="C1639" s="1">
        <v>41130</v>
      </c>
      <c r="D1639" s="1">
        <v>41132</v>
      </c>
      <c r="E1639">
        <v>4250</v>
      </c>
      <c r="F1639" t="s">
        <v>689</v>
      </c>
      <c r="G1639" t="s">
        <v>16</v>
      </c>
      <c r="H1639" t="s">
        <v>1898</v>
      </c>
      <c r="I1639">
        <v>2.0272999999999999</v>
      </c>
      <c r="J1639">
        <v>33297.33</v>
      </c>
      <c r="K1639">
        <v>16424.470971242539</v>
      </c>
    </row>
    <row r="1640" spans="1:11" x14ac:dyDescent="0.25">
      <c r="A1640" t="s">
        <v>751</v>
      </c>
      <c r="B1640" t="s">
        <v>752</v>
      </c>
      <c r="C1640" s="1">
        <v>41123</v>
      </c>
      <c r="D1640" s="1">
        <v>41127</v>
      </c>
      <c r="E1640">
        <v>4250</v>
      </c>
      <c r="F1640" t="s">
        <v>689</v>
      </c>
      <c r="G1640" t="s">
        <v>16</v>
      </c>
      <c r="H1640" t="s">
        <v>5338</v>
      </c>
      <c r="I1640">
        <v>2.0432000000000001</v>
      </c>
      <c r="J1640">
        <v>33034.11</v>
      </c>
      <c r="K1640">
        <v>16167.829874706344</v>
      </c>
    </row>
    <row r="1641" spans="1:11" x14ac:dyDescent="0.25">
      <c r="A1641" t="s">
        <v>770</v>
      </c>
      <c r="B1641" t="s">
        <v>771</v>
      </c>
      <c r="C1641" s="1">
        <v>41165</v>
      </c>
      <c r="D1641" s="1">
        <v>41169</v>
      </c>
      <c r="E1641">
        <v>4824</v>
      </c>
      <c r="F1641" t="s">
        <v>331</v>
      </c>
      <c r="G1641" t="s">
        <v>16</v>
      </c>
      <c r="H1641" t="s">
        <v>1899</v>
      </c>
      <c r="I1641">
        <v>2.0204</v>
      </c>
      <c r="J1641">
        <v>41957.95</v>
      </c>
      <c r="K1641">
        <v>20767.15006929321</v>
      </c>
    </row>
    <row r="1642" spans="1:11" x14ac:dyDescent="0.25">
      <c r="A1642" t="s">
        <v>770</v>
      </c>
      <c r="B1642" t="s">
        <v>771</v>
      </c>
      <c r="C1642" s="1">
        <v>41166</v>
      </c>
      <c r="D1642" s="1">
        <v>41169</v>
      </c>
      <c r="E1642">
        <v>4824</v>
      </c>
      <c r="F1642" t="s">
        <v>331</v>
      </c>
      <c r="G1642" t="s">
        <v>16</v>
      </c>
      <c r="H1642" t="s">
        <v>1900</v>
      </c>
      <c r="I1642">
        <v>2.0253999999999999</v>
      </c>
      <c r="J1642">
        <v>58059.44</v>
      </c>
      <c r="K1642">
        <v>28665.666041275796</v>
      </c>
    </row>
    <row r="1643" spans="1:11" x14ac:dyDescent="0.25">
      <c r="A1643" t="s">
        <v>770</v>
      </c>
      <c r="B1643" t="s">
        <v>771</v>
      </c>
      <c r="C1643" s="1">
        <v>41165</v>
      </c>
      <c r="D1643" s="1">
        <v>41169</v>
      </c>
      <c r="E1643">
        <v>4824</v>
      </c>
      <c r="F1643" t="s">
        <v>331</v>
      </c>
      <c r="G1643" t="s">
        <v>16</v>
      </c>
      <c r="H1643" t="s">
        <v>1901</v>
      </c>
      <c r="I1643">
        <v>2.0204</v>
      </c>
      <c r="J1643">
        <v>58036.66</v>
      </c>
      <c r="K1643">
        <v>28725.331617501484</v>
      </c>
    </row>
    <row r="1644" spans="1:11" x14ac:dyDescent="0.25">
      <c r="A1644" t="s">
        <v>774</v>
      </c>
      <c r="B1644" t="s">
        <v>775</v>
      </c>
      <c r="C1644" s="1">
        <v>41143</v>
      </c>
      <c r="D1644" s="1">
        <v>41149</v>
      </c>
      <c r="E1644">
        <v>4826</v>
      </c>
      <c r="F1644" t="s">
        <v>311</v>
      </c>
      <c r="G1644" t="s">
        <v>16</v>
      </c>
      <c r="H1644" t="s">
        <v>5339</v>
      </c>
      <c r="I1644">
        <v>2.0173000000000001</v>
      </c>
      <c r="J1644">
        <v>486105.37</v>
      </c>
      <c r="K1644">
        <v>240968.30912605958</v>
      </c>
    </row>
    <row r="1645" spans="1:11" x14ac:dyDescent="0.25">
      <c r="A1645" t="s">
        <v>786</v>
      </c>
      <c r="B1645" t="s">
        <v>771</v>
      </c>
      <c r="C1645" s="1">
        <v>41163</v>
      </c>
      <c r="D1645" s="1">
        <v>41167</v>
      </c>
      <c r="E1645">
        <v>4823</v>
      </c>
      <c r="F1645" t="s">
        <v>331</v>
      </c>
      <c r="G1645" t="s">
        <v>16</v>
      </c>
      <c r="H1645" t="s">
        <v>1902</v>
      </c>
      <c r="I1645">
        <v>2.0240999999999998</v>
      </c>
      <c r="J1645">
        <v>41889.620000000003</v>
      </c>
      <c r="K1645">
        <v>20695.430067684403</v>
      </c>
    </row>
    <row r="1646" spans="1:11" x14ac:dyDescent="0.25">
      <c r="A1646" t="s">
        <v>1416</v>
      </c>
      <c r="B1646" t="s">
        <v>771</v>
      </c>
      <c r="C1646" s="1">
        <v>41160</v>
      </c>
      <c r="D1646" s="1">
        <v>41164</v>
      </c>
      <c r="E1646">
        <v>4821</v>
      </c>
      <c r="F1646" t="s">
        <v>331</v>
      </c>
      <c r="G1646" t="s">
        <v>16</v>
      </c>
      <c r="H1646" t="s">
        <v>1903</v>
      </c>
      <c r="I1646">
        <v>2.0381</v>
      </c>
      <c r="J1646">
        <v>42026.28</v>
      </c>
      <c r="K1646">
        <v>20620.322849712968</v>
      </c>
    </row>
    <row r="1647" spans="1:11" x14ac:dyDescent="0.25">
      <c r="A1647" t="s">
        <v>1904</v>
      </c>
      <c r="B1647" t="s">
        <v>144</v>
      </c>
      <c r="C1647" s="1">
        <v>41157</v>
      </c>
      <c r="D1647" s="1">
        <v>41164</v>
      </c>
      <c r="E1647">
        <v>4818</v>
      </c>
      <c r="F1647" t="s">
        <v>642</v>
      </c>
      <c r="G1647" t="s">
        <v>16</v>
      </c>
      <c r="H1647" t="s">
        <v>1905</v>
      </c>
      <c r="I1647">
        <v>2.0392000000000001</v>
      </c>
      <c r="J1647">
        <v>170225.73</v>
      </c>
      <c r="K1647">
        <v>83476.721263240484</v>
      </c>
    </row>
    <row r="1648" spans="1:11" x14ac:dyDescent="0.25">
      <c r="A1648" t="s">
        <v>779</v>
      </c>
      <c r="B1648" t="s">
        <v>771</v>
      </c>
      <c r="C1648" s="1">
        <v>41158</v>
      </c>
      <c r="D1648" s="1">
        <v>41158</v>
      </c>
      <c r="E1648">
        <v>4822</v>
      </c>
      <c r="F1648" t="s">
        <v>331</v>
      </c>
      <c r="G1648" t="s">
        <v>16</v>
      </c>
      <c r="H1648" t="s">
        <v>5340</v>
      </c>
      <c r="I1648">
        <v>2.0385</v>
      </c>
      <c r="J1648">
        <v>42094.6</v>
      </c>
      <c r="K1648">
        <v>20649.791513367672</v>
      </c>
    </row>
    <row r="1649" spans="1:11" x14ac:dyDescent="0.25">
      <c r="A1649" t="s">
        <v>751</v>
      </c>
      <c r="B1649" t="s">
        <v>752</v>
      </c>
      <c r="C1649" s="1">
        <v>41163</v>
      </c>
      <c r="D1649" s="1">
        <v>41167</v>
      </c>
      <c r="E1649">
        <v>4250</v>
      </c>
      <c r="F1649" t="s">
        <v>689</v>
      </c>
      <c r="G1649" t="s">
        <v>16</v>
      </c>
      <c r="H1649" t="s">
        <v>1906</v>
      </c>
      <c r="I1649">
        <v>2.0240999999999998</v>
      </c>
      <c r="J1649">
        <v>33359.85</v>
      </c>
      <c r="K1649">
        <v>16481.325033348156</v>
      </c>
    </row>
    <row r="1650" spans="1:11" x14ac:dyDescent="0.25">
      <c r="A1650" t="s">
        <v>751</v>
      </c>
      <c r="B1650" t="s">
        <v>752</v>
      </c>
      <c r="C1650" s="1">
        <v>41105</v>
      </c>
      <c r="D1650" s="1">
        <v>41107</v>
      </c>
      <c r="E1650">
        <v>4250</v>
      </c>
      <c r="F1650" t="s">
        <v>689</v>
      </c>
      <c r="G1650" t="s">
        <v>16</v>
      </c>
      <c r="H1650" t="s">
        <v>1907</v>
      </c>
      <c r="I1650">
        <v>2.0337999999999998</v>
      </c>
      <c r="J1650">
        <v>33310.49</v>
      </c>
      <c r="K1650">
        <v>16378.449208378404</v>
      </c>
    </row>
    <row r="1651" spans="1:11" x14ac:dyDescent="0.25">
      <c r="A1651" t="s">
        <v>751</v>
      </c>
      <c r="B1651" t="s">
        <v>752</v>
      </c>
      <c r="C1651" s="1">
        <v>41122</v>
      </c>
      <c r="D1651" s="1">
        <v>41124</v>
      </c>
      <c r="E1651">
        <v>4250</v>
      </c>
      <c r="F1651" t="s">
        <v>689</v>
      </c>
      <c r="G1651" t="s">
        <v>16</v>
      </c>
      <c r="H1651" t="s">
        <v>1908</v>
      </c>
      <c r="I1651">
        <v>2.0499000000000001</v>
      </c>
      <c r="J1651">
        <v>33468.42</v>
      </c>
      <c r="K1651">
        <v>16326.85496853505</v>
      </c>
    </row>
    <row r="1652" spans="1:11" x14ac:dyDescent="0.25">
      <c r="A1652" t="s">
        <v>811</v>
      </c>
      <c r="B1652" t="s">
        <v>812</v>
      </c>
      <c r="C1652" s="1">
        <v>41152</v>
      </c>
      <c r="D1652" s="1">
        <v>41163</v>
      </c>
      <c r="E1652">
        <v>5271</v>
      </c>
      <c r="F1652" t="s">
        <v>331</v>
      </c>
      <c r="G1652" t="s">
        <v>16</v>
      </c>
      <c r="H1652" t="s">
        <v>1909</v>
      </c>
      <c r="I1652">
        <v>2.0512999999999999</v>
      </c>
      <c r="J1652">
        <v>86758.83</v>
      </c>
      <c r="K1652">
        <v>42294.55954760396</v>
      </c>
    </row>
    <row r="1653" spans="1:11" x14ac:dyDescent="0.25">
      <c r="A1653" t="s">
        <v>811</v>
      </c>
      <c r="B1653" t="s">
        <v>812</v>
      </c>
      <c r="C1653" s="1">
        <v>41149</v>
      </c>
      <c r="D1653" s="1">
        <v>41163</v>
      </c>
      <c r="E1653">
        <v>5271</v>
      </c>
      <c r="F1653" t="s">
        <v>331</v>
      </c>
      <c r="G1653" t="s">
        <v>16</v>
      </c>
      <c r="H1653" t="s">
        <v>5341</v>
      </c>
      <c r="I1653">
        <v>2.0293000000000001</v>
      </c>
      <c r="J1653">
        <v>86967.95</v>
      </c>
      <c r="K1653">
        <v>42856.132656581089</v>
      </c>
    </row>
    <row r="1654" spans="1:11" x14ac:dyDescent="0.25">
      <c r="A1654" t="s">
        <v>1910</v>
      </c>
      <c r="B1654" t="s">
        <v>297</v>
      </c>
      <c r="C1654" s="1">
        <v>41156</v>
      </c>
      <c r="D1654" s="1">
        <v>41163</v>
      </c>
      <c r="E1654">
        <v>7</v>
      </c>
      <c r="F1654" t="s">
        <v>642</v>
      </c>
      <c r="G1654" t="s">
        <v>16</v>
      </c>
      <c r="H1654" t="s">
        <v>1911</v>
      </c>
      <c r="I1654">
        <v>2.0335000000000001</v>
      </c>
      <c r="J1654">
        <v>170225.73</v>
      </c>
      <c r="K1654">
        <v>83710.710597492012</v>
      </c>
    </row>
    <row r="1655" spans="1:11" x14ac:dyDescent="0.25">
      <c r="A1655" t="s">
        <v>1398</v>
      </c>
      <c r="B1655" t="s">
        <v>1399</v>
      </c>
      <c r="C1655" s="1">
        <v>41134</v>
      </c>
      <c r="D1655" s="1">
        <v>41139</v>
      </c>
      <c r="E1655">
        <v>1905</v>
      </c>
      <c r="F1655" t="s">
        <v>689</v>
      </c>
      <c r="G1655" t="s">
        <v>16</v>
      </c>
      <c r="H1655" t="s">
        <v>5342</v>
      </c>
      <c r="I1655">
        <v>2.0175000000000001</v>
      </c>
      <c r="J1655">
        <v>24222.82</v>
      </c>
      <c r="K1655">
        <v>12006.354399008675</v>
      </c>
    </row>
    <row r="1656" spans="1:11" x14ac:dyDescent="0.25">
      <c r="A1656" t="s">
        <v>811</v>
      </c>
      <c r="B1656" t="s">
        <v>812</v>
      </c>
      <c r="C1656" s="1">
        <v>41144</v>
      </c>
      <c r="D1656" s="1">
        <v>41146</v>
      </c>
      <c r="E1656">
        <v>5271</v>
      </c>
      <c r="F1656" t="s">
        <v>331</v>
      </c>
      <c r="G1656" t="s">
        <v>16</v>
      </c>
      <c r="H1656" t="s">
        <v>5343</v>
      </c>
      <c r="I1656">
        <v>2.0209999999999999</v>
      </c>
      <c r="J1656">
        <v>88707.13</v>
      </c>
      <c r="K1656">
        <v>43892.691736763976</v>
      </c>
    </row>
    <row r="1657" spans="1:11" x14ac:dyDescent="0.25">
      <c r="A1657" t="s">
        <v>811</v>
      </c>
      <c r="B1657" t="s">
        <v>812</v>
      </c>
      <c r="C1657" s="1">
        <v>41141</v>
      </c>
      <c r="D1657" s="1">
        <v>41146</v>
      </c>
      <c r="E1657">
        <v>5271</v>
      </c>
      <c r="F1657" t="s">
        <v>331</v>
      </c>
      <c r="G1657" t="s">
        <v>16</v>
      </c>
      <c r="H1657" t="s">
        <v>1912</v>
      </c>
      <c r="I1657">
        <v>2.0182000000000002</v>
      </c>
      <c r="J1657">
        <v>64485.760000000002</v>
      </c>
      <c r="K1657">
        <v>31952.115746704985</v>
      </c>
    </row>
    <row r="1658" spans="1:11" x14ac:dyDescent="0.25">
      <c r="A1658" t="s">
        <v>4162</v>
      </c>
      <c r="B1658" t="s">
        <v>4163</v>
      </c>
      <c r="C1658" s="1">
        <v>41132</v>
      </c>
      <c r="D1658" s="1">
        <v>41141</v>
      </c>
      <c r="E1658">
        <v>4923</v>
      </c>
      <c r="F1658" t="s">
        <v>331</v>
      </c>
      <c r="G1658" t="s">
        <v>16</v>
      </c>
      <c r="H1658" t="s">
        <v>5344</v>
      </c>
      <c r="I1658">
        <v>2.0175000000000001</v>
      </c>
      <c r="J1658">
        <v>42890.62</v>
      </c>
      <c r="K1658">
        <v>21259.291201982651</v>
      </c>
    </row>
    <row r="1659" spans="1:11" x14ac:dyDescent="0.25">
      <c r="A1659" t="s">
        <v>774</v>
      </c>
      <c r="B1659" t="s">
        <v>775</v>
      </c>
      <c r="C1659" s="1">
        <v>41143</v>
      </c>
      <c r="D1659" s="1">
        <v>41149</v>
      </c>
      <c r="E1659">
        <v>4826</v>
      </c>
      <c r="F1659" t="s">
        <v>311</v>
      </c>
      <c r="G1659" t="s">
        <v>16</v>
      </c>
      <c r="H1659" t="s">
        <v>5345</v>
      </c>
      <c r="I1659">
        <v>2.0173000000000001</v>
      </c>
      <c r="J1659">
        <v>234259.87</v>
      </c>
      <c r="K1659">
        <v>116125.44985872206</v>
      </c>
    </row>
    <row r="1660" spans="1:11" x14ac:dyDescent="0.25">
      <c r="A1660" t="s">
        <v>1416</v>
      </c>
      <c r="B1660" t="s">
        <v>771</v>
      </c>
      <c r="C1660" s="1">
        <v>41164</v>
      </c>
      <c r="D1660" s="1">
        <v>41166</v>
      </c>
      <c r="E1660">
        <v>4821</v>
      </c>
      <c r="F1660" t="s">
        <v>331</v>
      </c>
      <c r="G1660" t="s">
        <v>16</v>
      </c>
      <c r="H1660" t="s">
        <v>1913</v>
      </c>
      <c r="I1660">
        <v>2.0196999999999998</v>
      </c>
      <c r="J1660">
        <v>41889.620000000003</v>
      </c>
      <c r="K1660">
        <v>20740.515918205674</v>
      </c>
    </row>
    <row r="1661" spans="1:11" x14ac:dyDescent="0.25">
      <c r="A1661" t="s">
        <v>1416</v>
      </c>
      <c r="B1661" t="s">
        <v>771</v>
      </c>
      <c r="C1661" s="1">
        <v>41163</v>
      </c>
      <c r="D1661" s="1">
        <v>41166</v>
      </c>
      <c r="E1661">
        <v>4821</v>
      </c>
      <c r="F1661" t="s">
        <v>331</v>
      </c>
      <c r="G1661" t="s">
        <v>16</v>
      </c>
      <c r="H1661" t="s">
        <v>5346</v>
      </c>
      <c r="I1661">
        <v>2.0240999999999998</v>
      </c>
      <c r="J1661">
        <v>42208.480000000003</v>
      </c>
      <c r="K1661">
        <v>20852.961810187244</v>
      </c>
    </row>
    <row r="1662" spans="1:11" x14ac:dyDescent="0.25">
      <c r="A1662" t="s">
        <v>786</v>
      </c>
      <c r="B1662" t="s">
        <v>771</v>
      </c>
      <c r="C1662" s="1">
        <v>41164</v>
      </c>
      <c r="D1662" s="1">
        <v>41167</v>
      </c>
      <c r="E1662">
        <v>4823</v>
      </c>
      <c r="F1662" t="s">
        <v>331</v>
      </c>
      <c r="G1662" t="s">
        <v>16</v>
      </c>
      <c r="H1662" t="s">
        <v>1383</v>
      </c>
      <c r="I1662">
        <v>2.0196999999999998</v>
      </c>
      <c r="J1662">
        <v>42026.28</v>
      </c>
      <c r="K1662">
        <v>20808.179432588997</v>
      </c>
    </row>
    <row r="1663" spans="1:11" x14ac:dyDescent="0.25">
      <c r="A1663" t="s">
        <v>751</v>
      </c>
      <c r="B1663" t="s">
        <v>752</v>
      </c>
      <c r="C1663" s="1">
        <v>41132</v>
      </c>
      <c r="D1663" s="1">
        <v>41136</v>
      </c>
      <c r="E1663">
        <v>4250</v>
      </c>
      <c r="F1663" t="s">
        <v>689</v>
      </c>
      <c r="G1663" t="s">
        <v>16</v>
      </c>
      <c r="H1663" t="s">
        <v>5347</v>
      </c>
      <c r="I1663">
        <v>2.0175000000000001</v>
      </c>
      <c r="J1663">
        <v>33547.39</v>
      </c>
      <c r="K1663">
        <v>16628.198265179679</v>
      </c>
    </row>
    <row r="1664" spans="1:11" x14ac:dyDescent="0.25">
      <c r="A1664" t="s">
        <v>751</v>
      </c>
      <c r="B1664" t="s">
        <v>752</v>
      </c>
      <c r="C1664" s="1">
        <v>41133</v>
      </c>
      <c r="D1664" s="1">
        <v>41136</v>
      </c>
      <c r="E1664">
        <v>4250</v>
      </c>
      <c r="F1664" t="s">
        <v>689</v>
      </c>
      <c r="G1664" t="s">
        <v>16</v>
      </c>
      <c r="H1664" t="s">
        <v>5348</v>
      </c>
      <c r="I1664">
        <v>2.0175000000000001</v>
      </c>
      <c r="J1664">
        <v>24472.880000000001</v>
      </c>
      <c r="K1664">
        <v>12130.299876084262</v>
      </c>
    </row>
    <row r="1665" spans="1:11" x14ac:dyDescent="0.25">
      <c r="A1665" t="s">
        <v>751</v>
      </c>
      <c r="B1665" t="s">
        <v>752</v>
      </c>
      <c r="C1665" s="1">
        <v>41134</v>
      </c>
      <c r="D1665" s="1">
        <v>41136</v>
      </c>
      <c r="E1665">
        <v>4250</v>
      </c>
      <c r="F1665" t="s">
        <v>689</v>
      </c>
      <c r="G1665" t="s">
        <v>16</v>
      </c>
      <c r="H1665" t="s">
        <v>1914</v>
      </c>
      <c r="I1665">
        <v>2.0175000000000001</v>
      </c>
      <c r="J1665">
        <v>33369.72</v>
      </c>
      <c r="K1665">
        <v>16540.133828996284</v>
      </c>
    </row>
    <row r="1666" spans="1:11" x14ac:dyDescent="0.25">
      <c r="A1666" t="s">
        <v>1425</v>
      </c>
      <c r="B1666" t="s">
        <v>1426</v>
      </c>
      <c r="C1666" s="1">
        <v>41170</v>
      </c>
      <c r="D1666" s="1">
        <v>41180</v>
      </c>
      <c r="E1666">
        <v>35</v>
      </c>
      <c r="F1666" t="s">
        <v>331</v>
      </c>
      <c r="G1666" t="s">
        <v>16</v>
      </c>
      <c r="H1666" t="s">
        <v>5349</v>
      </c>
      <c r="I1666">
        <v>2.0312000000000001</v>
      </c>
      <c r="J1666">
        <v>50582.78</v>
      </c>
      <c r="K1666">
        <v>24902.904686884602</v>
      </c>
    </row>
    <row r="1667" spans="1:11" x14ac:dyDescent="0.25">
      <c r="A1667" t="s">
        <v>1425</v>
      </c>
      <c r="B1667" t="s">
        <v>1426</v>
      </c>
      <c r="C1667" s="1">
        <v>41170</v>
      </c>
      <c r="D1667" s="1">
        <v>41180</v>
      </c>
      <c r="E1667">
        <v>35</v>
      </c>
      <c r="F1667" t="s">
        <v>331</v>
      </c>
      <c r="G1667" t="s">
        <v>16</v>
      </c>
      <c r="H1667" t="s">
        <v>5350</v>
      </c>
      <c r="I1667">
        <v>2.0312000000000001</v>
      </c>
      <c r="J1667">
        <v>49937.9</v>
      </c>
      <c r="K1667">
        <v>24585.417487199684</v>
      </c>
    </row>
    <row r="1668" spans="1:11" x14ac:dyDescent="0.25">
      <c r="A1668" t="s">
        <v>1425</v>
      </c>
      <c r="B1668" t="s">
        <v>1426</v>
      </c>
      <c r="C1668" s="1">
        <v>41171</v>
      </c>
      <c r="D1668" s="1">
        <v>41180</v>
      </c>
      <c r="E1668">
        <v>35</v>
      </c>
      <c r="F1668" t="s">
        <v>331</v>
      </c>
      <c r="G1668" t="s">
        <v>16</v>
      </c>
      <c r="H1668" t="s">
        <v>1915</v>
      </c>
      <c r="I1668">
        <v>2.0274000000000001</v>
      </c>
      <c r="J1668">
        <v>45934.26</v>
      </c>
      <c r="K1668">
        <v>22656.732761171945</v>
      </c>
    </row>
    <row r="1669" spans="1:11" x14ac:dyDescent="0.25">
      <c r="A1669" t="s">
        <v>2468</v>
      </c>
      <c r="B1669" t="s">
        <v>2469</v>
      </c>
      <c r="C1669" s="1">
        <v>41179</v>
      </c>
      <c r="D1669" s="1">
        <v>41194</v>
      </c>
      <c r="E1669">
        <v>62</v>
      </c>
      <c r="F1669" t="s">
        <v>301</v>
      </c>
      <c r="G1669" t="s">
        <v>16</v>
      </c>
      <c r="H1669" t="s">
        <v>5351</v>
      </c>
      <c r="I1669">
        <v>2.0341</v>
      </c>
      <c r="J1669">
        <v>16018.27</v>
      </c>
      <c r="K1669">
        <v>7874.8684922078564</v>
      </c>
    </row>
    <row r="1670" spans="1:11" x14ac:dyDescent="0.25">
      <c r="A1670" t="s">
        <v>1429</v>
      </c>
      <c r="B1670" t="s">
        <v>1430</v>
      </c>
      <c r="C1670" s="1">
        <v>41208</v>
      </c>
      <c r="D1670" s="1">
        <v>41217</v>
      </c>
      <c r="E1670">
        <v>5441</v>
      </c>
      <c r="F1670" t="s">
        <v>301</v>
      </c>
      <c r="G1670" t="s">
        <v>16</v>
      </c>
      <c r="H1670" t="s">
        <v>1916</v>
      </c>
      <c r="I1670">
        <v>2.0261</v>
      </c>
      <c r="J1670">
        <v>42300</v>
      </c>
      <c r="K1670">
        <v>20877.547998618036</v>
      </c>
    </row>
    <row r="1671" spans="1:11" x14ac:dyDescent="0.25">
      <c r="A1671" t="s">
        <v>1429</v>
      </c>
      <c r="B1671" t="s">
        <v>1430</v>
      </c>
      <c r="C1671" s="1">
        <v>41208</v>
      </c>
      <c r="D1671" s="1">
        <v>41217</v>
      </c>
      <c r="E1671">
        <v>5441</v>
      </c>
      <c r="F1671" t="s">
        <v>301</v>
      </c>
      <c r="G1671" t="s">
        <v>16</v>
      </c>
      <c r="H1671" t="s">
        <v>1917</v>
      </c>
      <c r="I1671">
        <v>2.0261</v>
      </c>
      <c r="J1671">
        <v>42300</v>
      </c>
      <c r="K1671">
        <v>20877.547998618036</v>
      </c>
    </row>
    <row r="1672" spans="1:11" x14ac:dyDescent="0.25">
      <c r="A1672" t="s">
        <v>1444</v>
      </c>
      <c r="C1672" s="1">
        <v>41191</v>
      </c>
      <c r="D1672" s="1">
        <v>41207</v>
      </c>
      <c r="E1672">
        <v>8826</v>
      </c>
      <c r="F1672" t="s">
        <v>421</v>
      </c>
      <c r="G1672" t="s">
        <v>16</v>
      </c>
      <c r="H1672" t="s">
        <v>1918</v>
      </c>
      <c r="I1672">
        <v>2.0312999999999999</v>
      </c>
      <c r="J1672">
        <v>109.04</v>
      </c>
      <c r="K1672">
        <v>53.679909417614333</v>
      </c>
    </row>
    <row r="1673" spans="1:11" x14ac:dyDescent="0.25">
      <c r="A1673" t="s">
        <v>1919</v>
      </c>
      <c r="B1673" t="s">
        <v>1920</v>
      </c>
      <c r="C1673" s="1">
        <v>41151</v>
      </c>
      <c r="D1673" s="1">
        <v>41171</v>
      </c>
      <c r="E1673">
        <v>8541</v>
      </c>
      <c r="F1673" t="s">
        <v>318</v>
      </c>
      <c r="G1673" t="s">
        <v>16</v>
      </c>
      <c r="H1673" t="s">
        <v>1921</v>
      </c>
      <c r="I1673">
        <v>2.0508999999999999</v>
      </c>
      <c r="J1673">
        <v>49514.92</v>
      </c>
      <c r="K1673">
        <v>24143.020137500611</v>
      </c>
    </row>
    <row r="1674" spans="1:11" x14ac:dyDescent="0.25">
      <c r="A1674" t="s">
        <v>817</v>
      </c>
      <c r="B1674" t="s">
        <v>818</v>
      </c>
      <c r="C1674" s="1">
        <v>41186</v>
      </c>
      <c r="D1674" s="1">
        <v>41206</v>
      </c>
      <c r="E1674">
        <v>5498</v>
      </c>
      <c r="F1674" t="s">
        <v>301</v>
      </c>
      <c r="G1674" t="s">
        <v>16</v>
      </c>
      <c r="H1674" t="s">
        <v>1922</v>
      </c>
      <c r="I1674">
        <v>2.0266000000000002</v>
      </c>
      <c r="J1674">
        <v>14100.01</v>
      </c>
      <c r="K1674">
        <v>6957.4706404815952</v>
      </c>
    </row>
    <row r="1675" spans="1:11" x14ac:dyDescent="0.25">
      <c r="A1675" t="s">
        <v>1388</v>
      </c>
      <c r="B1675" t="s">
        <v>1389</v>
      </c>
      <c r="C1675" s="1">
        <v>41197</v>
      </c>
      <c r="D1675" s="1">
        <v>41204</v>
      </c>
      <c r="E1675">
        <v>4846</v>
      </c>
      <c r="F1675" t="s">
        <v>665</v>
      </c>
      <c r="G1675" t="s">
        <v>16</v>
      </c>
      <c r="H1675" t="s">
        <v>5352</v>
      </c>
      <c r="I1675">
        <v>2.0369000000000002</v>
      </c>
      <c r="J1675">
        <v>85520.45</v>
      </c>
      <c r="K1675">
        <v>41985.590848838925</v>
      </c>
    </row>
    <row r="1676" spans="1:11" x14ac:dyDescent="0.25">
      <c r="A1676" t="s">
        <v>804</v>
      </c>
      <c r="B1676" t="s">
        <v>805</v>
      </c>
      <c r="C1676" s="1">
        <v>41169</v>
      </c>
      <c r="D1676" s="1">
        <v>41185</v>
      </c>
      <c r="E1676">
        <v>34</v>
      </c>
      <c r="F1676" t="s">
        <v>331</v>
      </c>
      <c r="G1676" t="s">
        <v>16</v>
      </c>
      <c r="H1676" t="s">
        <v>5353</v>
      </c>
      <c r="I1676">
        <v>2.0135999999999998</v>
      </c>
      <c r="J1676">
        <v>67543.199999999997</v>
      </c>
      <c r="K1676">
        <v>33543.5041716329</v>
      </c>
    </row>
    <row r="1677" spans="1:11" x14ac:dyDescent="0.25">
      <c r="A1677" t="s">
        <v>799</v>
      </c>
      <c r="B1677" t="s">
        <v>800</v>
      </c>
      <c r="C1677" s="1">
        <v>41200</v>
      </c>
      <c r="D1677" s="1">
        <v>41207</v>
      </c>
      <c r="E1677">
        <v>4856</v>
      </c>
      <c r="F1677" t="s">
        <v>301</v>
      </c>
      <c r="G1677" t="s">
        <v>16</v>
      </c>
      <c r="H1677" t="s">
        <v>5354</v>
      </c>
      <c r="I1677">
        <v>2.0335999999999999</v>
      </c>
      <c r="J1677">
        <v>42390.01</v>
      </c>
      <c r="K1677">
        <v>20844.812155782849</v>
      </c>
    </row>
    <row r="1678" spans="1:11" x14ac:dyDescent="0.25">
      <c r="A1678" t="s">
        <v>5355</v>
      </c>
      <c r="B1678" t="s">
        <v>5356</v>
      </c>
      <c r="C1678" s="1">
        <v>41151</v>
      </c>
      <c r="D1678" s="1">
        <v>41185</v>
      </c>
      <c r="E1678">
        <v>77</v>
      </c>
      <c r="F1678" t="s">
        <v>318</v>
      </c>
      <c r="G1678" t="s">
        <v>16</v>
      </c>
      <c r="H1678" t="s">
        <v>5357</v>
      </c>
      <c r="I1678">
        <v>2.0508999999999999</v>
      </c>
      <c r="J1678">
        <v>20434.16</v>
      </c>
      <c r="K1678">
        <v>9963.508703496027</v>
      </c>
    </row>
    <row r="1679" spans="1:11" x14ac:dyDescent="0.25">
      <c r="A1679" t="s">
        <v>790</v>
      </c>
      <c r="B1679" t="s">
        <v>791</v>
      </c>
      <c r="C1679" s="1">
        <v>41143</v>
      </c>
      <c r="D1679" s="1">
        <v>41172</v>
      </c>
      <c r="E1679">
        <v>5356</v>
      </c>
      <c r="F1679" t="s">
        <v>311</v>
      </c>
      <c r="G1679" t="s">
        <v>16</v>
      </c>
      <c r="H1679" t="s">
        <v>1923</v>
      </c>
      <c r="I1679">
        <v>2.0173000000000001</v>
      </c>
      <c r="J1679">
        <v>36644.25</v>
      </c>
      <c r="K1679">
        <v>18164.997769295594</v>
      </c>
    </row>
    <row r="1680" spans="1:11" x14ac:dyDescent="0.25">
      <c r="A1680" t="s">
        <v>1924</v>
      </c>
      <c r="B1680" t="s">
        <v>297</v>
      </c>
      <c r="C1680" s="1">
        <v>41164</v>
      </c>
      <c r="D1680" s="1">
        <v>41172</v>
      </c>
      <c r="E1680">
        <v>8558</v>
      </c>
      <c r="F1680" t="s">
        <v>318</v>
      </c>
      <c r="G1680" t="s">
        <v>16</v>
      </c>
      <c r="H1680" t="s">
        <v>1925</v>
      </c>
      <c r="I1680">
        <v>2.0196999999999998</v>
      </c>
      <c r="J1680">
        <v>73534.48</v>
      </c>
      <c r="K1680">
        <v>36408.615140862501</v>
      </c>
    </row>
    <row r="1681" spans="1:11" x14ac:dyDescent="0.25">
      <c r="A1681" t="s">
        <v>1429</v>
      </c>
      <c r="B1681" t="s">
        <v>1430</v>
      </c>
      <c r="C1681" s="1">
        <v>41164</v>
      </c>
      <c r="D1681" s="1">
        <v>41172</v>
      </c>
      <c r="E1681">
        <v>5441</v>
      </c>
      <c r="F1681" t="s">
        <v>301</v>
      </c>
      <c r="G1681" t="s">
        <v>16</v>
      </c>
      <c r="H1681" t="s">
        <v>5358</v>
      </c>
      <c r="I1681">
        <v>2.0196999999999998</v>
      </c>
      <c r="J1681">
        <v>23425.01</v>
      </c>
      <c r="K1681">
        <v>11598.262118136357</v>
      </c>
    </row>
    <row r="1682" spans="1:11" x14ac:dyDescent="0.25">
      <c r="A1682" t="s">
        <v>2390</v>
      </c>
      <c r="B1682" t="s">
        <v>2391</v>
      </c>
      <c r="C1682" s="1">
        <v>41172</v>
      </c>
      <c r="D1682" s="1">
        <v>41178</v>
      </c>
      <c r="E1682">
        <v>4828</v>
      </c>
      <c r="F1682" t="s">
        <v>642</v>
      </c>
      <c r="G1682" t="s">
        <v>16</v>
      </c>
      <c r="H1682" t="s">
        <v>5359</v>
      </c>
      <c r="I1682">
        <v>2.0236000000000001</v>
      </c>
      <c r="J1682">
        <v>75810</v>
      </c>
      <c r="K1682">
        <v>37462.937339395139</v>
      </c>
    </row>
    <row r="1683" spans="1:11" x14ac:dyDescent="0.25">
      <c r="A1683" t="s">
        <v>799</v>
      </c>
      <c r="B1683" t="s">
        <v>800</v>
      </c>
      <c r="C1683" s="1">
        <v>41169</v>
      </c>
      <c r="D1683" s="1">
        <v>41178</v>
      </c>
      <c r="E1683">
        <v>4856</v>
      </c>
      <c r="F1683" t="s">
        <v>301</v>
      </c>
      <c r="G1683" t="s">
        <v>16</v>
      </c>
      <c r="H1683" t="s">
        <v>380</v>
      </c>
      <c r="I1683">
        <v>2.0135999999999998</v>
      </c>
      <c r="J1683">
        <v>42029.99</v>
      </c>
      <c r="K1683">
        <v>20873.058204211364</v>
      </c>
    </row>
    <row r="1684" spans="1:11" x14ac:dyDescent="0.25">
      <c r="A1684" t="s">
        <v>799</v>
      </c>
      <c r="B1684" t="s">
        <v>800</v>
      </c>
      <c r="C1684" s="1">
        <v>41169</v>
      </c>
      <c r="D1684" s="1">
        <v>41178</v>
      </c>
      <c r="E1684">
        <v>4856</v>
      </c>
      <c r="F1684" t="s">
        <v>301</v>
      </c>
      <c r="G1684" t="s">
        <v>16</v>
      </c>
      <c r="H1684" t="s">
        <v>1926</v>
      </c>
      <c r="I1684">
        <v>2.0135999999999998</v>
      </c>
      <c r="J1684">
        <v>42029.99</v>
      </c>
      <c r="K1684">
        <v>20873.058204211364</v>
      </c>
    </row>
    <row r="1685" spans="1:11" x14ac:dyDescent="0.25">
      <c r="A1685" t="s">
        <v>799</v>
      </c>
      <c r="B1685" t="s">
        <v>800</v>
      </c>
      <c r="C1685" s="1">
        <v>41207</v>
      </c>
      <c r="D1685" s="1">
        <v>41212</v>
      </c>
      <c r="E1685">
        <v>4856</v>
      </c>
      <c r="F1685" t="s">
        <v>301</v>
      </c>
      <c r="G1685" t="s">
        <v>16</v>
      </c>
      <c r="H1685" t="s">
        <v>5360</v>
      </c>
      <c r="I1685">
        <v>2.0263</v>
      </c>
      <c r="J1685">
        <v>42300.01</v>
      </c>
      <c r="K1685">
        <v>20875.492276563193</v>
      </c>
    </row>
    <row r="1686" spans="1:11" x14ac:dyDescent="0.25">
      <c r="A1686" t="s">
        <v>787</v>
      </c>
      <c r="B1686" t="s">
        <v>788</v>
      </c>
      <c r="C1686" s="1">
        <v>41206</v>
      </c>
      <c r="D1686" s="1">
        <v>41208</v>
      </c>
      <c r="E1686">
        <v>5709</v>
      </c>
      <c r="F1686" t="s">
        <v>309</v>
      </c>
      <c r="G1686" t="s">
        <v>16</v>
      </c>
      <c r="H1686" t="s">
        <v>5361</v>
      </c>
      <c r="I1686">
        <v>2.0286</v>
      </c>
      <c r="J1686">
        <v>56554.87</v>
      </c>
      <c r="K1686">
        <v>27878.768608892831</v>
      </c>
    </row>
    <row r="1687" spans="1:11" x14ac:dyDescent="0.25">
      <c r="A1687" t="s">
        <v>808</v>
      </c>
      <c r="B1687" t="s">
        <v>809</v>
      </c>
      <c r="C1687" s="1">
        <v>41170</v>
      </c>
      <c r="D1687" s="1">
        <v>41177</v>
      </c>
      <c r="E1687">
        <v>4825</v>
      </c>
      <c r="F1687" t="s">
        <v>331</v>
      </c>
      <c r="G1687" t="s">
        <v>16</v>
      </c>
      <c r="H1687" t="s">
        <v>1927</v>
      </c>
      <c r="I1687">
        <v>2.0312000000000001</v>
      </c>
      <c r="J1687">
        <v>63694.18</v>
      </c>
      <c r="K1687">
        <v>31357.906656163843</v>
      </c>
    </row>
    <row r="1688" spans="1:11" x14ac:dyDescent="0.25">
      <c r="A1688" t="s">
        <v>808</v>
      </c>
      <c r="B1688" t="s">
        <v>809</v>
      </c>
      <c r="C1688" s="1">
        <v>41170</v>
      </c>
      <c r="D1688" s="1">
        <v>41177</v>
      </c>
      <c r="E1688">
        <v>4825</v>
      </c>
      <c r="F1688" t="s">
        <v>331</v>
      </c>
      <c r="G1688" t="s">
        <v>16</v>
      </c>
      <c r="H1688" t="s">
        <v>5362</v>
      </c>
      <c r="I1688">
        <v>2.0312000000000001</v>
      </c>
      <c r="J1688">
        <v>64334.63</v>
      </c>
      <c r="K1688">
        <v>31673.212879086255</v>
      </c>
    </row>
    <row r="1689" spans="1:11" x14ac:dyDescent="0.25">
      <c r="A1689" t="s">
        <v>808</v>
      </c>
      <c r="B1689" t="s">
        <v>809</v>
      </c>
      <c r="C1689" s="1">
        <v>41170</v>
      </c>
      <c r="D1689" s="1">
        <v>41177</v>
      </c>
      <c r="E1689">
        <v>4825</v>
      </c>
      <c r="F1689" t="s">
        <v>331</v>
      </c>
      <c r="G1689" t="s">
        <v>16</v>
      </c>
      <c r="H1689" t="s">
        <v>1928</v>
      </c>
      <c r="I1689">
        <v>2.0312000000000001</v>
      </c>
      <c r="J1689">
        <v>64133.71</v>
      </c>
      <c r="K1689">
        <v>31574.295982670341</v>
      </c>
    </row>
    <row r="1690" spans="1:11" x14ac:dyDescent="0.25">
      <c r="A1690" t="s">
        <v>793</v>
      </c>
      <c r="B1690" t="s">
        <v>794</v>
      </c>
      <c r="C1690" s="1">
        <v>41159</v>
      </c>
      <c r="D1690" s="1">
        <v>41181</v>
      </c>
      <c r="E1690">
        <v>3</v>
      </c>
      <c r="F1690" t="s">
        <v>309</v>
      </c>
      <c r="G1690" t="s">
        <v>16</v>
      </c>
      <c r="H1690" t="s">
        <v>1929</v>
      </c>
      <c r="I1690">
        <v>2.0381</v>
      </c>
      <c r="J1690">
        <v>47051.3</v>
      </c>
      <c r="K1690">
        <v>23085.864285363819</v>
      </c>
    </row>
    <row r="1691" spans="1:11" x14ac:dyDescent="0.25">
      <c r="A1691" t="s">
        <v>1429</v>
      </c>
      <c r="B1691" t="s">
        <v>1430</v>
      </c>
      <c r="C1691" s="1">
        <v>41193</v>
      </c>
      <c r="D1691" s="1">
        <v>41205</v>
      </c>
      <c r="E1691">
        <v>5441</v>
      </c>
      <c r="F1691" t="s">
        <v>301</v>
      </c>
      <c r="G1691" t="s">
        <v>16</v>
      </c>
      <c r="H1691" t="s">
        <v>1930</v>
      </c>
      <c r="I1691">
        <v>2.0377999999999998</v>
      </c>
      <c r="J1691">
        <v>63619.99</v>
      </c>
      <c r="K1691">
        <v>31219.938168613211</v>
      </c>
    </row>
    <row r="1692" spans="1:11" x14ac:dyDescent="0.25">
      <c r="A1692" t="s">
        <v>770</v>
      </c>
      <c r="B1692" t="s">
        <v>771</v>
      </c>
      <c r="C1692" s="1">
        <v>41171</v>
      </c>
      <c r="D1692" s="1">
        <v>41173</v>
      </c>
      <c r="E1692">
        <v>4824</v>
      </c>
      <c r="F1692" t="s">
        <v>331</v>
      </c>
      <c r="G1692" t="s">
        <v>16</v>
      </c>
      <c r="H1692" t="s">
        <v>5363</v>
      </c>
      <c r="I1692">
        <v>2.0274000000000001</v>
      </c>
      <c r="J1692">
        <v>42254.04</v>
      </c>
      <c r="K1692">
        <v>20841.49156555194</v>
      </c>
    </row>
    <row r="1693" spans="1:11" x14ac:dyDescent="0.25">
      <c r="A1693" t="s">
        <v>808</v>
      </c>
      <c r="B1693" t="s">
        <v>809</v>
      </c>
      <c r="C1693" s="1">
        <v>41169</v>
      </c>
      <c r="D1693" s="1">
        <v>41173</v>
      </c>
      <c r="E1693">
        <v>4825</v>
      </c>
      <c r="F1693" t="s">
        <v>331</v>
      </c>
      <c r="G1693" t="s">
        <v>16</v>
      </c>
      <c r="H1693" t="s">
        <v>1931</v>
      </c>
      <c r="I1693">
        <v>2.0135999999999998</v>
      </c>
      <c r="J1693">
        <v>46941.8</v>
      </c>
      <c r="K1693">
        <v>23312.375844259037</v>
      </c>
    </row>
    <row r="1694" spans="1:11" x14ac:dyDescent="0.25">
      <c r="A1694" t="s">
        <v>751</v>
      </c>
      <c r="B1694" t="s">
        <v>752</v>
      </c>
      <c r="C1694" s="1">
        <v>41208</v>
      </c>
      <c r="D1694" s="1">
        <v>41214</v>
      </c>
      <c r="E1694">
        <v>4250</v>
      </c>
      <c r="F1694" t="s">
        <v>689</v>
      </c>
      <c r="G1694" t="s">
        <v>16</v>
      </c>
      <c r="H1694" t="s">
        <v>5364</v>
      </c>
      <c r="I1694">
        <v>2.0261</v>
      </c>
      <c r="J1694">
        <v>22005.19</v>
      </c>
      <c r="K1694">
        <v>10860.860766990771</v>
      </c>
    </row>
    <row r="1695" spans="1:11" x14ac:dyDescent="0.25">
      <c r="A1695" t="s">
        <v>817</v>
      </c>
      <c r="B1695" t="s">
        <v>818</v>
      </c>
      <c r="C1695" s="1">
        <v>41255</v>
      </c>
      <c r="D1695" s="1">
        <v>41255</v>
      </c>
      <c r="E1695">
        <v>5498</v>
      </c>
      <c r="F1695" t="s">
        <v>301</v>
      </c>
      <c r="G1695" t="s">
        <v>16</v>
      </c>
      <c r="H1695" t="s">
        <v>1932</v>
      </c>
      <c r="I1695">
        <v>2.0743</v>
      </c>
      <c r="J1695">
        <v>7110</v>
      </c>
      <c r="K1695">
        <v>3427.6623439232512</v>
      </c>
    </row>
    <row r="1696" spans="1:11" x14ac:dyDescent="0.25">
      <c r="A1696" t="s">
        <v>1933</v>
      </c>
      <c r="B1696" t="s">
        <v>1934</v>
      </c>
      <c r="C1696" s="1">
        <v>41247</v>
      </c>
      <c r="D1696" s="1">
        <v>41254</v>
      </c>
      <c r="E1696">
        <v>5362</v>
      </c>
      <c r="F1696" t="s">
        <v>370</v>
      </c>
      <c r="G1696" t="s">
        <v>16</v>
      </c>
      <c r="H1696" t="s">
        <v>1935</v>
      </c>
      <c r="I1696">
        <v>1.1121000000000001</v>
      </c>
      <c r="J1696">
        <v>409426.36</v>
      </c>
      <c r="K1696">
        <v>368156.06510205916</v>
      </c>
    </row>
    <row r="1697" spans="1:11" x14ac:dyDescent="0.25">
      <c r="A1697" t="s">
        <v>799</v>
      </c>
      <c r="B1697" t="s">
        <v>800</v>
      </c>
      <c r="C1697" s="1">
        <v>41237</v>
      </c>
      <c r="D1697" s="1">
        <v>41244</v>
      </c>
      <c r="E1697">
        <v>4856</v>
      </c>
      <c r="F1697" t="s">
        <v>301</v>
      </c>
      <c r="G1697" t="s">
        <v>16</v>
      </c>
      <c r="H1697" t="s">
        <v>5365</v>
      </c>
      <c r="I1697">
        <v>2.0985</v>
      </c>
      <c r="J1697">
        <v>43740</v>
      </c>
      <c r="K1697">
        <v>20843.459614010007</v>
      </c>
    </row>
    <row r="1698" spans="1:11" x14ac:dyDescent="0.25">
      <c r="A1698" t="s">
        <v>799</v>
      </c>
      <c r="B1698" t="s">
        <v>800</v>
      </c>
      <c r="C1698" s="1">
        <v>41237</v>
      </c>
      <c r="D1698" s="1">
        <v>41244</v>
      </c>
      <c r="E1698">
        <v>4856</v>
      </c>
      <c r="F1698" t="s">
        <v>301</v>
      </c>
      <c r="G1698" t="s">
        <v>16</v>
      </c>
      <c r="H1698" t="s">
        <v>5366</v>
      </c>
      <c r="I1698">
        <v>2.0985</v>
      </c>
      <c r="J1698">
        <v>43740</v>
      </c>
      <c r="K1698">
        <v>20843.459614010007</v>
      </c>
    </row>
    <row r="1699" spans="1:11" x14ac:dyDescent="0.25">
      <c r="A1699" t="s">
        <v>799</v>
      </c>
      <c r="B1699" t="s">
        <v>800</v>
      </c>
      <c r="C1699" s="1">
        <v>41238</v>
      </c>
      <c r="D1699" s="1">
        <v>41247</v>
      </c>
      <c r="E1699">
        <v>4856</v>
      </c>
      <c r="F1699" t="s">
        <v>301</v>
      </c>
      <c r="G1699" t="s">
        <v>16</v>
      </c>
      <c r="H1699" t="s">
        <v>1936</v>
      </c>
      <c r="I1699">
        <v>2.0985</v>
      </c>
      <c r="J1699">
        <v>43740</v>
      </c>
      <c r="K1699">
        <v>20843.459614010007</v>
      </c>
    </row>
    <row r="1700" spans="1:11" x14ac:dyDescent="0.25">
      <c r="A1700" t="s">
        <v>1937</v>
      </c>
      <c r="B1700" t="s">
        <v>1938</v>
      </c>
      <c r="C1700" s="1">
        <v>41232</v>
      </c>
      <c r="D1700" s="1">
        <v>41232</v>
      </c>
      <c r="E1700">
        <v>10251</v>
      </c>
      <c r="F1700" t="s">
        <v>665</v>
      </c>
      <c r="G1700" t="s">
        <v>16</v>
      </c>
      <c r="H1700" t="s">
        <v>1939</v>
      </c>
      <c r="I1700">
        <v>2.0712000000000002</v>
      </c>
      <c r="J1700">
        <v>14549.89</v>
      </c>
      <c r="K1700">
        <v>7024.8599845500194</v>
      </c>
    </row>
    <row r="1701" spans="1:11" x14ac:dyDescent="0.25">
      <c r="A1701" t="s">
        <v>799</v>
      </c>
      <c r="B1701" t="s">
        <v>800</v>
      </c>
      <c r="C1701" s="1">
        <v>41238</v>
      </c>
      <c r="D1701" s="1">
        <v>41247</v>
      </c>
      <c r="E1701">
        <v>4856</v>
      </c>
      <c r="F1701" t="s">
        <v>301</v>
      </c>
      <c r="G1701" t="s">
        <v>16</v>
      </c>
      <c r="H1701" t="s">
        <v>1940</v>
      </c>
      <c r="I1701">
        <v>2.0985</v>
      </c>
      <c r="J1701">
        <v>43740</v>
      </c>
      <c r="K1701">
        <v>20843.459614010007</v>
      </c>
    </row>
    <row r="1702" spans="1:11" x14ac:dyDescent="0.25">
      <c r="A1702" t="s">
        <v>821</v>
      </c>
      <c r="B1702" t="s">
        <v>822</v>
      </c>
      <c r="C1702" s="1">
        <v>41286</v>
      </c>
      <c r="D1702" s="1">
        <v>41290</v>
      </c>
      <c r="E1702">
        <v>11833</v>
      </c>
      <c r="F1702" t="s">
        <v>331</v>
      </c>
      <c r="G1702" t="s">
        <v>16</v>
      </c>
      <c r="H1702" t="s">
        <v>5367</v>
      </c>
      <c r="I1702">
        <v>2.0341</v>
      </c>
      <c r="J1702">
        <v>70673.87</v>
      </c>
      <c r="K1702">
        <v>34744.54058305885</v>
      </c>
    </row>
    <row r="1703" spans="1:11" x14ac:dyDescent="0.25">
      <c r="A1703" t="s">
        <v>825</v>
      </c>
      <c r="B1703" t="s">
        <v>826</v>
      </c>
      <c r="C1703" s="1">
        <v>41265</v>
      </c>
      <c r="D1703" s="1">
        <v>41276</v>
      </c>
      <c r="E1703">
        <v>11411</v>
      </c>
      <c r="F1703" t="s">
        <v>331</v>
      </c>
      <c r="G1703" t="s">
        <v>16</v>
      </c>
      <c r="H1703" t="s">
        <v>1941</v>
      </c>
      <c r="I1703">
        <v>2.0758000000000001</v>
      </c>
      <c r="J1703">
        <v>44464.75</v>
      </c>
      <c r="K1703">
        <v>21420.536660564601</v>
      </c>
    </row>
    <row r="1704" spans="1:11" x14ac:dyDescent="0.25">
      <c r="A1704" t="s">
        <v>1429</v>
      </c>
      <c r="B1704" t="s">
        <v>1430</v>
      </c>
      <c r="C1704" s="1">
        <v>41272</v>
      </c>
      <c r="D1704" s="1">
        <v>41291</v>
      </c>
      <c r="E1704">
        <v>5441</v>
      </c>
      <c r="F1704" t="s">
        <v>301</v>
      </c>
      <c r="G1704" t="s">
        <v>16</v>
      </c>
      <c r="H1704" t="s">
        <v>1942</v>
      </c>
      <c r="I1704">
        <v>2.0434999999999999</v>
      </c>
      <c r="J1704">
        <v>19248</v>
      </c>
      <c r="K1704">
        <v>9419.1338390017136</v>
      </c>
    </row>
    <row r="1705" spans="1:11" x14ac:dyDescent="0.25">
      <c r="A1705" t="s">
        <v>1943</v>
      </c>
      <c r="B1705" t="s">
        <v>1944</v>
      </c>
      <c r="C1705" s="1">
        <v>40924</v>
      </c>
      <c r="D1705" s="1">
        <v>41297</v>
      </c>
      <c r="E1705">
        <v>11558</v>
      </c>
      <c r="F1705" t="s">
        <v>309</v>
      </c>
      <c r="G1705" t="s">
        <v>16</v>
      </c>
      <c r="H1705" t="s">
        <v>1945</v>
      </c>
      <c r="I1705">
        <v>1.7853000000000001</v>
      </c>
      <c r="J1705">
        <v>16658</v>
      </c>
      <c r="K1705">
        <v>9330.6447095726217</v>
      </c>
    </row>
    <row r="1706" spans="1:11" x14ac:dyDescent="0.25">
      <c r="A1706" t="s">
        <v>835</v>
      </c>
      <c r="B1706" t="s">
        <v>836</v>
      </c>
      <c r="C1706" s="1">
        <v>41293</v>
      </c>
      <c r="D1706" s="1">
        <v>41297</v>
      </c>
      <c r="E1706">
        <v>11334</v>
      </c>
      <c r="F1706" t="s">
        <v>331</v>
      </c>
      <c r="G1706" t="s">
        <v>16</v>
      </c>
      <c r="H1706" t="s">
        <v>5368</v>
      </c>
      <c r="I1706">
        <v>2.0440999999999998</v>
      </c>
      <c r="J1706">
        <v>81388.36</v>
      </c>
      <c r="K1706">
        <v>39816.232082579132</v>
      </c>
    </row>
    <row r="1707" spans="1:11" x14ac:dyDescent="0.25">
      <c r="A1707" t="s">
        <v>832</v>
      </c>
      <c r="B1707" t="s">
        <v>144</v>
      </c>
      <c r="C1707" s="1">
        <v>41269</v>
      </c>
      <c r="D1707" s="1">
        <v>41277</v>
      </c>
      <c r="E1707">
        <v>4889</v>
      </c>
      <c r="F1707" t="s">
        <v>318</v>
      </c>
      <c r="G1707" t="s">
        <v>16</v>
      </c>
      <c r="H1707" t="s">
        <v>5369</v>
      </c>
      <c r="I1707">
        <v>2.0773999999999999</v>
      </c>
      <c r="J1707">
        <v>104059.48</v>
      </c>
      <c r="K1707">
        <v>50091.210166554345</v>
      </c>
    </row>
    <row r="1708" spans="1:11" x14ac:dyDescent="0.25">
      <c r="A1708" t="s">
        <v>774</v>
      </c>
      <c r="B1708" t="s">
        <v>775</v>
      </c>
      <c r="C1708" s="1">
        <v>41270</v>
      </c>
      <c r="D1708" s="1">
        <v>41277</v>
      </c>
      <c r="E1708">
        <v>4826</v>
      </c>
      <c r="F1708" t="s">
        <v>311</v>
      </c>
      <c r="G1708" t="s">
        <v>16</v>
      </c>
      <c r="H1708" t="s">
        <v>5370</v>
      </c>
      <c r="I1708">
        <v>2.0569000000000002</v>
      </c>
      <c r="J1708">
        <v>192973.06</v>
      </c>
      <c r="K1708">
        <v>93817.424279255196</v>
      </c>
    </row>
    <row r="1709" spans="1:11" x14ac:dyDescent="0.25">
      <c r="A1709" t="s">
        <v>5371</v>
      </c>
      <c r="B1709" t="s">
        <v>5372</v>
      </c>
      <c r="C1709" s="1">
        <v>41269</v>
      </c>
      <c r="D1709" s="1">
        <v>41277</v>
      </c>
      <c r="E1709">
        <v>11313</v>
      </c>
      <c r="F1709" t="s">
        <v>311</v>
      </c>
      <c r="G1709" t="s">
        <v>16</v>
      </c>
      <c r="H1709" t="s">
        <v>5373</v>
      </c>
      <c r="I1709">
        <v>2.0773999999999999</v>
      </c>
      <c r="J1709">
        <v>274124.40000000002</v>
      </c>
      <c r="K1709">
        <v>131955.52132473284</v>
      </c>
    </row>
    <row r="1710" spans="1:11" x14ac:dyDescent="0.25">
      <c r="A1710" t="s">
        <v>835</v>
      </c>
      <c r="B1710" t="s">
        <v>836</v>
      </c>
      <c r="C1710" s="1">
        <v>41296</v>
      </c>
      <c r="D1710" s="1">
        <v>41298</v>
      </c>
      <c r="E1710">
        <v>11334</v>
      </c>
      <c r="F1710" t="s">
        <v>331</v>
      </c>
      <c r="G1710" t="s">
        <v>16</v>
      </c>
      <c r="H1710" t="s">
        <v>5374</v>
      </c>
      <c r="I1710">
        <v>2.0419999999999998</v>
      </c>
      <c r="J1710">
        <v>63530.57</v>
      </c>
      <c r="K1710">
        <v>31111.934378060723</v>
      </c>
    </row>
    <row r="1711" spans="1:11" x14ac:dyDescent="0.25">
      <c r="A1711" t="s">
        <v>817</v>
      </c>
      <c r="B1711" t="s">
        <v>818</v>
      </c>
      <c r="C1711" s="1">
        <v>41297</v>
      </c>
      <c r="D1711" s="1">
        <v>41302</v>
      </c>
      <c r="E1711">
        <v>5498</v>
      </c>
      <c r="F1711" t="s">
        <v>301</v>
      </c>
      <c r="G1711" t="s">
        <v>16</v>
      </c>
      <c r="H1711" t="s">
        <v>5375</v>
      </c>
      <c r="I1711">
        <v>2.0470999999999999</v>
      </c>
      <c r="J1711">
        <v>4789.1899999999996</v>
      </c>
      <c r="K1711">
        <v>2339.4997801768354</v>
      </c>
    </row>
    <row r="1712" spans="1:11" x14ac:dyDescent="0.25">
      <c r="A1712" t="s">
        <v>821</v>
      </c>
      <c r="B1712" t="s">
        <v>822</v>
      </c>
      <c r="C1712" s="1">
        <v>41290</v>
      </c>
      <c r="D1712" s="1">
        <v>41293</v>
      </c>
      <c r="E1712">
        <v>11833</v>
      </c>
      <c r="F1712" t="s">
        <v>331</v>
      </c>
      <c r="G1712" t="s">
        <v>16</v>
      </c>
      <c r="H1712" t="s">
        <v>5376</v>
      </c>
      <c r="I1712">
        <v>2.0373999999999999</v>
      </c>
      <c r="J1712">
        <v>69214.53</v>
      </c>
      <c r="K1712">
        <v>33971.98880926671</v>
      </c>
    </row>
    <row r="1713" spans="1:11" x14ac:dyDescent="0.25">
      <c r="A1713" t="s">
        <v>821</v>
      </c>
      <c r="B1713" t="s">
        <v>822</v>
      </c>
      <c r="C1713" s="1">
        <v>41290</v>
      </c>
      <c r="D1713" s="1">
        <v>41293</v>
      </c>
      <c r="E1713">
        <v>11833</v>
      </c>
      <c r="F1713" t="s">
        <v>331</v>
      </c>
      <c r="G1713" t="s">
        <v>16</v>
      </c>
      <c r="H1713" t="s">
        <v>1946</v>
      </c>
      <c r="I1713">
        <v>2.0373999999999999</v>
      </c>
      <c r="J1713">
        <v>53286.85</v>
      </c>
      <c r="K1713">
        <v>26154.338863257093</v>
      </c>
    </row>
    <row r="1714" spans="1:11" x14ac:dyDescent="0.25">
      <c r="A1714" t="s">
        <v>821</v>
      </c>
      <c r="B1714" t="s">
        <v>822</v>
      </c>
      <c r="C1714" s="1">
        <v>41289</v>
      </c>
      <c r="D1714" s="1">
        <v>41293</v>
      </c>
      <c r="E1714">
        <v>11833</v>
      </c>
      <c r="F1714" t="s">
        <v>331</v>
      </c>
      <c r="G1714" t="s">
        <v>16</v>
      </c>
      <c r="H1714" t="s">
        <v>5377</v>
      </c>
      <c r="I1714">
        <v>2.0333999999999999</v>
      </c>
      <c r="J1714">
        <v>70048.44</v>
      </c>
      <c r="K1714">
        <v>34448.922986131605</v>
      </c>
    </row>
    <row r="1715" spans="1:11" x14ac:dyDescent="0.25">
      <c r="A1715" t="s">
        <v>821</v>
      </c>
      <c r="B1715" t="s">
        <v>822</v>
      </c>
      <c r="C1715" s="1">
        <v>41291</v>
      </c>
      <c r="D1715" s="1">
        <v>41293</v>
      </c>
      <c r="E1715">
        <v>11833</v>
      </c>
      <c r="F1715" t="s">
        <v>331</v>
      </c>
      <c r="G1715" t="s">
        <v>16</v>
      </c>
      <c r="H1715" t="s">
        <v>1947</v>
      </c>
      <c r="I1715">
        <v>2.0409000000000002</v>
      </c>
      <c r="J1715">
        <v>52953.29</v>
      </c>
      <c r="K1715">
        <v>25946.048312019208</v>
      </c>
    </row>
    <row r="1716" spans="1:11" x14ac:dyDescent="0.25">
      <c r="A1716" t="s">
        <v>838</v>
      </c>
      <c r="B1716" t="s">
        <v>839</v>
      </c>
      <c r="C1716" s="1">
        <v>41264</v>
      </c>
      <c r="D1716" s="1">
        <v>41270</v>
      </c>
      <c r="E1716">
        <v>11333</v>
      </c>
      <c r="F1716" t="s">
        <v>331</v>
      </c>
      <c r="G1716" t="s">
        <v>16</v>
      </c>
      <c r="H1716" t="s">
        <v>1948</v>
      </c>
      <c r="I1716">
        <v>2.0653999999999999</v>
      </c>
      <c r="J1716">
        <v>63393.46</v>
      </c>
      <c r="K1716">
        <v>30693.066718311224</v>
      </c>
    </row>
    <row r="1717" spans="1:11" x14ac:dyDescent="0.25">
      <c r="A1717" t="s">
        <v>1453</v>
      </c>
      <c r="B1717" t="s">
        <v>1454</v>
      </c>
      <c r="C1717" s="1">
        <v>41290</v>
      </c>
      <c r="D1717" s="1">
        <v>41295</v>
      </c>
      <c r="E1717">
        <v>8781</v>
      </c>
      <c r="F1717" t="s">
        <v>309</v>
      </c>
      <c r="G1717" t="s">
        <v>16</v>
      </c>
      <c r="H1717" t="s">
        <v>1949</v>
      </c>
      <c r="I1717">
        <v>2.0373999999999999</v>
      </c>
      <c r="J1717">
        <v>60129.81</v>
      </c>
      <c r="K1717">
        <v>29513.011681554923</v>
      </c>
    </row>
    <row r="1718" spans="1:11" x14ac:dyDescent="0.25">
      <c r="A1718" t="s">
        <v>1453</v>
      </c>
      <c r="B1718" t="s">
        <v>1454</v>
      </c>
      <c r="C1718" s="1">
        <v>41290</v>
      </c>
      <c r="D1718" s="1">
        <v>41295</v>
      </c>
      <c r="E1718">
        <v>8781</v>
      </c>
      <c r="F1718" t="s">
        <v>309</v>
      </c>
      <c r="G1718" t="s">
        <v>16</v>
      </c>
      <c r="H1718" t="s">
        <v>5378</v>
      </c>
      <c r="I1718">
        <v>2.0373999999999999</v>
      </c>
      <c r="J1718">
        <v>58504.68</v>
      </c>
      <c r="K1718">
        <v>28715.362717188575</v>
      </c>
    </row>
    <row r="1719" spans="1:11" x14ac:dyDescent="0.25">
      <c r="A1719" t="s">
        <v>821</v>
      </c>
      <c r="B1719" t="s">
        <v>822</v>
      </c>
      <c r="C1719" s="1">
        <v>41286</v>
      </c>
      <c r="D1719" s="1">
        <v>41289</v>
      </c>
      <c r="E1719">
        <v>11833</v>
      </c>
      <c r="F1719" t="s">
        <v>331</v>
      </c>
      <c r="G1719" t="s">
        <v>16</v>
      </c>
      <c r="H1719" t="s">
        <v>1950</v>
      </c>
      <c r="I1719">
        <v>2.0341</v>
      </c>
      <c r="J1719">
        <v>50701.73</v>
      </c>
      <c r="K1719">
        <v>24925.87876702227</v>
      </c>
    </row>
    <row r="1720" spans="1:11" x14ac:dyDescent="0.25">
      <c r="A1720" t="s">
        <v>821</v>
      </c>
      <c r="B1720" t="s">
        <v>822</v>
      </c>
      <c r="C1720" s="1">
        <v>41286</v>
      </c>
      <c r="D1720" s="1">
        <v>41289</v>
      </c>
      <c r="E1720">
        <v>11833</v>
      </c>
      <c r="F1720" t="s">
        <v>331</v>
      </c>
      <c r="G1720" t="s">
        <v>16</v>
      </c>
      <c r="H1720" t="s">
        <v>1951</v>
      </c>
      <c r="I1720">
        <v>2.0341</v>
      </c>
      <c r="J1720">
        <v>51938.69</v>
      </c>
      <c r="K1720">
        <v>25533.990462612459</v>
      </c>
    </row>
    <row r="1721" spans="1:11" x14ac:dyDescent="0.25">
      <c r="A1721" t="s">
        <v>835</v>
      </c>
      <c r="B1721" t="s">
        <v>836</v>
      </c>
      <c r="C1721" s="1">
        <v>41293</v>
      </c>
      <c r="D1721" s="1">
        <v>41296</v>
      </c>
      <c r="E1721">
        <v>11334</v>
      </c>
      <c r="F1721" t="s">
        <v>331</v>
      </c>
      <c r="G1721" t="s">
        <v>16</v>
      </c>
      <c r="H1721" t="s">
        <v>1952</v>
      </c>
      <c r="I1721">
        <v>2.0440999999999998</v>
      </c>
      <c r="J1721">
        <v>61268.35</v>
      </c>
      <c r="K1721">
        <v>29973.264517391515</v>
      </c>
    </row>
    <row r="1722" spans="1:11" x14ac:dyDescent="0.25">
      <c r="A1722" t="s">
        <v>838</v>
      </c>
      <c r="B1722" t="s">
        <v>839</v>
      </c>
      <c r="C1722" s="1">
        <v>41264</v>
      </c>
      <c r="D1722" s="1">
        <v>41270</v>
      </c>
      <c r="E1722">
        <v>11333</v>
      </c>
      <c r="F1722" t="s">
        <v>331</v>
      </c>
      <c r="G1722" t="s">
        <v>16</v>
      </c>
      <c r="H1722" t="s">
        <v>1953</v>
      </c>
      <c r="I1722">
        <v>2.0653999999999999</v>
      </c>
      <c r="J1722">
        <v>61885.32</v>
      </c>
      <c r="K1722">
        <v>29962.874019560375</v>
      </c>
    </row>
    <row r="1723" spans="1:11" x14ac:dyDescent="0.25">
      <c r="A1723" t="s">
        <v>838</v>
      </c>
      <c r="B1723" t="s">
        <v>839</v>
      </c>
      <c r="C1723" s="1">
        <v>41264</v>
      </c>
      <c r="D1723" s="1">
        <v>41270</v>
      </c>
      <c r="E1723">
        <v>11333</v>
      </c>
      <c r="F1723" t="s">
        <v>331</v>
      </c>
      <c r="G1723" t="s">
        <v>16</v>
      </c>
      <c r="H1723" t="s">
        <v>1918</v>
      </c>
      <c r="I1723">
        <v>2.0653999999999999</v>
      </c>
      <c r="J1723">
        <v>85570.03</v>
      </c>
      <c r="K1723">
        <v>41430.245957199571</v>
      </c>
    </row>
    <row r="1724" spans="1:11" x14ac:dyDescent="0.25">
      <c r="A1724" t="s">
        <v>799</v>
      </c>
      <c r="B1724" t="s">
        <v>800</v>
      </c>
      <c r="C1724" s="1">
        <v>41255</v>
      </c>
      <c r="D1724" s="1">
        <v>41269</v>
      </c>
      <c r="E1724">
        <v>4856</v>
      </c>
      <c r="F1724" t="s">
        <v>301</v>
      </c>
      <c r="G1724" t="s">
        <v>16</v>
      </c>
      <c r="H1724" t="s">
        <v>1954</v>
      </c>
      <c r="I1724">
        <v>2.0743</v>
      </c>
      <c r="J1724">
        <v>69555.199999999997</v>
      </c>
      <c r="K1724">
        <v>33531.890276237769</v>
      </c>
    </row>
    <row r="1725" spans="1:11" x14ac:dyDescent="0.25">
      <c r="A1725" t="s">
        <v>1453</v>
      </c>
      <c r="B1725" t="s">
        <v>1454</v>
      </c>
      <c r="C1725" s="1">
        <v>41290</v>
      </c>
      <c r="D1725" s="1">
        <v>41295</v>
      </c>
      <c r="E1725">
        <v>8781</v>
      </c>
      <c r="F1725" t="s">
        <v>309</v>
      </c>
      <c r="G1725" t="s">
        <v>16</v>
      </c>
      <c r="H1725" t="s">
        <v>1955</v>
      </c>
      <c r="I1725">
        <v>2.0373999999999999</v>
      </c>
      <c r="J1725">
        <v>60129.81</v>
      </c>
      <c r="K1725">
        <v>29513.011681554923</v>
      </c>
    </row>
    <row r="1726" spans="1:11" x14ac:dyDescent="0.25">
      <c r="A1726" t="s">
        <v>821</v>
      </c>
      <c r="B1726" t="s">
        <v>822</v>
      </c>
      <c r="C1726" s="1">
        <v>41286</v>
      </c>
      <c r="D1726" s="1">
        <v>41289</v>
      </c>
      <c r="E1726">
        <v>11833</v>
      </c>
      <c r="F1726" t="s">
        <v>331</v>
      </c>
      <c r="G1726" t="s">
        <v>16</v>
      </c>
      <c r="H1726" t="s">
        <v>1956</v>
      </c>
      <c r="I1726">
        <v>2.0341</v>
      </c>
      <c r="J1726">
        <v>51966.49</v>
      </c>
      <c r="K1726">
        <v>25547.657440637136</v>
      </c>
    </row>
    <row r="1727" spans="1:11" x14ac:dyDescent="0.25">
      <c r="A1727" t="s">
        <v>1957</v>
      </c>
      <c r="B1727" t="s">
        <v>1958</v>
      </c>
      <c r="C1727" s="1">
        <v>41302</v>
      </c>
      <c r="D1727" s="1">
        <v>41307</v>
      </c>
      <c r="E1727">
        <v>12629</v>
      </c>
      <c r="F1727" t="s">
        <v>318</v>
      </c>
      <c r="G1727" t="s">
        <v>16</v>
      </c>
      <c r="H1727" t="s">
        <v>1959</v>
      </c>
      <c r="I1727">
        <v>2.0285000000000002</v>
      </c>
      <c r="J1727">
        <v>216072.68</v>
      </c>
      <c r="K1727">
        <v>106518.45205817107</v>
      </c>
    </row>
    <row r="1728" spans="1:11" x14ac:dyDescent="0.25">
      <c r="A1728" t="s">
        <v>848</v>
      </c>
      <c r="B1728" t="s">
        <v>849</v>
      </c>
      <c r="C1728" s="1">
        <v>41309</v>
      </c>
      <c r="D1728" s="1">
        <v>41314</v>
      </c>
      <c r="E1728">
        <v>11834</v>
      </c>
      <c r="F1728" t="s">
        <v>331</v>
      </c>
      <c r="G1728" t="s">
        <v>16</v>
      </c>
      <c r="H1728" t="s">
        <v>5379</v>
      </c>
      <c r="I1728">
        <v>1.9843</v>
      </c>
      <c r="J1728">
        <v>37849.69</v>
      </c>
      <c r="K1728">
        <v>19074.580456584186</v>
      </c>
    </row>
    <row r="1729" spans="1:11" x14ac:dyDescent="0.25">
      <c r="A1729" t="s">
        <v>848</v>
      </c>
      <c r="B1729" t="s">
        <v>849</v>
      </c>
      <c r="C1729" s="1">
        <v>41310</v>
      </c>
      <c r="D1729" s="1">
        <v>41314</v>
      </c>
      <c r="E1729">
        <v>11834</v>
      </c>
      <c r="F1729" t="s">
        <v>331</v>
      </c>
      <c r="G1729" t="s">
        <v>16</v>
      </c>
      <c r="H1729" t="s">
        <v>5380</v>
      </c>
      <c r="I1729">
        <v>1.9893000000000001</v>
      </c>
      <c r="J1729">
        <v>36430.58</v>
      </c>
      <c r="K1729">
        <v>18313.265972955312</v>
      </c>
    </row>
    <row r="1730" spans="1:11" x14ac:dyDescent="0.25">
      <c r="A1730" t="s">
        <v>848</v>
      </c>
      <c r="B1730" t="s">
        <v>849</v>
      </c>
      <c r="C1730" s="1">
        <v>41310</v>
      </c>
      <c r="D1730" s="1">
        <v>41316</v>
      </c>
      <c r="E1730">
        <v>11834</v>
      </c>
      <c r="F1730" t="s">
        <v>331</v>
      </c>
      <c r="G1730" t="s">
        <v>16</v>
      </c>
      <c r="H1730" t="s">
        <v>5381</v>
      </c>
      <c r="I1730">
        <v>1.9893000000000001</v>
      </c>
      <c r="J1730">
        <v>37859.83</v>
      </c>
      <c r="K1730">
        <v>19031.734781078772</v>
      </c>
    </row>
    <row r="1731" spans="1:11" x14ac:dyDescent="0.25">
      <c r="A1731" t="s">
        <v>852</v>
      </c>
      <c r="B1731" t="s">
        <v>853</v>
      </c>
      <c r="C1731" s="1">
        <v>41310</v>
      </c>
      <c r="D1731" s="1">
        <v>41316</v>
      </c>
      <c r="E1731">
        <v>11335</v>
      </c>
      <c r="F1731" t="s">
        <v>331</v>
      </c>
      <c r="G1731" t="s">
        <v>16</v>
      </c>
      <c r="H1731" t="s">
        <v>5382</v>
      </c>
      <c r="I1731">
        <v>1.9893000000000001</v>
      </c>
      <c r="J1731">
        <v>66280.17</v>
      </c>
      <c r="K1731">
        <v>33318.338108882519</v>
      </c>
    </row>
    <row r="1732" spans="1:11" x14ac:dyDescent="0.25">
      <c r="A1732" t="s">
        <v>852</v>
      </c>
      <c r="B1732" t="s">
        <v>853</v>
      </c>
      <c r="C1732" s="1">
        <v>41311</v>
      </c>
      <c r="D1732" s="1">
        <v>41320</v>
      </c>
      <c r="E1732">
        <v>11335</v>
      </c>
      <c r="F1732" t="s">
        <v>331</v>
      </c>
      <c r="G1732" t="s">
        <v>16</v>
      </c>
      <c r="H1732" t="s">
        <v>1960</v>
      </c>
      <c r="I1732">
        <v>1.9881</v>
      </c>
      <c r="J1732">
        <v>66293.13</v>
      </c>
      <c r="K1732">
        <v>33344.967556963937</v>
      </c>
    </row>
    <row r="1733" spans="1:11" x14ac:dyDescent="0.25">
      <c r="A1733" t="s">
        <v>852</v>
      </c>
      <c r="B1733" t="s">
        <v>853</v>
      </c>
      <c r="C1733" s="1">
        <v>41313</v>
      </c>
      <c r="D1733" s="1">
        <v>41320</v>
      </c>
      <c r="E1733">
        <v>11335</v>
      </c>
      <c r="F1733" t="s">
        <v>331</v>
      </c>
      <c r="G1733" t="s">
        <v>16</v>
      </c>
      <c r="H1733" t="s">
        <v>5383</v>
      </c>
      <c r="I1733">
        <v>1.9789000000000001</v>
      </c>
      <c r="J1733">
        <v>47374.45</v>
      </c>
      <c r="K1733">
        <v>23939.789782202235</v>
      </c>
    </row>
    <row r="1734" spans="1:11" x14ac:dyDescent="0.25">
      <c r="A1734" t="s">
        <v>852</v>
      </c>
      <c r="B1734" t="s">
        <v>853</v>
      </c>
      <c r="C1734" s="1">
        <v>41311</v>
      </c>
      <c r="D1734" s="1">
        <v>41316</v>
      </c>
      <c r="E1734">
        <v>11335</v>
      </c>
      <c r="F1734" t="s">
        <v>331</v>
      </c>
      <c r="G1734" t="s">
        <v>16</v>
      </c>
      <c r="H1734" t="s">
        <v>1961</v>
      </c>
      <c r="I1734">
        <v>1.9881</v>
      </c>
      <c r="J1734">
        <v>48631.37</v>
      </c>
      <c r="K1734">
        <v>24461.229314420805</v>
      </c>
    </row>
    <row r="1735" spans="1:11" x14ac:dyDescent="0.25">
      <c r="A1735" t="s">
        <v>852</v>
      </c>
      <c r="B1735" t="s">
        <v>853</v>
      </c>
      <c r="C1735" s="1">
        <v>41315</v>
      </c>
      <c r="D1735" s="1">
        <v>41321</v>
      </c>
      <c r="E1735">
        <v>11335</v>
      </c>
      <c r="F1735" t="s">
        <v>331</v>
      </c>
      <c r="G1735" t="s">
        <v>16</v>
      </c>
      <c r="H1735" t="s">
        <v>1962</v>
      </c>
      <c r="I1735">
        <v>1.9636</v>
      </c>
      <c r="J1735">
        <v>48437</v>
      </c>
      <c r="K1735">
        <v>24667.447545324914</v>
      </c>
    </row>
    <row r="1736" spans="1:11" x14ac:dyDescent="0.25">
      <c r="A1736" t="s">
        <v>5384</v>
      </c>
      <c r="B1736" t="s">
        <v>5385</v>
      </c>
      <c r="C1736" s="1">
        <v>41318</v>
      </c>
      <c r="D1736" s="1">
        <v>41323</v>
      </c>
      <c r="E1736">
        <v>12772</v>
      </c>
      <c r="F1736" t="s">
        <v>338</v>
      </c>
      <c r="G1736" t="s">
        <v>16</v>
      </c>
      <c r="H1736" t="s">
        <v>5386</v>
      </c>
      <c r="I1736">
        <v>1.9636</v>
      </c>
      <c r="J1736">
        <v>177373.54</v>
      </c>
      <c r="K1736">
        <v>90330.790385007131</v>
      </c>
    </row>
    <row r="1737" spans="1:11" x14ac:dyDescent="0.25">
      <c r="A1737" t="s">
        <v>848</v>
      </c>
      <c r="B1737" t="s">
        <v>849</v>
      </c>
      <c r="C1737" s="1">
        <v>41328</v>
      </c>
      <c r="D1737" s="1">
        <v>41333</v>
      </c>
      <c r="E1737">
        <v>11834</v>
      </c>
      <c r="F1737" t="s">
        <v>331</v>
      </c>
      <c r="G1737" t="s">
        <v>16</v>
      </c>
      <c r="H1737" t="s">
        <v>1963</v>
      </c>
      <c r="I1737">
        <v>1.9704999999999999</v>
      </c>
      <c r="J1737">
        <v>37646.959999999999</v>
      </c>
      <c r="K1737">
        <v>19105.282923115959</v>
      </c>
    </row>
    <row r="1738" spans="1:11" x14ac:dyDescent="0.25">
      <c r="A1738" t="s">
        <v>852</v>
      </c>
      <c r="B1738" t="s">
        <v>853</v>
      </c>
      <c r="C1738" s="1">
        <v>41312</v>
      </c>
      <c r="D1738" s="1">
        <v>41319</v>
      </c>
      <c r="E1738">
        <v>11335</v>
      </c>
      <c r="F1738" t="s">
        <v>331</v>
      </c>
      <c r="G1738" t="s">
        <v>16</v>
      </c>
      <c r="H1738" t="s">
        <v>5387</v>
      </c>
      <c r="I1738">
        <v>1.9883999999999999</v>
      </c>
      <c r="J1738">
        <v>48061.22</v>
      </c>
      <c r="K1738">
        <v>24170.800643733655</v>
      </c>
    </row>
    <row r="1739" spans="1:11" x14ac:dyDescent="0.25">
      <c r="A1739" t="s">
        <v>852</v>
      </c>
      <c r="B1739" t="s">
        <v>853</v>
      </c>
      <c r="C1739" s="1">
        <v>41314</v>
      </c>
      <c r="D1739" s="1">
        <v>41319</v>
      </c>
      <c r="E1739">
        <v>11335</v>
      </c>
      <c r="F1739" t="s">
        <v>331</v>
      </c>
      <c r="G1739" t="s">
        <v>16</v>
      </c>
      <c r="H1739" t="s">
        <v>1964</v>
      </c>
      <c r="I1739">
        <v>1.9636</v>
      </c>
      <c r="J1739">
        <v>47555.86</v>
      </c>
      <c r="K1739">
        <v>24218.710531676512</v>
      </c>
    </row>
    <row r="1740" spans="1:11" x14ac:dyDescent="0.25">
      <c r="A1740" t="s">
        <v>848</v>
      </c>
      <c r="B1740" t="s">
        <v>849</v>
      </c>
      <c r="C1740" s="1">
        <v>41330</v>
      </c>
      <c r="D1740" s="1">
        <v>41333</v>
      </c>
      <c r="E1740">
        <v>11834</v>
      </c>
      <c r="F1740" t="s">
        <v>331</v>
      </c>
      <c r="G1740" t="s">
        <v>16</v>
      </c>
      <c r="H1740" t="s">
        <v>5388</v>
      </c>
      <c r="I1740">
        <v>1.9704999999999999</v>
      </c>
      <c r="J1740">
        <v>32112.43</v>
      </c>
      <c r="K1740">
        <v>16296.58969804618</v>
      </c>
    </row>
    <row r="1741" spans="1:11" x14ac:dyDescent="0.25">
      <c r="A1741" t="s">
        <v>848</v>
      </c>
      <c r="B1741" t="s">
        <v>849</v>
      </c>
      <c r="C1741" s="1">
        <v>41330</v>
      </c>
      <c r="D1741" s="1">
        <v>41333</v>
      </c>
      <c r="E1741">
        <v>11834</v>
      </c>
      <c r="F1741" t="s">
        <v>331</v>
      </c>
      <c r="G1741" t="s">
        <v>16</v>
      </c>
      <c r="H1741" t="s">
        <v>1965</v>
      </c>
      <c r="I1741">
        <v>1.9704999999999999</v>
      </c>
      <c r="J1741">
        <v>36440.720000000001</v>
      </c>
      <c r="K1741">
        <v>18493.133722405481</v>
      </c>
    </row>
    <row r="1742" spans="1:11" x14ac:dyDescent="0.25">
      <c r="A1742" t="s">
        <v>848</v>
      </c>
      <c r="B1742" t="s">
        <v>849</v>
      </c>
      <c r="C1742" s="1">
        <v>41328</v>
      </c>
      <c r="D1742" s="1">
        <v>41333</v>
      </c>
      <c r="E1742">
        <v>11834</v>
      </c>
      <c r="F1742" t="s">
        <v>331</v>
      </c>
      <c r="G1742" t="s">
        <v>16</v>
      </c>
      <c r="H1742" t="s">
        <v>1966</v>
      </c>
      <c r="I1742">
        <v>1.9704999999999999</v>
      </c>
      <c r="J1742">
        <v>37555.730000000003</v>
      </c>
      <c r="K1742">
        <v>19058.98502918041</v>
      </c>
    </row>
    <row r="1743" spans="1:11" x14ac:dyDescent="0.25">
      <c r="A1743" t="s">
        <v>865</v>
      </c>
      <c r="B1743" t="s">
        <v>866</v>
      </c>
      <c r="C1743" s="1">
        <v>41325</v>
      </c>
      <c r="D1743" s="1">
        <v>41333</v>
      </c>
      <c r="E1743">
        <v>13442</v>
      </c>
      <c r="F1743" t="s">
        <v>675</v>
      </c>
      <c r="G1743" t="s">
        <v>16</v>
      </c>
      <c r="H1743" t="s">
        <v>5389</v>
      </c>
      <c r="I1743">
        <v>1.9597</v>
      </c>
      <c r="J1743">
        <v>548963.19999999995</v>
      </c>
      <c r="K1743">
        <v>280126.14175639127</v>
      </c>
    </row>
    <row r="1744" spans="1:11" x14ac:dyDescent="0.25">
      <c r="A1744" t="s">
        <v>869</v>
      </c>
      <c r="B1744" t="s">
        <v>870</v>
      </c>
      <c r="C1744" s="1">
        <v>41367</v>
      </c>
      <c r="D1744" s="1">
        <v>41379</v>
      </c>
      <c r="E1744">
        <v>13711</v>
      </c>
      <c r="F1744" t="s">
        <v>331</v>
      </c>
      <c r="G1744" t="s">
        <v>16</v>
      </c>
      <c r="H1744" t="s">
        <v>5390</v>
      </c>
      <c r="I1744">
        <v>2.0179</v>
      </c>
      <c r="J1744">
        <v>29127.3</v>
      </c>
      <c r="K1744">
        <v>14434.461568957828</v>
      </c>
    </row>
    <row r="1745" spans="1:11" x14ac:dyDescent="0.25">
      <c r="A1745" t="s">
        <v>869</v>
      </c>
      <c r="B1745" t="s">
        <v>870</v>
      </c>
      <c r="C1745" s="1">
        <v>41361</v>
      </c>
      <c r="D1745" s="1">
        <v>41367</v>
      </c>
      <c r="E1745">
        <v>13711</v>
      </c>
      <c r="F1745" t="s">
        <v>331</v>
      </c>
      <c r="G1745" t="s">
        <v>16</v>
      </c>
      <c r="H1745" t="s">
        <v>1967</v>
      </c>
      <c r="I1745">
        <v>2.0185</v>
      </c>
      <c r="J1745">
        <v>16550.5</v>
      </c>
      <c r="K1745">
        <v>8199.4054991330195</v>
      </c>
    </row>
    <row r="1746" spans="1:11" x14ac:dyDescent="0.25">
      <c r="A1746" t="s">
        <v>848</v>
      </c>
      <c r="B1746" t="s">
        <v>849</v>
      </c>
      <c r="C1746" s="1">
        <v>41332</v>
      </c>
      <c r="D1746" s="1">
        <v>41339</v>
      </c>
      <c r="E1746">
        <v>11834</v>
      </c>
      <c r="F1746" t="s">
        <v>331</v>
      </c>
      <c r="G1746" t="s">
        <v>16</v>
      </c>
      <c r="H1746" t="s">
        <v>5391</v>
      </c>
      <c r="I1746">
        <v>1.9818</v>
      </c>
      <c r="J1746">
        <v>36805.629999999997</v>
      </c>
      <c r="K1746">
        <v>18571.818548794025</v>
      </c>
    </row>
    <row r="1747" spans="1:11" x14ac:dyDescent="0.25">
      <c r="A1747" t="s">
        <v>848</v>
      </c>
      <c r="B1747" t="s">
        <v>849</v>
      </c>
      <c r="C1747" s="1">
        <v>41332</v>
      </c>
      <c r="D1747" s="1">
        <v>41339</v>
      </c>
      <c r="E1747">
        <v>11834</v>
      </c>
      <c r="F1747" t="s">
        <v>331</v>
      </c>
      <c r="G1747" t="s">
        <v>16</v>
      </c>
      <c r="H1747" t="s">
        <v>1968</v>
      </c>
      <c r="I1747">
        <v>1.9818</v>
      </c>
      <c r="J1747">
        <v>36308.94</v>
      </c>
      <c r="K1747">
        <v>18321.19285498032</v>
      </c>
    </row>
    <row r="1748" spans="1:11" x14ac:dyDescent="0.25">
      <c r="A1748" t="s">
        <v>848</v>
      </c>
      <c r="B1748" t="s">
        <v>849</v>
      </c>
      <c r="C1748" s="1">
        <v>41330</v>
      </c>
      <c r="D1748" s="1">
        <v>41339</v>
      </c>
      <c r="E1748">
        <v>11834</v>
      </c>
      <c r="F1748" t="s">
        <v>331</v>
      </c>
      <c r="G1748" t="s">
        <v>16</v>
      </c>
      <c r="H1748" t="s">
        <v>5392</v>
      </c>
      <c r="I1748">
        <v>1.9704999999999999</v>
      </c>
      <c r="J1748">
        <v>37809.15</v>
      </c>
      <c r="K1748">
        <v>19187.591981730526</v>
      </c>
    </row>
    <row r="1749" spans="1:11" x14ac:dyDescent="0.25">
      <c r="A1749" t="s">
        <v>1969</v>
      </c>
      <c r="B1749" t="s">
        <v>1970</v>
      </c>
      <c r="C1749" s="1">
        <v>41326</v>
      </c>
      <c r="D1749" s="1">
        <v>41339</v>
      </c>
      <c r="E1749">
        <v>11412</v>
      </c>
      <c r="F1749" t="s">
        <v>331</v>
      </c>
      <c r="G1749" t="s">
        <v>16</v>
      </c>
      <c r="H1749" t="s">
        <v>1971</v>
      </c>
      <c r="I1749">
        <v>1.9570000000000001</v>
      </c>
      <c r="J1749">
        <v>44344.58</v>
      </c>
      <c r="K1749">
        <v>22659.468574348492</v>
      </c>
    </row>
    <row r="1750" spans="1:11" x14ac:dyDescent="0.25">
      <c r="A1750" t="s">
        <v>1957</v>
      </c>
      <c r="B1750" t="s">
        <v>1958</v>
      </c>
      <c r="C1750" s="1">
        <v>41337</v>
      </c>
      <c r="D1750" s="1">
        <v>41342</v>
      </c>
      <c r="E1750">
        <v>12629</v>
      </c>
      <c r="F1750" t="s">
        <v>318</v>
      </c>
      <c r="G1750" t="s">
        <v>16</v>
      </c>
      <c r="H1750" t="s">
        <v>5393</v>
      </c>
      <c r="I1750">
        <v>1.9847999999999999</v>
      </c>
      <c r="J1750">
        <v>211877.4</v>
      </c>
      <c r="K1750">
        <v>106750</v>
      </c>
    </row>
    <row r="1751" spans="1:11" x14ac:dyDescent="0.25">
      <c r="A1751" t="s">
        <v>5394</v>
      </c>
      <c r="B1751" t="s">
        <v>5395</v>
      </c>
      <c r="C1751" s="1">
        <v>41338</v>
      </c>
      <c r="D1751" s="1">
        <v>41342</v>
      </c>
      <c r="E1751">
        <v>13390</v>
      </c>
      <c r="F1751" t="s">
        <v>309</v>
      </c>
      <c r="G1751" t="s">
        <v>16</v>
      </c>
      <c r="H1751" t="s">
        <v>5396</v>
      </c>
      <c r="I1751">
        <v>1.9826999999999999</v>
      </c>
      <c r="J1751">
        <v>20870</v>
      </c>
      <c r="K1751">
        <v>10526.05033540122</v>
      </c>
    </row>
    <row r="1752" spans="1:11" x14ac:dyDescent="0.25">
      <c r="A1752" t="s">
        <v>1972</v>
      </c>
      <c r="B1752" t="s">
        <v>1973</v>
      </c>
      <c r="C1752" s="1">
        <v>41333</v>
      </c>
      <c r="D1752" s="1">
        <v>41333</v>
      </c>
      <c r="E1752">
        <v>13443</v>
      </c>
      <c r="F1752" t="s">
        <v>280</v>
      </c>
      <c r="G1752" t="s">
        <v>16</v>
      </c>
      <c r="H1752" t="s">
        <v>1974</v>
      </c>
      <c r="I1752">
        <v>1.9806999999999999</v>
      </c>
      <c r="J1752">
        <v>120950.26</v>
      </c>
      <c r="K1752">
        <v>61064.401474226281</v>
      </c>
    </row>
    <row r="1753" spans="1:11" x14ac:dyDescent="0.25">
      <c r="A1753" t="s">
        <v>1975</v>
      </c>
      <c r="B1753" t="s">
        <v>286</v>
      </c>
      <c r="C1753" s="1">
        <v>41351</v>
      </c>
      <c r="D1753" s="1">
        <v>41365</v>
      </c>
      <c r="E1753">
        <v>13840</v>
      </c>
      <c r="F1753" t="s">
        <v>311</v>
      </c>
      <c r="G1753" t="s">
        <v>16</v>
      </c>
      <c r="H1753" t="s">
        <v>1976</v>
      </c>
      <c r="I1753">
        <v>1.9749000000000001</v>
      </c>
      <c r="J1753">
        <v>7107.48</v>
      </c>
      <c r="K1753">
        <v>3598.9062737353788</v>
      </c>
    </row>
    <row r="1754" spans="1:11" x14ac:dyDescent="0.25">
      <c r="A1754" t="s">
        <v>848</v>
      </c>
      <c r="B1754" t="s">
        <v>849</v>
      </c>
      <c r="C1754" s="1">
        <v>41333</v>
      </c>
      <c r="D1754" s="1">
        <v>41342</v>
      </c>
      <c r="E1754">
        <v>11834</v>
      </c>
      <c r="F1754" t="s">
        <v>331</v>
      </c>
      <c r="G1754" t="s">
        <v>16</v>
      </c>
      <c r="H1754" t="s">
        <v>5397</v>
      </c>
      <c r="I1754">
        <v>1.9806999999999999</v>
      </c>
      <c r="J1754">
        <v>37464.5</v>
      </c>
      <c r="K1754">
        <v>18914.777603877417</v>
      </c>
    </row>
    <row r="1755" spans="1:11" x14ac:dyDescent="0.25">
      <c r="A1755" t="s">
        <v>848</v>
      </c>
      <c r="B1755" t="s">
        <v>849</v>
      </c>
      <c r="C1755" s="1">
        <v>41333</v>
      </c>
      <c r="D1755" s="1">
        <v>41342</v>
      </c>
      <c r="E1755">
        <v>11834</v>
      </c>
      <c r="F1755" t="s">
        <v>331</v>
      </c>
      <c r="G1755" t="s">
        <v>16</v>
      </c>
      <c r="H1755" t="s">
        <v>5398</v>
      </c>
      <c r="I1755">
        <v>1.9806999999999999</v>
      </c>
      <c r="J1755">
        <v>37494.910000000003</v>
      </c>
      <c r="K1755">
        <v>18930.130761851869</v>
      </c>
    </row>
    <row r="1756" spans="1:11" x14ac:dyDescent="0.25">
      <c r="A1756" t="s">
        <v>1480</v>
      </c>
      <c r="B1756" t="s">
        <v>1481</v>
      </c>
      <c r="C1756" s="1">
        <v>41341</v>
      </c>
      <c r="D1756" s="1">
        <v>41348</v>
      </c>
      <c r="E1756">
        <v>13993</v>
      </c>
      <c r="F1756" t="s">
        <v>331</v>
      </c>
      <c r="G1756" t="s">
        <v>16</v>
      </c>
      <c r="H1756" t="s">
        <v>5399</v>
      </c>
      <c r="I1756">
        <v>1.9528000000000001</v>
      </c>
      <c r="J1756">
        <v>44361.4</v>
      </c>
      <c r="K1756">
        <v>22716.816878328555</v>
      </c>
    </row>
    <row r="1757" spans="1:11" x14ac:dyDescent="0.25">
      <c r="A1757" t="s">
        <v>1495</v>
      </c>
      <c r="B1757" t="s">
        <v>1496</v>
      </c>
      <c r="C1757" s="1">
        <v>41337</v>
      </c>
      <c r="D1757" s="1">
        <v>41347</v>
      </c>
      <c r="E1757">
        <v>13834</v>
      </c>
      <c r="F1757" t="s">
        <v>331</v>
      </c>
      <c r="G1757" t="s">
        <v>16</v>
      </c>
      <c r="H1757" t="s">
        <v>5400</v>
      </c>
      <c r="I1757">
        <v>1.9847999999999999</v>
      </c>
      <c r="J1757">
        <v>30006.9</v>
      </c>
      <c r="K1757">
        <v>15118.349455864571</v>
      </c>
    </row>
    <row r="1758" spans="1:11" x14ac:dyDescent="0.25">
      <c r="A1758" t="s">
        <v>1495</v>
      </c>
      <c r="B1758" t="s">
        <v>1496</v>
      </c>
      <c r="C1758" s="1">
        <v>41339</v>
      </c>
      <c r="D1758" s="1">
        <v>41347</v>
      </c>
      <c r="E1758">
        <v>13834</v>
      </c>
      <c r="F1758" t="s">
        <v>331</v>
      </c>
      <c r="G1758" t="s">
        <v>16</v>
      </c>
      <c r="H1758" t="s">
        <v>1977</v>
      </c>
      <c r="I1758">
        <v>1.9693000000000001</v>
      </c>
      <c r="J1758">
        <v>21991.200000000001</v>
      </c>
      <c r="K1758">
        <v>11167.013659676028</v>
      </c>
    </row>
    <row r="1759" spans="1:11" x14ac:dyDescent="0.25">
      <c r="A1759" t="s">
        <v>872</v>
      </c>
      <c r="B1759" t="s">
        <v>873</v>
      </c>
      <c r="C1759" s="1">
        <v>41416</v>
      </c>
      <c r="D1759" s="1">
        <v>41418</v>
      </c>
      <c r="E1759">
        <v>4</v>
      </c>
      <c r="F1759" t="s">
        <v>309</v>
      </c>
      <c r="G1759" t="s">
        <v>16</v>
      </c>
      <c r="H1759" t="s">
        <v>1978</v>
      </c>
      <c r="I1759">
        <v>2.0402</v>
      </c>
      <c r="J1759">
        <v>50240.45</v>
      </c>
      <c r="K1759">
        <v>24625.25732771297</v>
      </c>
    </row>
    <row r="1760" spans="1:11" x14ac:dyDescent="0.25">
      <c r="A1760" t="s">
        <v>872</v>
      </c>
      <c r="B1760" t="s">
        <v>873</v>
      </c>
      <c r="C1760" s="1">
        <v>41416</v>
      </c>
      <c r="D1760" s="1">
        <v>41421</v>
      </c>
      <c r="E1760">
        <v>4</v>
      </c>
      <c r="F1760" t="s">
        <v>309</v>
      </c>
      <c r="G1760" t="s">
        <v>16</v>
      </c>
      <c r="H1760" t="s">
        <v>1979</v>
      </c>
      <c r="I1760">
        <v>2.0402</v>
      </c>
      <c r="J1760">
        <v>50240.45</v>
      </c>
      <c r="K1760">
        <v>24625.25732771297</v>
      </c>
    </row>
    <row r="1761" spans="1:11" x14ac:dyDescent="0.25">
      <c r="A1761" t="s">
        <v>875</v>
      </c>
      <c r="B1761" t="s">
        <v>876</v>
      </c>
      <c r="C1761" s="1">
        <v>41449</v>
      </c>
      <c r="D1761" s="1">
        <v>41453</v>
      </c>
      <c r="E1761">
        <v>8</v>
      </c>
      <c r="F1761" t="s">
        <v>309</v>
      </c>
      <c r="G1761" t="s">
        <v>16</v>
      </c>
      <c r="H1761" t="s">
        <v>5401</v>
      </c>
      <c r="I1761">
        <v>2.2648000000000001</v>
      </c>
      <c r="J1761">
        <v>31150.28</v>
      </c>
      <c r="K1761">
        <v>13754.097492052279</v>
      </c>
    </row>
    <row r="1762" spans="1:11" x14ac:dyDescent="0.25">
      <c r="A1762" t="s">
        <v>875</v>
      </c>
      <c r="B1762" t="s">
        <v>876</v>
      </c>
      <c r="C1762" s="1">
        <v>41443</v>
      </c>
      <c r="D1762" s="1">
        <v>41449</v>
      </c>
      <c r="E1762">
        <v>8</v>
      </c>
      <c r="F1762" t="s">
        <v>309</v>
      </c>
      <c r="G1762" t="s">
        <v>16</v>
      </c>
      <c r="H1762" t="s">
        <v>1980</v>
      </c>
      <c r="I1762">
        <v>2.1537999999999999</v>
      </c>
      <c r="J1762">
        <v>42704.81</v>
      </c>
      <c r="K1762">
        <v>19827.658092673413</v>
      </c>
    </row>
    <row r="1763" spans="1:11" x14ac:dyDescent="0.25">
      <c r="A1763" t="s">
        <v>875</v>
      </c>
      <c r="B1763" t="s">
        <v>876</v>
      </c>
      <c r="C1763" s="1">
        <v>41436</v>
      </c>
      <c r="D1763" s="1">
        <v>41445</v>
      </c>
      <c r="E1763">
        <v>8</v>
      </c>
      <c r="F1763" t="s">
        <v>309</v>
      </c>
      <c r="G1763" t="s">
        <v>16</v>
      </c>
      <c r="H1763" t="s">
        <v>1981</v>
      </c>
      <c r="I1763">
        <v>2.1505999999999998</v>
      </c>
      <c r="J1763">
        <v>31024.5</v>
      </c>
      <c r="K1763">
        <v>14425.974146749744</v>
      </c>
    </row>
    <row r="1764" spans="1:11" x14ac:dyDescent="0.25">
      <c r="A1764" t="s">
        <v>875</v>
      </c>
      <c r="B1764" t="s">
        <v>876</v>
      </c>
      <c r="C1764" s="1">
        <v>41439</v>
      </c>
      <c r="D1764" s="1">
        <v>41445</v>
      </c>
      <c r="E1764">
        <v>8</v>
      </c>
      <c r="F1764" t="s">
        <v>309</v>
      </c>
      <c r="G1764" t="s">
        <v>16</v>
      </c>
      <c r="H1764" t="s">
        <v>5402</v>
      </c>
      <c r="I1764">
        <v>2.1446999999999998</v>
      </c>
      <c r="J1764">
        <v>31401.83</v>
      </c>
      <c r="K1764">
        <v>14641.595561150743</v>
      </c>
    </row>
    <row r="1765" spans="1:11" x14ac:dyDescent="0.25">
      <c r="A1765" t="s">
        <v>875</v>
      </c>
      <c r="B1765" t="s">
        <v>876</v>
      </c>
      <c r="C1765" s="1">
        <v>41440</v>
      </c>
      <c r="D1765" s="1">
        <v>41445</v>
      </c>
      <c r="E1765">
        <v>8</v>
      </c>
      <c r="F1765" t="s">
        <v>309</v>
      </c>
      <c r="G1765" t="s">
        <v>16</v>
      </c>
      <c r="H1765" t="s">
        <v>5403</v>
      </c>
      <c r="I1765">
        <v>2.1366999999999998</v>
      </c>
      <c r="J1765">
        <v>26832</v>
      </c>
      <c r="K1765">
        <v>12557.682407450742</v>
      </c>
    </row>
    <row r="1766" spans="1:11" x14ac:dyDescent="0.25">
      <c r="A1766" t="s">
        <v>875</v>
      </c>
      <c r="B1766" t="s">
        <v>876</v>
      </c>
      <c r="C1766" s="1">
        <v>41437</v>
      </c>
      <c r="D1766" s="1">
        <v>41443</v>
      </c>
      <c r="E1766">
        <v>8</v>
      </c>
      <c r="F1766" t="s">
        <v>309</v>
      </c>
      <c r="G1766" t="s">
        <v>16</v>
      </c>
      <c r="H1766" t="s">
        <v>5404</v>
      </c>
      <c r="I1766">
        <v>2.1520999999999999</v>
      </c>
      <c r="J1766">
        <v>31032.89</v>
      </c>
      <c r="K1766">
        <v>14419.817852330281</v>
      </c>
    </row>
    <row r="1767" spans="1:11" x14ac:dyDescent="0.25">
      <c r="A1767" t="s">
        <v>875</v>
      </c>
      <c r="B1767" t="s">
        <v>876</v>
      </c>
      <c r="C1767" s="1">
        <v>41446</v>
      </c>
      <c r="D1767" s="1">
        <v>41450</v>
      </c>
      <c r="E1767">
        <v>8</v>
      </c>
      <c r="F1767" t="s">
        <v>309</v>
      </c>
      <c r="G1767" t="s">
        <v>16</v>
      </c>
      <c r="H1767" t="s">
        <v>5405</v>
      </c>
      <c r="I1767">
        <v>2.2523</v>
      </c>
      <c r="J1767">
        <v>31208.97</v>
      </c>
      <c r="K1767">
        <v>13856.488922434844</v>
      </c>
    </row>
    <row r="1768" spans="1:11" x14ac:dyDescent="0.25">
      <c r="A1768" t="s">
        <v>875</v>
      </c>
      <c r="B1768" t="s">
        <v>876</v>
      </c>
      <c r="C1768" s="1">
        <v>41440</v>
      </c>
      <c r="D1768" s="1">
        <v>41446</v>
      </c>
      <c r="E1768">
        <v>8</v>
      </c>
      <c r="F1768" t="s">
        <v>309</v>
      </c>
      <c r="G1768" t="s">
        <v>16</v>
      </c>
      <c r="H1768" t="s">
        <v>5406</v>
      </c>
      <c r="I1768">
        <v>2.1366999999999998</v>
      </c>
      <c r="J1768">
        <v>26832</v>
      </c>
      <c r="K1768">
        <v>12557.682407450742</v>
      </c>
    </row>
    <row r="1769" spans="1:11" x14ac:dyDescent="0.25">
      <c r="A1769" t="s">
        <v>875</v>
      </c>
      <c r="B1769" t="s">
        <v>876</v>
      </c>
      <c r="C1769" s="1">
        <v>41459</v>
      </c>
      <c r="D1769" s="1">
        <v>41464</v>
      </c>
      <c r="E1769">
        <v>8</v>
      </c>
      <c r="F1769" t="s">
        <v>309</v>
      </c>
      <c r="G1769" t="s">
        <v>16</v>
      </c>
      <c r="H1769" t="s">
        <v>5407</v>
      </c>
      <c r="I1769">
        <v>2.2633999999999999</v>
      </c>
      <c r="J1769">
        <v>28425.15</v>
      </c>
      <c r="K1769">
        <v>12558.606521162852</v>
      </c>
    </row>
    <row r="1770" spans="1:11" x14ac:dyDescent="0.25">
      <c r="A1770" t="s">
        <v>875</v>
      </c>
      <c r="B1770" t="s">
        <v>876</v>
      </c>
      <c r="C1770" s="1">
        <v>41451</v>
      </c>
      <c r="D1770" s="1">
        <v>41457</v>
      </c>
      <c r="E1770">
        <v>8</v>
      </c>
      <c r="F1770" t="s">
        <v>309</v>
      </c>
      <c r="G1770" t="s">
        <v>16</v>
      </c>
      <c r="H1770" t="s">
        <v>1982</v>
      </c>
      <c r="I1770">
        <v>2.2185000000000001</v>
      </c>
      <c r="J1770">
        <v>26982.93</v>
      </c>
      <c r="K1770">
        <v>12162.691007437457</v>
      </c>
    </row>
    <row r="1771" spans="1:11" x14ac:dyDescent="0.25">
      <c r="A1771" t="s">
        <v>875</v>
      </c>
      <c r="B1771" t="s">
        <v>876</v>
      </c>
      <c r="C1771" s="1">
        <v>41451</v>
      </c>
      <c r="D1771" s="1">
        <v>41457</v>
      </c>
      <c r="E1771">
        <v>8</v>
      </c>
      <c r="F1771" t="s">
        <v>309</v>
      </c>
      <c r="G1771" t="s">
        <v>16</v>
      </c>
      <c r="H1771" t="s">
        <v>5408</v>
      </c>
      <c r="I1771">
        <v>2.2185000000000001</v>
      </c>
      <c r="J1771">
        <v>26857.16</v>
      </c>
      <c r="K1771">
        <v>12105.999549244985</v>
      </c>
    </row>
    <row r="1772" spans="1:11" x14ac:dyDescent="0.25">
      <c r="A1772" t="s">
        <v>875</v>
      </c>
      <c r="B1772" t="s">
        <v>876</v>
      </c>
      <c r="C1772" s="1">
        <v>41451</v>
      </c>
      <c r="D1772" s="1">
        <v>41457</v>
      </c>
      <c r="E1772">
        <v>8</v>
      </c>
      <c r="F1772" t="s">
        <v>309</v>
      </c>
      <c r="G1772" t="s">
        <v>16</v>
      </c>
      <c r="H1772" t="s">
        <v>1983</v>
      </c>
      <c r="I1772">
        <v>2.2185000000000001</v>
      </c>
      <c r="J1772">
        <v>31208.97</v>
      </c>
      <c r="K1772">
        <v>14067.599729546992</v>
      </c>
    </row>
    <row r="1773" spans="1:11" x14ac:dyDescent="0.25">
      <c r="A1773" t="s">
        <v>875</v>
      </c>
      <c r="B1773" t="s">
        <v>876</v>
      </c>
      <c r="C1773" s="1">
        <v>41450</v>
      </c>
      <c r="D1773" s="1">
        <v>41456</v>
      </c>
      <c r="E1773">
        <v>8</v>
      </c>
      <c r="F1773" t="s">
        <v>309</v>
      </c>
      <c r="G1773" t="s">
        <v>16</v>
      </c>
      <c r="H1773" t="s">
        <v>5409</v>
      </c>
      <c r="I1773">
        <v>2.2515000000000001</v>
      </c>
      <c r="J1773">
        <v>42788.66</v>
      </c>
      <c r="K1773">
        <v>19004.512547190763</v>
      </c>
    </row>
    <row r="1774" spans="1:11" x14ac:dyDescent="0.25">
      <c r="A1774" t="s">
        <v>1510</v>
      </c>
      <c r="B1774" t="s">
        <v>1511</v>
      </c>
      <c r="C1774" s="1">
        <v>41499</v>
      </c>
      <c r="D1774" s="1">
        <v>41507</v>
      </c>
      <c r="E1774">
        <v>283</v>
      </c>
      <c r="F1774" t="s">
        <v>311</v>
      </c>
      <c r="G1774" t="s">
        <v>16</v>
      </c>
      <c r="H1774" t="s">
        <v>5410</v>
      </c>
      <c r="I1774">
        <v>2.2722000000000002</v>
      </c>
      <c r="J1774">
        <v>208987.2</v>
      </c>
      <c r="K1774">
        <v>91975.706363876423</v>
      </c>
    </row>
    <row r="1775" spans="1:11" x14ac:dyDescent="0.25">
      <c r="A1775" t="s">
        <v>799</v>
      </c>
      <c r="B1775" t="s">
        <v>800</v>
      </c>
      <c r="C1775" s="1">
        <v>41502</v>
      </c>
      <c r="D1775" s="1">
        <v>41507</v>
      </c>
      <c r="E1775">
        <v>4856</v>
      </c>
      <c r="F1775" t="s">
        <v>301</v>
      </c>
      <c r="G1775" t="s">
        <v>16</v>
      </c>
      <c r="H1775" t="s">
        <v>5411</v>
      </c>
      <c r="I1775">
        <v>2.3433999999999999</v>
      </c>
      <c r="J1775">
        <v>10476.19</v>
      </c>
      <c r="K1775">
        <v>4470.5086626269522</v>
      </c>
    </row>
    <row r="1776" spans="1:11" x14ac:dyDescent="0.25">
      <c r="A1776" t="s">
        <v>885</v>
      </c>
      <c r="B1776" t="s">
        <v>886</v>
      </c>
      <c r="C1776" s="1">
        <v>41503</v>
      </c>
      <c r="D1776" s="1">
        <v>41517</v>
      </c>
      <c r="E1776">
        <v>4</v>
      </c>
      <c r="F1776" t="s">
        <v>887</v>
      </c>
      <c r="G1776" t="s">
        <v>16</v>
      </c>
      <c r="H1776" t="s">
        <v>1984</v>
      </c>
      <c r="I1776">
        <v>2.3559000000000001</v>
      </c>
      <c r="J1776">
        <v>58376.160000000003</v>
      </c>
      <c r="K1776">
        <v>24778.708773717051</v>
      </c>
    </row>
    <row r="1777" spans="1:11" x14ac:dyDescent="0.25">
      <c r="A1777" t="s">
        <v>885</v>
      </c>
      <c r="B1777" t="s">
        <v>886</v>
      </c>
      <c r="C1777" s="1">
        <v>41509</v>
      </c>
      <c r="D1777" s="1">
        <v>41517</v>
      </c>
      <c r="E1777">
        <v>4</v>
      </c>
      <c r="F1777" t="s">
        <v>887</v>
      </c>
      <c r="G1777" t="s">
        <v>16</v>
      </c>
      <c r="H1777" t="s">
        <v>5412</v>
      </c>
      <c r="I1777">
        <v>2.4457</v>
      </c>
      <c r="J1777">
        <v>62315.46</v>
      </c>
      <c r="K1777">
        <v>25479.600932248435</v>
      </c>
    </row>
    <row r="1778" spans="1:11" x14ac:dyDescent="0.25">
      <c r="A1778" t="s">
        <v>1985</v>
      </c>
      <c r="B1778" t="s">
        <v>1986</v>
      </c>
      <c r="C1778" s="1">
        <v>41506</v>
      </c>
      <c r="D1778" s="1">
        <v>41519</v>
      </c>
      <c r="E1778">
        <v>17416</v>
      </c>
      <c r="F1778" t="s">
        <v>311</v>
      </c>
      <c r="G1778" t="s">
        <v>16</v>
      </c>
      <c r="H1778" t="s">
        <v>1987</v>
      </c>
      <c r="I1778">
        <v>2.3980000000000001</v>
      </c>
      <c r="J1778">
        <v>110040.66</v>
      </c>
      <c r="K1778">
        <v>45888.515429524603</v>
      </c>
    </row>
    <row r="1779" spans="1:11" x14ac:dyDescent="0.25">
      <c r="A1779" t="s">
        <v>885</v>
      </c>
      <c r="B1779" t="s">
        <v>886</v>
      </c>
      <c r="C1779" s="1">
        <v>41506</v>
      </c>
      <c r="D1779" s="1">
        <v>41512</v>
      </c>
      <c r="E1779">
        <v>4</v>
      </c>
      <c r="F1779" t="s">
        <v>887</v>
      </c>
      <c r="G1779" t="s">
        <v>16</v>
      </c>
      <c r="H1779" t="s">
        <v>5413</v>
      </c>
      <c r="I1779">
        <v>2.3980000000000001</v>
      </c>
      <c r="J1779">
        <v>58440.26</v>
      </c>
      <c r="K1779">
        <v>24370.417014178482</v>
      </c>
    </row>
    <row r="1780" spans="1:11" x14ac:dyDescent="0.25">
      <c r="A1780" t="s">
        <v>885</v>
      </c>
      <c r="B1780" t="s">
        <v>886</v>
      </c>
      <c r="C1780" s="1">
        <v>41503</v>
      </c>
      <c r="D1780" s="1">
        <v>41508</v>
      </c>
      <c r="E1780">
        <v>4</v>
      </c>
      <c r="F1780" t="s">
        <v>887</v>
      </c>
      <c r="G1780" t="s">
        <v>16</v>
      </c>
      <c r="H1780" t="s">
        <v>5414</v>
      </c>
      <c r="I1780">
        <v>2.3559000000000001</v>
      </c>
      <c r="J1780">
        <v>58696.639999999999</v>
      </c>
      <c r="K1780">
        <v>24914.741712296785</v>
      </c>
    </row>
    <row r="1781" spans="1:11" x14ac:dyDescent="0.25">
      <c r="A1781" t="s">
        <v>1510</v>
      </c>
      <c r="B1781" t="s">
        <v>1511</v>
      </c>
      <c r="C1781" s="1">
        <v>41499</v>
      </c>
      <c r="D1781" s="1">
        <v>41515</v>
      </c>
      <c r="E1781">
        <v>283</v>
      </c>
      <c r="F1781" t="s">
        <v>311</v>
      </c>
      <c r="G1781" t="s">
        <v>16</v>
      </c>
      <c r="H1781" t="s">
        <v>1988</v>
      </c>
      <c r="I1781">
        <v>2.2722000000000002</v>
      </c>
      <c r="J1781">
        <v>150757.69</v>
      </c>
      <c r="K1781">
        <v>66348.776516151745</v>
      </c>
    </row>
    <row r="1782" spans="1:11" x14ac:dyDescent="0.25">
      <c r="A1782" t="s">
        <v>885</v>
      </c>
      <c r="B1782" t="s">
        <v>886</v>
      </c>
      <c r="C1782" s="1">
        <v>41506</v>
      </c>
      <c r="D1782" s="1">
        <v>41510</v>
      </c>
      <c r="E1782">
        <v>4</v>
      </c>
      <c r="F1782" t="s">
        <v>887</v>
      </c>
      <c r="G1782" t="s">
        <v>16</v>
      </c>
      <c r="H1782" t="s">
        <v>1989</v>
      </c>
      <c r="I1782">
        <v>2.3980000000000001</v>
      </c>
      <c r="J1782">
        <v>59017.13</v>
      </c>
      <c r="K1782">
        <v>24610.979983319434</v>
      </c>
    </row>
    <row r="1783" spans="1:11" x14ac:dyDescent="0.25">
      <c r="A1783" t="s">
        <v>1513</v>
      </c>
      <c r="B1783" t="s">
        <v>1514</v>
      </c>
      <c r="C1783" s="1">
        <v>41478</v>
      </c>
      <c r="D1783" s="1">
        <v>41487</v>
      </c>
      <c r="E1783">
        <v>227</v>
      </c>
      <c r="F1783" t="s">
        <v>311</v>
      </c>
      <c r="G1783" t="s">
        <v>16</v>
      </c>
      <c r="H1783" t="s">
        <v>1990</v>
      </c>
      <c r="I1783">
        <v>2.2385999999999999</v>
      </c>
      <c r="J1783">
        <v>537433.31999999995</v>
      </c>
      <c r="K1783">
        <v>240075.63655856339</v>
      </c>
    </row>
    <row r="1784" spans="1:11" x14ac:dyDescent="0.25">
      <c r="A1784" t="s">
        <v>1991</v>
      </c>
      <c r="B1784" t="s">
        <v>1992</v>
      </c>
      <c r="C1784" s="1">
        <v>41527</v>
      </c>
      <c r="D1784" s="1">
        <v>41543</v>
      </c>
      <c r="E1784">
        <v>2</v>
      </c>
      <c r="F1784" t="s">
        <v>887</v>
      </c>
      <c r="G1784" t="s">
        <v>16</v>
      </c>
      <c r="H1784" t="s">
        <v>1993</v>
      </c>
      <c r="I1784">
        <v>2.2867999999999999</v>
      </c>
      <c r="J1784">
        <v>53296.51</v>
      </c>
      <c r="K1784">
        <v>23306.15270246633</v>
      </c>
    </row>
    <row r="1785" spans="1:11" x14ac:dyDescent="0.25">
      <c r="A1785" t="s">
        <v>1994</v>
      </c>
      <c r="B1785" t="s">
        <v>1995</v>
      </c>
      <c r="C1785" s="1">
        <v>41523</v>
      </c>
      <c r="D1785" s="1">
        <v>41543</v>
      </c>
      <c r="E1785">
        <v>3</v>
      </c>
      <c r="F1785" t="s">
        <v>887</v>
      </c>
      <c r="G1785" t="s">
        <v>16</v>
      </c>
      <c r="H1785" t="s">
        <v>1996</v>
      </c>
      <c r="I1785">
        <v>2.3313999999999999</v>
      </c>
      <c r="J1785">
        <v>61160.43</v>
      </c>
      <c r="K1785">
        <v>26233.349060650253</v>
      </c>
    </row>
    <row r="1786" spans="1:11" x14ac:dyDescent="0.25">
      <c r="A1786" t="s">
        <v>1997</v>
      </c>
      <c r="B1786" t="s">
        <v>1998</v>
      </c>
      <c r="C1786" s="1">
        <v>41522</v>
      </c>
      <c r="D1786" s="1">
        <v>41543</v>
      </c>
      <c r="E1786">
        <v>21</v>
      </c>
      <c r="F1786" t="s">
        <v>311</v>
      </c>
      <c r="G1786" t="s">
        <v>16</v>
      </c>
      <c r="H1786" t="s">
        <v>1999</v>
      </c>
      <c r="I1786">
        <v>2.3538000000000001</v>
      </c>
      <c r="J1786">
        <v>3953.38</v>
      </c>
      <c r="K1786">
        <v>1679.5734556886737</v>
      </c>
    </row>
    <row r="1787" spans="1:11" x14ac:dyDescent="0.25">
      <c r="A1787" t="s">
        <v>5034</v>
      </c>
      <c r="B1787" t="s">
        <v>5035</v>
      </c>
      <c r="C1787" s="1">
        <v>41527</v>
      </c>
      <c r="D1787" s="1">
        <v>41534</v>
      </c>
      <c r="E1787">
        <v>18160</v>
      </c>
      <c r="F1787" t="s">
        <v>642</v>
      </c>
      <c r="G1787" t="s">
        <v>16</v>
      </c>
      <c r="H1787" t="s">
        <v>5415</v>
      </c>
      <c r="I1787">
        <v>2.2867999999999999</v>
      </c>
      <c r="J1787">
        <v>227688</v>
      </c>
      <c r="K1787">
        <v>99566.206052125242</v>
      </c>
    </row>
    <row r="1788" spans="1:11" x14ac:dyDescent="0.25">
      <c r="A1788" t="s">
        <v>896</v>
      </c>
      <c r="B1788" t="s">
        <v>897</v>
      </c>
      <c r="C1788" s="1">
        <v>41527</v>
      </c>
      <c r="D1788" s="1">
        <v>41531</v>
      </c>
      <c r="E1788">
        <v>296</v>
      </c>
      <c r="F1788" t="s">
        <v>887</v>
      </c>
      <c r="G1788" t="s">
        <v>16</v>
      </c>
      <c r="H1788" t="s">
        <v>5416</v>
      </c>
      <c r="I1788">
        <v>2.2867999999999999</v>
      </c>
      <c r="J1788">
        <v>49340.68</v>
      </c>
      <c r="K1788">
        <v>21576.298758089906</v>
      </c>
    </row>
    <row r="1789" spans="1:11" x14ac:dyDescent="0.25">
      <c r="A1789" t="s">
        <v>885</v>
      </c>
      <c r="B1789" t="s">
        <v>886</v>
      </c>
      <c r="C1789" s="1">
        <v>41522</v>
      </c>
      <c r="D1789" s="1">
        <v>41528</v>
      </c>
      <c r="E1789">
        <v>4</v>
      </c>
      <c r="F1789" t="s">
        <v>887</v>
      </c>
      <c r="G1789" t="s">
        <v>16</v>
      </c>
      <c r="H1789" t="s">
        <v>5417</v>
      </c>
      <c r="I1789">
        <v>2.3538000000000001</v>
      </c>
      <c r="J1789">
        <v>59923.88</v>
      </c>
      <c r="K1789">
        <v>25458.356699804572</v>
      </c>
    </row>
    <row r="1790" spans="1:11" x14ac:dyDescent="0.25">
      <c r="A1790" t="s">
        <v>885</v>
      </c>
      <c r="B1790" t="s">
        <v>886</v>
      </c>
      <c r="C1790" s="1">
        <v>41522</v>
      </c>
      <c r="D1790" s="1">
        <v>41529</v>
      </c>
      <c r="E1790">
        <v>4</v>
      </c>
      <c r="F1790" t="s">
        <v>887</v>
      </c>
      <c r="G1790" t="s">
        <v>16</v>
      </c>
      <c r="H1790" t="s">
        <v>2000</v>
      </c>
      <c r="I1790">
        <v>2.3538000000000001</v>
      </c>
      <c r="J1790">
        <v>59154.39</v>
      </c>
      <c r="K1790">
        <v>25131.442773387713</v>
      </c>
    </row>
    <row r="1791" spans="1:11" x14ac:dyDescent="0.25">
      <c r="A1791" t="s">
        <v>885</v>
      </c>
      <c r="B1791" t="s">
        <v>886</v>
      </c>
      <c r="C1791" s="1">
        <v>41523</v>
      </c>
      <c r="D1791" s="1">
        <v>41529</v>
      </c>
      <c r="E1791">
        <v>4</v>
      </c>
      <c r="F1791" t="s">
        <v>887</v>
      </c>
      <c r="G1791" t="s">
        <v>16</v>
      </c>
      <c r="H1791" t="s">
        <v>5418</v>
      </c>
      <c r="I1791">
        <v>2.3313999999999999</v>
      </c>
      <c r="J1791">
        <v>60180.37</v>
      </c>
      <c r="K1791">
        <v>25812.975036458782</v>
      </c>
    </row>
    <row r="1792" spans="1:11" x14ac:dyDescent="0.25">
      <c r="A1792" t="s">
        <v>885</v>
      </c>
      <c r="B1792" t="s">
        <v>886</v>
      </c>
      <c r="C1792" s="1">
        <v>41523</v>
      </c>
      <c r="D1792" s="1">
        <v>41529</v>
      </c>
      <c r="E1792">
        <v>4</v>
      </c>
      <c r="F1792" t="s">
        <v>887</v>
      </c>
      <c r="G1792" t="s">
        <v>16</v>
      </c>
      <c r="H1792" t="s">
        <v>2001</v>
      </c>
      <c r="I1792">
        <v>2.3313999999999999</v>
      </c>
      <c r="J1792">
        <v>60853.68</v>
      </c>
      <c r="K1792">
        <v>26101.775757055846</v>
      </c>
    </row>
    <row r="1793" spans="1:11" x14ac:dyDescent="0.25">
      <c r="A1793" t="s">
        <v>904</v>
      </c>
      <c r="B1793" t="s">
        <v>905</v>
      </c>
      <c r="C1793" s="1">
        <v>41522</v>
      </c>
      <c r="D1793" s="1">
        <v>41533</v>
      </c>
      <c r="E1793">
        <v>16316</v>
      </c>
      <c r="F1793" t="s">
        <v>887</v>
      </c>
      <c r="G1793" t="s">
        <v>16</v>
      </c>
      <c r="H1793" t="s">
        <v>2002</v>
      </c>
      <c r="I1793">
        <v>2.3538000000000001</v>
      </c>
      <c r="J1793">
        <v>61475.4</v>
      </c>
      <c r="K1793">
        <v>26117.512108080551</v>
      </c>
    </row>
    <row r="1794" spans="1:11" x14ac:dyDescent="0.25">
      <c r="A1794" t="s">
        <v>3794</v>
      </c>
      <c r="B1794" t="s">
        <v>3795</v>
      </c>
      <c r="C1794" s="1">
        <v>41522</v>
      </c>
      <c r="D1794" s="1">
        <v>41533</v>
      </c>
      <c r="E1794">
        <v>17415</v>
      </c>
      <c r="F1794" t="s">
        <v>311</v>
      </c>
      <c r="G1794" t="s">
        <v>16</v>
      </c>
      <c r="H1794" t="s">
        <v>5419</v>
      </c>
      <c r="I1794">
        <v>2.3538000000000001</v>
      </c>
      <c r="J1794">
        <v>35015.620000000003</v>
      </c>
      <c r="K1794">
        <v>14876.208683830402</v>
      </c>
    </row>
    <row r="1795" spans="1:11" x14ac:dyDescent="0.25">
      <c r="A1795" t="s">
        <v>901</v>
      </c>
      <c r="B1795" t="s">
        <v>902</v>
      </c>
      <c r="C1795" s="1">
        <v>41516</v>
      </c>
      <c r="D1795" s="1">
        <v>41522</v>
      </c>
      <c r="E1795">
        <v>16315</v>
      </c>
      <c r="F1795" t="s">
        <v>887</v>
      </c>
      <c r="G1795" t="s">
        <v>16</v>
      </c>
      <c r="H1795" t="s">
        <v>5420</v>
      </c>
      <c r="I1795">
        <v>2.3578000000000001</v>
      </c>
      <c r="J1795">
        <v>69008.429999999993</v>
      </c>
      <c r="K1795">
        <v>29268.144032572738</v>
      </c>
    </row>
    <row r="1796" spans="1:11" x14ac:dyDescent="0.25">
      <c r="A1796" t="s">
        <v>1521</v>
      </c>
      <c r="B1796" t="s">
        <v>1522</v>
      </c>
      <c r="C1796" s="1">
        <v>41538</v>
      </c>
      <c r="D1796" s="1">
        <v>41542</v>
      </c>
      <c r="E1796">
        <v>435</v>
      </c>
      <c r="F1796" t="s">
        <v>303</v>
      </c>
      <c r="G1796" t="s">
        <v>16</v>
      </c>
      <c r="H1796" t="s">
        <v>584</v>
      </c>
      <c r="I1796">
        <v>2.2052999999999998</v>
      </c>
      <c r="J1796">
        <v>297239.15999999997</v>
      </c>
      <c r="K1796">
        <v>134784.00217657461</v>
      </c>
    </row>
    <row r="1797" spans="1:11" x14ac:dyDescent="0.25">
      <c r="A1797" t="s">
        <v>896</v>
      </c>
      <c r="B1797" t="s">
        <v>897</v>
      </c>
      <c r="C1797" s="1">
        <v>41527</v>
      </c>
      <c r="D1797" s="1">
        <v>41530</v>
      </c>
      <c r="E1797">
        <v>296</v>
      </c>
      <c r="F1797" t="s">
        <v>887</v>
      </c>
      <c r="G1797" t="s">
        <v>16</v>
      </c>
      <c r="H1797" t="s">
        <v>5421</v>
      </c>
      <c r="I1797">
        <v>2.2867999999999999</v>
      </c>
      <c r="J1797">
        <v>50676.4</v>
      </c>
      <c r="K1797">
        <v>22160.398810564981</v>
      </c>
    </row>
    <row r="1798" spans="1:11" x14ac:dyDescent="0.25">
      <c r="A1798" t="s">
        <v>907</v>
      </c>
      <c r="B1798" t="s">
        <v>908</v>
      </c>
      <c r="C1798" s="1">
        <v>41530</v>
      </c>
      <c r="D1798" s="1">
        <v>41534</v>
      </c>
      <c r="E1798">
        <v>1</v>
      </c>
      <c r="F1798" t="s">
        <v>887</v>
      </c>
      <c r="G1798" t="s">
        <v>16</v>
      </c>
      <c r="H1798" t="s">
        <v>5422</v>
      </c>
      <c r="I1798">
        <v>2.2768999999999999</v>
      </c>
      <c r="J1798">
        <v>62008.5</v>
      </c>
      <c r="K1798">
        <v>27233.738855461372</v>
      </c>
    </row>
    <row r="1799" spans="1:11" x14ac:dyDescent="0.25">
      <c r="A1799" t="s">
        <v>896</v>
      </c>
      <c r="B1799" t="s">
        <v>897</v>
      </c>
      <c r="C1799" s="1">
        <v>41527</v>
      </c>
      <c r="D1799" s="1">
        <v>41533</v>
      </c>
      <c r="E1799">
        <v>296</v>
      </c>
      <c r="F1799" t="s">
        <v>887</v>
      </c>
      <c r="G1799" t="s">
        <v>16</v>
      </c>
      <c r="H1799" t="s">
        <v>2003</v>
      </c>
      <c r="I1799">
        <v>2.2867999999999999</v>
      </c>
      <c r="J1799">
        <v>67298.69</v>
      </c>
      <c r="K1799">
        <v>29429.198005947175</v>
      </c>
    </row>
    <row r="1800" spans="1:11" x14ac:dyDescent="0.25">
      <c r="A1800" t="s">
        <v>896</v>
      </c>
      <c r="B1800" t="s">
        <v>897</v>
      </c>
      <c r="C1800" s="1">
        <v>41540</v>
      </c>
      <c r="D1800" s="1">
        <v>41545</v>
      </c>
      <c r="E1800">
        <v>296</v>
      </c>
      <c r="F1800" t="s">
        <v>887</v>
      </c>
      <c r="G1800" t="s">
        <v>16</v>
      </c>
      <c r="H1800" t="s">
        <v>5423</v>
      </c>
      <c r="I1800">
        <v>2.2052999999999998</v>
      </c>
      <c r="J1800">
        <v>48753.23</v>
      </c>
      <c r="K1800">
        <v>22107.300594023487</v>
      </c>
    </row>
    <row r="1801" spans="1:11" x14ac:dyDescent="0.25">
      <c r="A1801" t="s">
        <v>1528</v>
      </c>
      <c r="B1801" t="s">
        <v>544</v>
      </c>
      <c r="C1801" s="1">
        <v>41529</v>
      </c>
      <c r="D1801" s="1">
        <v>41535</v>
      </c>
      <c r="E1801">
        <v>6</v>
      </c>
      <c r="F1801" t="s">
        <v>642</v>
      </c>
      <c r="G1801" t="s">
        <v>16</v>
      </c>
      <c r="H1801" t="s">
        <v>5424</v>
      </c>
      <c r="I1801">
        <v>2.2947000000000002</v>
      </c>
      <c r="J1801">
        <v>33572.720000000001</v>
      </c>
      <c r="K1801">
        <v>14630.548655597682</v>
      </c>
    </row>
    <row r="1802" spans="1:11" x14ac:dyDescent="0.25">
      <c r="A1802" t="s">
        <v>885</v>
      </c>
      <c r="B1802" t="s">
        <v>886</v>
      </c>
      <c r="C1802" s="1">
        <v>41527</v>
      </c>
      <c r="D1802" s="1">
        <v>41535</v>
      </c>
      <c r="E1802">
        <v>4</v>
      </c>
      <c r="F1802" t="s">
        <v>887</v>
      </c>
      <c r="G1802" t="s">
        <v>16</v>
      </c>
      <c r="H1802" t="s">
        <v>5425</v>
      </c>
      <c r="I1802">
        <v>2.2867999999999999</v>
      </c>
      <c r="J1802">
        <v>59378.82</v>
      </c>
      <c r="K1802">
        <v>25965.899947524926</v>
      </c>
    </row>
    <row r="1803" spans="1:11" x14ac:dyDescent="0.25">
      <c r="A1803" t="s">
        <v>2004</v>
      </c>
      <c r="B1803" t="s">
        <v>2005</v>
      </c>
      <c r="C1803" s="1">
        <v>41528</v>
      </c>
      <c r="D1803" s="1">
        <v>41535</v>
      </c>
      <c r="E1803">
        <v>304</v>
      </c>
      <c r="F1803" t="s">
        <v>642</v>
      </c>
      <c r="G1803" t="s">
        <v>16</v>
      </c>
      <c r="H1803" t="s">
        <v>2006</v>
      </c>
      <c r="I1803">
        <v>2.2778999999999998</v>
      </c>
      <c r="J1803">
        <v>710367.12</v>
      </c>
      <c r="K1803">
        <v>311851.7581983406</v>
      </c>
    </row>
    <row r="1804" spans="1:11" x14ac:dyDescent="0.25">
      <c r="A1804" t="s">
        <v>5426</v>
      </c>
      <c r="B1804" t="s">
        <v>5427</v>
      </c>
      <c r="C1804" s="1">
        <v>41539</v>
      </c>
      <c r="D1804" s="1">
        <v>41547</v>
      </c>
      <c r="E1804">
        <v>381</v>
      </c>
      <c r="F1804" t="s">
        <v>2481</v>
      </c>
      <c r="G1804" t="s">
        <v>16</v>
      </c>
      <c r="H1804" t="s">
        <v>5428</v>
      </c>
      <c r="I1804">
        <v>2.2052999999999998</v>
      </c>
      <c r="J1804">
        <v>115253</v>
      </c>
      <c r="K1804">
        <v>52261.823788146736</v>
      </c>
    </row>
    <row r="1805" spans="1:11" x14ac:dyDescent="0.25">
      <c r="A1805" t="s">
        <v>896</v>
      </c>
      <c r="B1805" t="s">
        <v>897</v>
      </c>
      <c r="C1805" s="1">
        <v>41540</v>
      </c>
      <c r="D1805" s="1">
        <v>41545</v>
      </c>
      <c r="E1805">
        <v>296</v>
      </c>
      <c r="F1805" t="s">
        <v>887</v>
      </c>
      <c r="G1805" t="s">
        <v>16</v>
      </c>
      <c r="H1805" t="s">
        <v>2007</v>
      </c>
      <c r="I1805">
        <v>2.2052999999999998</v>
      </c>
      <c r="J1805">
        <v>48922.38</v>
      </c>
      <c r="K1805">
        <v>22184.002176574617</v>
      </c>
    </row>
    <row r="1806" spans="1:11" x14ac:dyDescent="0.25">
      <c r="A1806" t="s">
        <v>885</v>
      </c>
      <c r="B1806" t="s">
        <v>886</v>
      </c>
      <c r="C1806" s="1">
        <v>41527</v>
      </c>
      <c r="D1806" s="1">
        <v>41534</v>
      </c>
      <c r="E1806">
        <v>4</v>
      </c>
      <c r="F1806" t="s">
        <v>887</v>
      </c>
      <c r="G1806" t="s">
        <v>16</v>
      </c>
      <c r="H1806" t="s">
        <v>5429</v>
      </c>
      <c r="I1806">
        <v>2.2867999999999999</v>
      </c>
      <c r="J1806">
        <v>60164.34</v>
      </c>
      <c r="K1806">
        <v>26309.401784152527</v>
      </c>
    </row>
    <row r="1807" spans="1:11" x14ac:dyDescent="0.25">
      <c r="A1807" t="s">
        <v>885</v>
      </c>
      <c r="B1807" t="s">
        <v>886</v>
      </c>
      <c r="C1807" s="1">
        <v>41528</v>
      </c>
      <c r="D1807" s="1">
        <v>41534</v>
      </c>
      <c r="E1807">
        <v>4</v>
      </c>
      <c r="F1807" t="s">
        <v>887</v>
      </c>
      <c r="G1807" t="s">
        <v>16</v>
      </c>
      <c r="H1807" t="s">
        <v>5430</v>
      </c>
      <c r="I1807">
        <v>2.2778999999999998</v>
      </c>
      <c r="J1807">
        <v>80684.02</v>
      </c>
      <c r="K1807">
        <v>35420.352078668948</v>
      </c>
    </row>
    <row r="1808" spans="1:11" x14ac:dyDescent="0.25">
      <c r="A1808" t="s">
        <v>896</v>
      </c>
      <c r="B1808" t="s">
        <v>897</v>
      </c>
      <c r="C1808" s="1">
        <v>41528</v>
      </c>
      <c r="D1808" s="1">
        <v>41533</v>
      </c>
      <c r="E1808">
        <v>296</v>
      </c>
      <c r="F1808" t="s">
        <v>887</v>
      </c>
      <c r="G1808" t="s">
        <v>16</v>
      </c>
      <c r="H1808" t="s">
        <v>2008</v>
      </c>
      <c r="I1808">
        <v>2.2778999999999998</v>
      </c>
      <c r="J1808">
        <v>49753.440000000002</v>
      </c>
      <c r="K1808">
        <v>21841.801659423152</v>
      </c>
    </row>
    <row r="1809" spans="1:11" x14ac:dyDescent="0.25">
      <c r="A1809" t="s">
        <v>896</v>
      </c>
      <c r="B1809" t="s">
        <v>897</v>
      </c>
      <c r="C1809" s="1">
        <v>41557</v>
      </c>
      <c r="D1809" s="1">
        <v>41562</v>
      </c>
      <c r="E1809">
        <v>296</v>
      </c>
      <c r="F1809" t="s">
        <v>887</v>
      </c>
      <c r="G1809" t="s">
        <v>16</v>
      </c>
      <c r="H1809" t="s">
        <v>2009</v>
      </c>
      <c r="I1809">
        <v>2.2054</v>
      </c>
      <c r="J1809">
        <v>26023.72</v>
      </c>
      <c r="K1809">
        <v>11800</v>
      </c>
    </row>
    <row r="1810" spans="1:11" x14ac:dyDescent="0.25">
      <c r="A1810" t="s">
        <v>1558</v>
      </c>
      <c r="B1810" t="s">
        <v>1559</v>
      </c>
      <c r="C1810" s="1">
        <v>41546</v>
      </c>
      <c r="D1810" s="1">
        <v>41562</v>
      </c>
      <c r="E1810">
        <v>2</v>
      </c>
      <c r="F1810" t="s">
        <v>887</v>
      </c>
      <c r="G1810" t="s">
        <v>16</v>
      </c>
      <c r="H1810" t="s">
        <v>5431</v>
      </c>
      <c r="I1810">
        <v>2.2570999999999999</v>
      </c>
      <c r="J1810">
        <v>74767.179999999993</v>
      </c>
      <c r="K1810">
        <v>33125.328961942316</v>
      </c>
    </row>
    <row r="1811" spans="1:11" x14ac:dyDescent="0.25">
      <c r="A1811" t="s">
        <v>896</v>
      </c>
      <c r="B1811" t="s">
        <v>897</v>
      </c>
      <c r="C1811" s="1">
        <v>41543</v>
      </c>
      <c r="D1811" s="1">
        <v>41555</v>
      </c>
      <c r="E1811">
        <v>296</v>
      </c>
      <c r="F1811" t="s">
        <v>887</v>
      </c>
      <c r="G1811" t="s">
        <v>16</v>
      </c>
      <c r="H1811" t="s">
        <v>2010</v>
      </c>
      <c r="I1811">
        <v>2.2223999999999999</v>
      </c>
      <c r="J1811">
        <v>49354.17</v>
      </c>
      <c r="K1811">
        <v>22207.599892008639</v>
      </c>
    </row>
    <row r="1812" spans="1:11" x14ac:dyDescent="0.25">
      <c r="A1812" t="s">
        <v>921</v>
      </c>
      <c r="B1812" t="s">
        <v>922</v>
      </c>
      <c r="C1812" s="1">
        <v>41546</v>
      </c>
      <c r="D1812" s="1">
        <v>41550</v>
      </c>
      <c r="E1812">
        <v>18399</v>
      </c>
      <c r="F1812" t="s">
        <v>887</v>
      </c>
      <c r="G1812" t="s">
        <v>16</v>
      </c>
      <c r="H1812" t="s">
        <v>5432</v>
      </c>
      <c r="I1812">
        <v>2.2570999999999999</v>
      </c>
      <c r="J1812">
        <v>73733.53</v>
      </c>
      <c r="K1812">
        <v>32667.374064064508</v>
      </c>
    </row>
    <row r="1813" spans="1:11" x14ac:dyDescent="0.25">
      <c r="A1813" t="s">
        <v>907</v>
      </c>
      <c r="B1813" t="s">
        <v>908</v>
      </c>
      <c r="C1813" s="1">
        <v>41556</v>
      </c>
      <c r="D1813" s="1">
        <v>41564</v>
      </c>
      <c r="E1813">
        <v>1</v>
      </c>
      <c r="F1813" t="s">
        <v>887</v>
      </c>
      <c r="G1813" t="s">
        <v>16</v>
      </c>
      <c r="H1813" t="s">
        <v>5433</v>
      </c>
      <c r="I1813">
        <v>2.2016</v>
      </c>
      <c r="J1813">
        <v>47896.66</v>
      </c>
      <c r="K1813">
        <v>21755.386991279069</v>
      </c>
    </row>
    <row r="1814" spans="1:11" x14ac:dyDescent="0.25">
      <c r="A1814" t="s">
        <v>5434</v>
      </c>
      <c r="B1814" t="s">
        <v>586</v>
      </c>
      <c r="C1814" s="1">
        <v>41551</v>
      </c>
      <c r="D1814" s="1">
        <v>41561</v>
      </c>
      <c r="E1814">
        <v>299</v>
      </c>
      <c r="F1814" t="s">
        <v>5435</v>
      </c>
      <c r="G1814" t="s">
        <v>16</v>
      </c>
      <c r="H1814" t="s">
        <v>5436</v>
      </c>
      <c r="I1814">
        <v>2.2069000000000001</v>
      </c>
      <c r="J1814">
        <v>224443.69</v>
      </c>
      <c r="K1814">
        <v>101700.88812361231</v>
      </c>
    </row>
    <row r="1815" spans="1:11" x14ac:dyDescent="0.25">
      <c r="A1815" t="s">
        <v>885</v>
      </c>
      <c r="B1815" t="s">
        <v>886</v>
      </c>
      <c r="C1815" s="1">
        <v>41550</v>
      </c>
      <c r="D1815" s="1">
        <v>41561</v>
      </c>
      <c r="E1815">
        <v>4</v>
      </c>
      <c r="F1815" t="s">
        <v>887</v>
      </c>
      <c r="G1815" t="s">
        <v>16</v>
      </c>
      <c r="H1815" t="s">
        <v>2011</v>
      </c>
      <c r="I1815">
        <v>2.2088000000000001</v>
      </c>
      <c r="J1815">
        <v>56536.03</v>
      </c>
      <c r="K1815">
        <v>25595.812205722563</v>
      </c>
    </row>
    <row r="1816" spans="1:11" x14ac:dyDescent="0.25">
      <c r="A1816" t="s">
        <v>2014</v>
      </c>
      <c r="B1816" t="s">
        <v>2015</v>
      </c>
      <c r="C1816" s="1">
        <v>41548</v>
      </c>
      <c r="D1816" s="1">
        <v>41557</v>
      </c>
      <c r="E1816">
        <v>6</v>
      </c>
      <c r="F1816" t="s">
        <v>887</v>
      </c>
      <c r="G1816" t="s">
        <v>16</v>
      </c>
      <c r="H1816" t="s">
        <v>5437</v>
      </c>
      <c r="I1816">
        <v>2.23</v>
      </c>
      <c r="J1816">
        <v>53929.440000000002</v>
      </c>
      <c r="K1816">
        <v>24183.605381165919</v>
      </c>
    </row>
    <row r="1817" spans="1:11" x14ac:dyDescent="0.25">
      <c r="A1817" t="s">
        <v>907</v>
      </c>
      <c r="B1817" t="s">
        <v>908</v>
      </c>
      <c r="C1817" s="1">
        <v>41535</v>
      </c>
      <c r="D1817" s="1">
        <v>41540</v>
      </c>
      <c r="E1817">
        <v>1</v>
      </c>
      <c r="F1817" t="s">
        <v>887</v>
      </c>
      <c r="G1817" t="s">
        <v>16</v>
      </c>
      <c r="H1817" t="s">
        <v>2012</v>
      </c>
      <c r="I1817">
        <v>2.2616999999999998</v>
      </c>
      <c r="J1817">
        <v>49493.01</v>
      </c>
      <c r="K1817">
        <v>21883.101207056639</v>
      </c>
    </row>
    <row r="1818" spans="1:11" x14ac:dyDescent="0.25">
      <c r="A1818" t="s">
        <v>907</v>
      </c>
      <c r="B1818" t="s">
        <v>908</v>
      </c>
      <c r="C1818" s="1">
        <v>41531</v>
      </c>
      <c r="D1818" s="1">
        <v>41541</v>
      </c>
      <c r="E1818">
        <v>1</v>
      </c>
      <c r="F1818" t="s">
        <v>887</v>
      </c>
      <c r="G1818" t="s">
        <v>16</v>
      </c>
      <c r="H1818" t="s">
        <v>5438</v>
      </c>
      <c r="I1818">
        <v>2.2785000000000002</v>
      </c>
      <c r="J1818">
        <v>82844.28</v>
      </c>
      <c r="K1818">
        <v>36359.131007241609</v>
      </c>
    </row>
    <row r="1819" spans="1:11" x14ac:dyDescent="0.25">
      <c r="A1819" t="s">
        <v>885</v>
      </c>
      <c r="B1819" t="s">
        <v>886</v>
      </c>
      <c r="C1819" s="1">
        <v>41544</v>
      </c>
      <c r="D1819" s="1">
        <v>41551</v>
      </c>
      <c r="E1819">
        <v>4</v>
      </c>
      <c r="F1819" t="s">
        <v>887</v>
      </c>
      <c r="G1819" t="s">
        <v>16</v>
      </c>
      <c r="H1819" t="s">
        <v>5439</v>
      </c>
      <c r="I1819">
        <v>2.2284999999999999</v>
      </c>
      <c r="J1819">
        <v>75411.33</v>
      </c>
      <c r="K1819">
        <v>33839.501907112404</v>
      </c>
    </row>
    <row r="1820" spans="1:11" x14ac:dyDescent="0.25">
      <c r="A1820" t="s">
        <v>885</v>
      </c>
      <c r="B1820" t="s">
        <v>886</v>
      </c>
      <c r="C1820" s="1">
        <v>41544</v>
      </c>
      <c r="D1820" s="1">
        <v>41551</v>
      </c>
      <c r="E1820">
        <v>4</v>
      </c>
      <c r="F1820" t="s">
        <v>887</v>
      </c>
      <c r="G1820" t="s">
        <v>16</v>
      </c>
      <c r="H1820" t="s">
        <v>2013</v>
      </c>
      <c r="I1820">
        <v>2.2284999999999999</v>
      </c>
      <c r="J1820">
        <v>73733.53</v>
      </c>
      <c r="K1820">
        <v>33086.618801884673</v>
      </c>
    </row>
    <row r="1821" spans="1:11" x14ac:dyDescent="0.25">
      <c r="A1821" t="s">
        <v>896</v>
      </c>
      <c r="B1821" t="s">
        <v>897</v>
      </c>
      <c r="C1821" s="1">
        <v>41545</v>
      </c>
      <c r="D1821" s="1">
        <v>41552</v>
      </c>
      <c r="E1821">
        <v>296</v>
      </c>
      <c r="F1821" t="s">
        <v>887</v>
      </c>
      <c r="G1821" t="s">
        <v>16</v>
      </c>
      <c r="H1821" t="s">
        <v>5440</v>
      </c>
      <c r="I1821">
        <v>2.2570999999999999</v>
      </c>
      <c r="J1821">
        <v>58239.07</v>
      </c>
      <c r="K1821">
        <v>25802.609543219176</v>
      </c>
    </row>
    <row r="1822" spans="1:11" x14ac:dyDescent="0.25">
      <c r="A1822" t="s">
        <v>896</v>
      </c>
      <c r="B1822" t="s">
        <v>897</v>
      </c>
      <c r="C1822" s="1">
        <v>41544</v>
      </c>
      <c r="D1822" s="1">
        <v>41552</v>
      </c>
      <c r="E1822">
        <v>296</v>
      </c>
      <c r="F1822" t="s">
        <v>887</v>
      </c>
      <c r="G1822" t="s">
        <v>16</v>
      </c>
      <c r="H1822" t="s">
        <v>5441</v>
      </c>
      <c r="I1822">
        <v>2.2284999999999999</v>
      </c>
      <c r="J1822">
        <v>58626.09</v>
      </c>
      <c r="K1822">
        <v>26307.422032757459</v>
      </c>
    </row>
    <row r="1823" spans="1:11" x14ac:dyDescent="0.25">
      <c r="A1823" t="s">
        <v>1521</v>
      </c>
      <c r="B1823" t="s">
        <v>1522</v>
      </c>
      <c r="C1823" s="1">
        <v>41535</v>
      </c>
      <c r="D1823" s="1">
        <v>41540</v>
      </c>
      <c r="E1823">
        <v>435</v>
      </c>
      <c r="F1823" t="s">
        <v>303</v>
      </c>
      <c r="G1823" t="s">
        <v>16</v>
      </c>
      <c r="H1823" t="s">
        <v>5442</v>
      </c>
      <c r="I1823">
        <v>2.2616999999999998</v>
      </c>
      <c r="J1823">
        <v>374609.89</v>
      </c>
      <c r="K1823">
        <v>165631.99805456074</v>
      </c>
    </row>
    <row r="1824" spans="1:11" x14ac:dyDescent="0.25">
      <c r="A1824" t="s">
        <v>1544</v>
      </c>
      <c r="B1824" t="s">
        <v>1545</v>
      </c>
      <c r="C1824" s="1">
        <v>41576</v>
      </c>
      <c r="D1824" s="1">
        <v>41584</v>
      </c>
      <c r="E1824">
        <v>18825</v>
      </c>
      <c r="F1824" t="s">
        <v>301</v>
      </c>
      <c r="G1824" t="s">
        <v>16</v>
      </c>
      <c r="H1824" t="s">
        <v>5443</v>
      </c>
      <c r="I1824">
        <v>2.1846000000000001</v>
      </c>
      <c r="J1824">
        <v>61920</v>
      </c>
      <c r="K1824">
        <v>28343.861576489977</v>
      </c>
    </row>
    <row r="1825" spans="1:11" x14ac:dyDescent="0.25">
      <c r="A1825" t="s">
        <v>1544</v>
      </c>
      <c r="B1825" t="s">
        <v>1545</v>
      </c>
      <c r="C1825" s="1">
        <v>41576</v>
      </c>
      <c r="D1825" s="1">
        <v>41584</v>
      </c>
      <c r="E1825">
        <v>18825</v>
      </c>
      <c r="F1825" t="s">
        <v>301</v>
      </c>
      <c r="G1825" t="s">
        <v>16</v>
      </c>
      <c r="H1825" t="s">
        <v>2359</v>
      </c>
      <c r="I1825">
        <v>2.1846000000000001</v>
      </c>
      <c r="J1825">
        <v>61920</v>
      </c>
      <c r="K1825">
        <v>28343.861576489977</v>
      </c>
    </row>
    <row r="1826" spans="1:11" x14ac:dyDescent="0.25">
      <c r="A1826" t="s">
        <v>1544</v>
      </c>
      <c r="B1826" t="s">
        <v>1545</v>
      </c>
      <c r="C1826" s="1">
        <v>41576</v>
      </c>
      <c r="D1826" s="1">
        <v>41584</v>
      </c>
      <c r="E1826">
        <v>18825</v>
      </c>
      <c r="F1826" t="s">
        <v>301</v>
      </c>
      <c r="G1826" t="s">
        <v>16</v>
      </c>
      <c r="H1826" t="s">
        <v>5444</v>
      </c>
      <c r="I1826">
        <v>2.1846000000000001</v>
      </c>
      <c r="J1826">
        <v>61920</v>
      </c>
      <c r="K1826">
        <v>28343.861576489977</v>
      </c>
    </row>
    <row r="1827" spans="1:11" x14ac:dyDescent="0.25">
      <c r="A1827" t="s">
        <v>2014</v>
      </c>
      <c r="B1827" t="s">
        <v>2015</v>
      </c>
      <c r="C1827" s="1">
        <v>41569</v>
      </c>
      <c r="D1827" s="1">
        <v>41576</v>
      </c>
      <c r="E1827">
        <v>6</v>
      </c>
      <c r="F1827" t="s">
        <v>887</v>
      </c>
      <c r="G1827" t="s">
        <v>16</v>
      </c>
      <c r="H1827" t="s">
        <v>2016</v>
      </c>
      <c r="I1827">
        <v>2.1738</v>
      </c>
      <c r="J1827">
        <v>52064.36</v>
      </c>
      <c r="K1827">
        <v>23950.851044254301</v>
      </c>
    </row>
    <row r="1828" spans="1:11" x14ac:dyDescent="0.25">
      <c r="A1828" t="s">
        <v>946</v>
      </c>
      <c r="B1828" t="s">
        <v>947</v>
      </c>
      <c r="C1828" s="1">
        <v>41570</v>
      </c>
      <c r="D1828" s="1">
        <v>41573</v>
      </c>
      <c r="E1828">
        <v>1006</v>
      </c>
      <c r="F1828" t="s">
        <v>301</v>
      </c>
      <c r="G1828" t="s">
        <v>16</v>
      </c>
      <c r="H1828" t="s">
        <v>2017</v>
      </c>
      <c r="I1828">
        <v>2.1760000000000002</v>
      </c>
      <c r="J1828">
        <v>61605</v>
      </c>
      <c r="K1828">
        <v>28311.121323529413</v>
      </c>
    </row>
    <row r="1829" spans="1:11" x14ac:dyDescent="0.25">
      <c r="A1829" t="s">
        <v>896</v>
      </c>
      <c r="B1829" t="s">
        <v>897</v>
      </c>
      <c r="C1829" s="1">
        <v>41551</v>
      </c>
      <c r="D1829" s="1">
        <v>41579</v>
      </c>
      <c r="E1829">
        <v>296</v>
      </c>
      <c r="F1829" t="s">
        <v>887</v>
      </c>
      <c r="G1829" t="s">
        <v>16</v>
      </c>
      <c r="H1829" t="s">
        <v>2018</v>
      </c>
      <c r="I1829">
        <v>2.2069000000000001</v>
      </c>
      <c r="J1829">
        <v>63697.31</v>
      </c>
      <c r="K1829">
        <v>28862.79849562735</v>
      </c>
    </row>
    <row r="1830" spans="1:11" x14ac:dyDescent="0.25">
      <c r="A1830" t="s">
        <v>950</v>
      </c>
      <c r="B1830" t="s">
        <v>951</v>
      </c>
      <c r="C1830" s="1">
        <v>41584</v>
      </c>
      <c r="D1830" s="1">
        <v>41590</v>
      </c>
      <c r="E1830">
        <v>501</v>
      </c>
      <c r="F1830" t="s">
        <v>309</v>
      </c>
      <c r="G1830" t="s">
        <v>16</v>
      </c>
      <c r="H1830" t="s">
        <v>5445</v>
      </c>
      <c r="I1830">
        <v>2.2747000000000002</v>
      </c>
      <c r="J1830">
        <v>94387.199999999997</v>
      </c>
      <c r="K1830">
        <v>41494.350903415834</v>
      </c>
    </row>
    <row r="1831" spans="1:11" x14ac:dyDescent="0.25">
      <c r="A1831" t="s">
        <v>1561</v>
      </c>
      <c r="B1831" t="s">
        <v>1562</v>
      </c>
      <c r="C1831" s="1">
        <v>41577</v>
      </c>
      <c r="D1831" s="1">
        <v>41589</v>
      </c>
      <c r="E1831">
        <v>5</v>
      </c>
      <c r="F1831" t="s">
        <v>887</v>
      </c>
      <c r="G1831" t="s">
        <v>16</v>
      </c>
      <c r="H1831" t="s">
        <v>2019</v>
      </c>
      <c r="I1831">
        <v>2.1804000000000001</v>
      </c>
      <c r="J1831">
        <v>47123.27</v>
      </c>
      <c r="K1831">
        <v>21612.213355347641</v>
      </c>
    </row>
    <row r="1832" spans="1:11" x14ac:dyDescent="0.25">
      <c r="A1832" t="s">
        <v>885</v>
      </c>
      <c r="B1832" t="s">
        <v>886</v>
      </c>
      <c r="C1832" s="1">
        <v>41558</v>
      </c>
      <c r="D1832" s="1">
        <v>41566</v>
      </c>
      <c r="E1832">
        <v>4</v>
      </c>
      <c r="F1832" t="s">
        <v>887</v>
      </c>
      <c r="G1832" t="s">
        <v>16</v>
      </c>
      <c r="H1832" t="s">
        <v>2020</v>
      </c>
      <c r="I1832">
        <v>2.1850000000000001</v>
      </c>
      <c r="J1832">
        <v>56505.21</v>
      </c>
      <c r="K1832">
        <v>25860.508009153316</v>
      </c>
    </row>
    <row r="1833" spans="1:11" x14ac:dyDescent="0.25">
      <c r="A1833" t="s">
        <v>885</v>
      </c>
      <c r="B1833" t="s">
        <v>886</v>
      </c>
      <c r="C1833" s="1">
        <v>41558</v>
      </c>
      <c r="D1833" s="1">
        <v>41566</v>
      </c>
      <c r="E1833">
        <v>4</v>
      </c>
      <c r="F1833" t="s">
        <v>887</v>
      </c>
      <c r="G1833" t="s">
        <v>16</v>
      </c>
      <c r="H1833" t="s">
        <v>5446</v>
      </c>
      <c r="I1833">
        <v>2.1850000000000001</v>
      </c>
      <c r="J1833">
        <v>56505.21</v>
      </c>
      <c r="K1833">
        <v>25860.508009153316</v>
      </c>
    </row>
    <row r="1834" spans="1:11" x14ac:dyDescent="0.25">
      <c r="A1834" t="s">
        <v>896</v>
      </c>
      <c r="B1834" t="s">
        <v>897</v>
      </c>
      <c r="C1834" s="1">
        <v>41563</v>
      </c>
      <c r="D1834" s="1">
        <v>41571</v>
      </c>
      <c r="E1834">
        <v>296</v>
      </c>
      <c r="F1834" t="s">
        <v>887</v>
      </c>
      <c r="G1834" t="s">
        <v>16</v>
      </c>
      <c r="H1834" t="s">
        <v>2021</v>
      </c>
      <c r="I1834">
        <v>2.1818</v>
      </c>
      <c r="J1834">
        <v>49590.51</v>
      </c>
      <c r="K1834">
        <v>22729.173159776332</v>
      </c>
    </row>
    <row r="1835" spans="1:11" x14ac:dyDescent="0.25">
      <c r="A1835" t="s">
        <v>896</v>
      </c>
      <c r="B1835" t="s">
        <v>897</v>
      </c>
      <c r="C1835" s="1">
        <v>41563</v>
      </c>
      <c r="D1835" s="1">
        <v>41571</v>
      </c>
      <c r="E1835">
        <v>296</v>
      </c>
      <c r="F1835" t="s">
        <v>887</v>
      </c>
      <c r="G1835" t="s">
        <v>16</v>
      </c>
      <c r="H1835" t="s">
        <v>2022</v>
      </c>
      <c r="I1835">
        <v>2.1818</v>
      </c>
      <c r="J1835">
        <v>48169.34</v>
      </c>
      <c r="K1835">
        <v>22077.798148317903</v>
      </c>
    </row>
    <row r="1836" spans="1:11" x14ac:dyDescent="0.25">
      <c r="A1836" t="s">
        <v>896</v>
      </c>
      <c r="B1836" t="s">
        <v>897</v>
      </c>
      <c r="C1836" s="1">
        <v>41563</v>
      </c>
      <c r="D1836" s="1">
        <v>41571</v>
      </c>
      <c r="E1836">
        <v>296</v>
      </c>
      <c r="F1836" t="s">
        <v>887</v>
      </c>
      <c r="G1836" t="s">
        <v>16</v>
      </c>
      <c r="H1836" t="s">
        <v>2023</v>
      </c>
      <c r="I1836">
        <v>2.1818</v>
      </c>
      <c r="J1836">
        <v>48339.67</v>
      </c>
      <c r="K1836">
        <v>22155.866715555963</v>
      </c>
    </row>
    <row r="1837" spans="1:11" x14ac:dyDescent="0.25">
      <c r="A1837" t="s">
        <v>2024</v>
      </c>
      <c r="B1837" t="s">
        <v>2025</v>
      </c>
      <c r="C1837" s="1">
        <v>41576</v>
      </c>
      <c r="D1837" s="1">
        <v>41584</v>
      </c>
      <c r="E1837">
        <v>18637</v>
      </c>
      <c r="F1837" t="s">
        <v>301</v>
      </c>
      <c r="G1837" t="s">
        <v>16</v>
      </c>
      <c r="H1837" t="s">
        <v>2026</v>
      </c>
      <c r="I1837">
        <v>2.1846000000000001</v>
      </c>
      <c r="J1837">
        <v>61920</v>
      </c>
      <c r="K1837">
        <v>28343.861576489977</v>
      </c>
    </row>
    <row r="1838" spans="1:11" x14ac:dyDescent="0.25">
      <c r="A1838" t="s">
        <v>1573</v>
      </c>
      <c r="B1838" t="s">
        <v>1574</v>
      </c>
      <c r="C1838" s="1">
        <v>41613</v>
      </c>
      <c r="D1838" s="1">
        <v>41618</v>
      </c>
      <c r="E1838">
        <v>18794</v>
      </c>
      <c r="F1838" t="s">
        <v>301</v>
      </c>
      <c r="G1838" t="s">
        <v>16</v>
      </c>
      <c r="H1838" t="s">
        <v>2027</v>
      </c>
      <c r="I1838">
        <v>2.3740000000000001</v>
      </c>
      <c r="J1838">
        <v>5587.21</v>
      </c>
      <c r="K1838">
        <v>2353.5004212299914</v>
      </c>
    </row>
    <row r="1839" spans="1:11" x14ac:dyDescent="0.25">
      <c r="A1839" t="s">
        <v>1020</v>
      </c>
      <c r="B1839" t="s">
        <v>1021</v>
      </c>
      <c r="C1839" s="1">
        <v>41632</v>
      </c>
      <c r="D1839" s="1">
        <v>41638</v>
      </c>
      <c r="E1839">
        <v>19971</v>
      </c>
      <c r="F1839" t="s">
        <v>309</v>
      </c>
      <c r="G1839" t="s">
        <v>16</v>
      </c>
      <c r="H1839" t="s">
        <v>5447</v>
      </c>
      <c r="I1839">
        <v>2.3706</v>
      </c>
      <c r="J1839">
        <v>50439.51</v>
      </c>
      <c r="K1839">
        <v>21277.107061503419</v>
      </c>
    </row>
    <row r="1840" spans="1:11" x14ac:dyDescent="0.25">
      <c r="A1840" t="s">
        <v>1020</v>
      </c>
      <c r="B1840" t="s">
        <v>1021</v>
      </c>
      <c r="C1840" s="1">
        <v>41632</v>
      </c>
      <c r="D1840" s="1">
        <v>41638</v>
      </c>
      <c r="E1840">
        <v>19971</v>
      </c>
      <c r="F1840" t="s">
        <v>309</v>
      </c>
      <c r="G1840" t="s">
        <v>16</v>
      </c>
      <c r="H1840" t="s">
        <v>5448</v>
      </c>
      <c r="I1840">
        <v>2.3706</v>
      </c>
      <c r="J1840">
        <v>50439.51</v>
      </c>
      <c r="K1840">
        <v>21277.107061503419</v>
      </c>
    </row>
    <row r="1841" spans="1:11" x14ac:dyDescent="0.25">
      <c r="A1841" t="s">
        <v>1561</v>
      </c>
      <c r="B1841" t="s">
        <v>1562</v>
      </c>
      <c r="C1841" s="1">
        <v>41597</v>
      </c>
      <c r="D1841" s="1">
        <v>41605</v>
      </c>
      <c r="E1841">
        <v>5</v>
      </c>
      <c r="F1841" t="s">
        <v>887</v>
      </c>
      <c r="G1841" t="s">
        <v>16</v>
      </c>
      <c r="H1841" t="s">
        <v>5449</v>
      </c>
      <c r="I1841">
        <v>2.2827999999999999</v>
      </c>
      <c r="J1841">
        <v>4005.03</v>
      </c>
      <c r="K1841">
        <v>1754.4375328543892</v>
      </c>
    </row>
    <row r="1842" spans="1:11" x14ac:dyDescent="0.25">
      <c r="A1842" t="s">
        <v>1558</v>
      </c>
      <c r="B1842" t="s">
        <v>1559</v>
      </c>
      <c r="C1842" s="1">
        <v>41577</v>
      </c>
      <c r="D1842" s="1">
        <v>41605</v>
      </c>
      <c r="E1842">
        <v>2</v>
      </c>
      <c r="F1842" t="s">
        <v>887</v>
      </c>
      <c r="G1842" t="s">
        <v>16</v>
      </c>
      <c r="H1842" t="s">
        <v>2028</v>
      </c>
      <c r="I1842">
        <v>2.1804000000000001</v>
      </c>
      <c r="J1842">
        <v>35753.11</v>
      </c>
      <c r="K1842">
        <v>16397.500458631443</v>
      </c>
    </row>
    <row r="1843" spans="1:11" x14ac:dyDescent="0.25">
      <c r="A1843" t="s">
        <v>2029</v>
      </c>
      <c r="B1843" t="s">
        <v>2030</v>
      </c>
      <c r="C1843" s="1">
        <v>41627</v>
      </c>
      <c r="D1843" s="1">
        <v>41630</v>
      </c>
      <c r="E1843">
        <v>19678</v>
      </c>
      <c r="F1843" t="s">
        <v>309</v>
      </c>
      <c r="G1843" t="s">
        <v>16</v>
      </c>
      <c r="H1843" t="s">
        <v>2031</v>
      </c>
      <c r="I1843">
        <v>2.3273999999999999</v>
      </c>
      <c r="J1843">
        <v>50439.51</v>
      </c>
      <c r="K1843">
        <v>21672.041763341069</v>
      </c>
    </row>
    <row r="1844" spans="1:11" x14ac:dyDescent="0.25">
      <c r="A1844" t="s">
        <v>964</v>
      </c>
      <c r="B1844" t="s">
        <v>965</v>
      </c>
      <c r="C1844" s="1">
        <v>41605</v>
      </c>
      <c r="D1844" s="1">
        <v>41610</v>
      </c>
      <c r="E1844">
        <v>18802</v>
      </c>
      <c r="F1844" t="s">
        <v>301</v>
      </c>
      <c r="G1844" t="s">
        <v>16</v>
      </c>
      <c r="H1844" t="s">
        <v>5450</v>
      </c>
      <c r="I1844">
        <v>2.3039999999999998</v>
      </c>
      <c r="J1844">
        <v>68904</v>
      </c>
      <c r="K1844">
        <v>29906.25</v>
      </c>
    </row>
    <row r="1845" spans="1:11" x14ac:dyDescent="0.25">
      <c r="A1845" t="s">
        <v>967</v>
      </c>
      <c r="B1845" t="s">
        <v>968</v>
      </c>
      <c r="C1845" s="1">
        <v>41614</v>
      </c>
      <c r="D1845" s="1">
        <v>41635</v>
      </c>
      <c r="E1845">
        <v>53</v>
      </c>
      <c r="F1845" t="s">
        <v>301</v>
      </c>
      <c r="G1845" t="s">
        <v>16</v>
      </c>
      <c r="H1845" t="s">
        <v>2032</v>
      </c>
      <c r="I1845">
        <v>2.3746999999999998</v>
      </c>
      <c r="J1845">
        <v>21728.01</v>
      </c>
      <c r="K1845">
        <v>9149.7915526171728</v>
      </c>
    </row>
    <row r="1846" spans="1:11" x14ac:dyDescent="0.25">
      <c r="A1846" t="s">
        <v>972</v>
      </c>
      <c r="B1846" t="s">
        <v>973</v>
      </c>
      <c r="C1846" s="1">
        <v>41612</v>
      </c>
      <c r="D1846" s="1">
        <v>41618</v>
      </c>
      <c r="E1846">
        <v>19543</v>
      </c>
      <c r="F1846" t="s">
        <v>301</v>
      </c>
      <c r="G1846" t="s">
        <v>16</v>
      </c>
      <c r="H1846" t="s">
        <v>5451</v>
      </c>
      <c r="I1846">
        <v>2.3557999999999999</v>
      </c>
      <c r="J1846">
        <v>83192.2</v>
      </c>
      <c r="K1846">
        <v>35313.778758808046</v>
      </c>
    </row>
    <row r="1847" spans="1:11" x14ac:dyDescent="0.25">
      <c r="A1847" t="s">
        <v>2033</v>
      </c>
      <c r="C1847" s="1">
        <v>41635</v>
      </c>
      <c r="D1847" s="1">
        <v>41641</v>
      </c>
      <c r="E1847">
        <v>18</v>
      </c>
      <c r="F1847" t="s">
        <v>519</v>
      </c>
      <c r="G1847" t="s">
        <v>16</v>
      </c>
      <c r="H1847" t="s">
        <v>2034</v>
      </c>
      <c r="I1847">
        <v>2.3506999999999998</v>
      </c>
      <c r="J1847">
        <v>378.21</v>
      </c>
      <c r="K1847">
        <v>160.89250010635129</v>
      </c>
    </row>
    <row r="1848" spans="1:11" x14ac:dyDescent="0.25">
      <c r="A1848" t="s">
        <v>3413</v>
      </c>
      <c r="B1848" t="s">
        <v>3414</v>
      </c>
      <c r="C1848" s="1">
        <v>41634</v>
      </c>
      <c r="D1848" s="1">
        <v>41642</v>
      </c>
      <c r="E1848">
        <v>286</v>
      </c>
      <c r="F1848" t="s">
        <v>311</v>
      </c>
      <c r="G1848" t="s">
        <v>16</v>
      </c>
      <c r="H1848" t="s">
        <v>5452</v>
      </c>
      <c r="I1848">
        <v>2.3553999999999999</v>
      </c>
      <c r="J1848">
        <v>682560</v>
      </c>
      <c r="K1848">
        <v>289785.17449265515</v>
      </c>
    </row>
    <row r="1849" spans="1:11" x14ac:dyDescent="0.25">
      <c r="A1849" t="s">
        <v>1573</v>
      </c>
      <c r="B1849" t="s">
        <v>1574</v>
      </c>
      <c r="C1849" s="1">
        <v>41618</v>
      </c>
      <c r="D1849" s="1">
        <v>41624</v>
      </c>
      <c r="E1849">
        <v>18794</v>
      </c>
      <c r="F1849" t="s">
        <v>301</v>
      </c>
      <c r="G1849" t="s">
        <v>16</v>
      </c>
      <c r="H1849" t="s">
        <v>5453</v>
      </c>
      <c r="I1849">
        <v>2.3224999999999998</v>
      </c>
      <c r="J1849">
        <v>37685</v>
      </c>
      <c r="K1849">
        <v>16226.049515608182</v>
      </c>
    </row>
    <row r="1850" spans="1:11" x14ac:dyDescent="0.25">
      <c r="A1850" t="s">
        <v>2510</v>
      </c>
      <c r="B1850" t="s">
        <v>144</v>
      </c>
      <c r="C1850" s="1">
        <v>41603</v>
      </c>
      <c r="D1850" s="1">
        <v>41610</v>
      </c>
      <c r="E1850">
        <v>19302</v>
      </c>
      <c r="F1850" t="s">
        <v>370</v>
      </c>
      <c r="G1850" t="s">
        <v>16</v>
      </c>
      <c r="H1850" t="s">
        <v>5454</v>
      </c>
      <c r="I1850">
        <v>2.2913000000000001</v>
      </c>
      <c r="J1850">
        <v>136845.6</v>
      </c>
      <c r="K1850">
        <v>59723.999476279838</v>
      </c>
    </row>
    <row r="1851" spans="1:11" x14ac:dyDescent="0.25">
      <c r="A1851" t="s">
        <v>972</v>
      </c>
      <c r="B1851" t="s">
        <v>973</v>
      </c>
      <c r="C1851" s="1">
        <v>41606</v>
      </c>
      <c r="D1851" s="1">
        <v>41610</v>
      </c>
      <c r="E1851">
        <v>19543</v>
      </c>
      <c r="F1851" t="s">
        <v>301</v>
      </c>
      <c r="G1851" t="s">
        <v>16</v>
      </c>
      <c r="H1851" t="s">
        <v>2035</v>
      </c>
      <c r="I1851">
        <v>2.3058000000000001</v>
      </c>
      <c r="J1851">
        <v>230445</v>
      </c>
      <c r="K1851">
        <v>99941.451990632326</v>
      </c>
    </row>
    <row r="1852" spans="1:11" x14ac:dyDescent="0.25">
      <c r="A1852" t="s">
        <v>972</v>
      </c>
      <c r="B1852" t="s">
        <v>973</v>
      </c>
      <c r="C1852" s="1">
        <v>41646</v>
      </c>
      <c r="D1852" s="1">
        <v>41649</v>
      </c>
      <c r="E1852">
        <v>19543</v>
      </c>
      <c r="F1852" t="s">
        <v>675</v>
      </c>
      <c r="G1852" t="s">
        <v>16</v>
      </c>
      <c r="H1852" t="s">
        <v>2036</v>
      </c>
      <c r="I1852">
        <v>2.3788999999999998</v>
      </c>
      <c r="J1852">
        <v>109196.1</v>
      </c>
      <c r="K1852">
        <v>45901.929463197273</v>
      </c>
    </row>
    <row r="1853" spans="1:11" x14ac:dyDescent="0.25">
      <c r="A1853" t="s">
        <v>1009</v>
      </c>
      <c r="B1853" t="s">
        <v>1010</v>
      </c>
      <c r="C1853" s="1">
        <v>41679</v>
      </c>
      <c r="D1853" s="1">
        <v>41684</v>
      </c>
      <c r="E1853">
        <v>21373</v>
      </c>
      <c r="F1853" t="s">
        <v>331</v>
      </c>
      <c r="G1853" t="s">
        <v>16</v>
      </c>
      <c r="H1853" t="s">
        <v>5455</v>
      </c>
      <c r="I1853">
        <v>2.3816999999999999</v>
      </c>
      <c r="J1853">
        <v>30593.91</v>
      </c>
      <c r="K1853">
        <v>12845.408741655121</v>
      </c>
    </row>
    <row r="1854" spans="1:11" x14ac:dyDescent="0.25">
      <c r="A1854" t="s">
        <v>1582</v>
      </c>
      <c r="B1854" t="s">
        <v>1583</v>
      </c>
      <c r="C1854" s="1">
        <v>41653</v>
      </c>
      <c r="D1854" s="1">
        <v>41656</v>
      </c>
      <c r="E1854">
        <v>20372</v>
      </c>
      <c r="F1854" t="s">
        <v>309</v>
      </c>
      <c r="G1854" t="s">
        <v>16</v>
      </c>
      <c r="H1854" t="s">
        <v>2037</v>
      </c>
      <c r="I1854">
        <v>2.3491</v>
      </c>
      <c r="J1854">
        <v>25025.62</v>
      </c>
      <c r="K1854">
        <v>10653.279979566643</v>
      </c>
    </row>
    <row r="1855" spans="1:11" x14ac:dyDescent="0.25">
      <c r="A1855" t="s">
        <v>5062</v>
      </c>
      <c r="B1855" t="s">
        <v>5063</v>
      </c>
      <c r="C1855" s="1">
        <v>41683</v>
      </c>
      <c r="D1855" s="1">
        <v>41685</v>
      </c>
      <c r="E1855">
        <v>21403</v>
      </c>
      <c r="F1855" t="s">
        <v>278</v>
      </c>
      <c r="G1855" t="s">
        <v>16</v>
      </c>
      <c r="H1855" t="s">
        <v>5456</v>
      </c>
      <c r="I1855">
        <v>2.4085999999999999</v>
      </c>
      <c r="J1855">
        <v>147239</v>
      </c>
      <c r="K1855">
        <v>61130.532259403801</v>
      </c>
    </row>
    <row r="1856" spans="1:11" x14ac:dyDescent="0.25">
      <c r="A1856" t="s">
        <v>982</v>
      </c>
      <c r="B1856" t="s">
        <v>983</v>
      </c>
      <c r="C1856" s="1">
        <v>41657</v>
      </c>
      <c r="D1856" s="1">
        <v>41661</v>
      </c>
      <c r="E1856">
        <v>20657</v>
      </c>
      <c r="F1856" t="s">
        <v>887</v>
      </c>
      <c r="G1856" t="s">
        <v>16</v>
      </c>
      <c r="H1856" t="s">
        <v>5457</v>
      </c>
      <c r="I1856">
        <v>2.3601000000000001</v>
      </c>
      <c r="J1856">
        <v>66045.039999999994</v>
      </c>
      <c r="K1856">
        <v>27984.000677937376</v>
      </c>
    </row>
    <row r="1857" spans="1:11" x14ac:dyDescent="0.25">
      <c r="A1857" t="s">
        <v>979</v>
      </c>
      <c r="B1857" t="s">
        <v>980</v>
      </c>
      <c r="C1857" s="1">
        <v>41667</v>
      </c>
      <c r="D1857" s="1">
        <v>41674</v>
      </c>
      <c r="E1857">
        <v>20659</v>
      </c>
      <c r="F1857" t="s">
        <v>887</v>
      </c>
      <c r="G1857" t="s">
        <v>16</v>
      </c>
      <c r="H1857" t="s">
        <v>5458</v>
      </c>
      <c r="I1857">
        <v>2.4043999999999999</v>
      </c>
      <c r="J1857">
        <v>28151.68</v>
      </c>
      <c r="K1857">
        <v>11708.401264348695</v>
      </c>
    </row>
    <row r="1858" spans="1:11" x14ac:dyDescent="0.25">
      <c r="A1858" t="s">
        <v>986</v>
      </c>
      <c r="B1858" t="s">
        <v>987</v>
      </c>
      <c r="C1858" s="1">
        <v>41659</v>
      </c>
      <c r="D1858" s="1">
        <v>41666</v>
      </c>
      <c r="E1858">
        <v>20371</v>
      </c>
      <c r="F1858" t="s">
        <v>887</v>
      </c>
      <c r="G1858" t="s">
        <v>16</v>
      </c>
      <c r="H1858" t="s">
        <v>5459</v>
      </c>
      <c r="I1858">
        <v>2.3601000000000001</v>
      </c>
      <c r="J1858">
        <v>37085.85</v>
      </c>
      <c r="K1858">
        <v>15713.677386551417</v>
      </c>
    </row>
    <row r="1859" spans="1:11" x14ac:dyDescent="0.25">
      <c r="A1859" t="s">
        <v>976</v>
      </c>
      <c r="B1859" t="s">
        <v>977</v>
      </c>
      <c r="C1859" s="1">
        <v>41656</v>
      </c>
      <c r="D1859" s="1">
        <v>41660</v>
      </c>
      <c r="E1859">
        <v>20661</v>
      </c>
      <c r="F1859" t="s">
        <v>309</v>
      </c>
      <c r="G1859" t="s">
        <v>16</v>
      </c>
      <c r="H1859" t="s">
        <v>2038</v>
      </c>
      <c r="I1859">
        <v>2.3683000000000001</v>
      </c>
      <c r="J1859">
        <v>25804.28</v>
      </c>
      <c r="K1859">
        <v>10895.6973356416</v>
      </c>
    </row>
    <row r="1860" spans="1:11" x14ac:dyDescent="0.25">
      <c r="A1860" t="s">
        <v>1009</v>
      </c>
      <c r="B1860" t="s">
        <v>1010</v>
      </c>
      <c r="C1860" s="1">
        <v>41676</v>
      </c>
      <c r="D1860" s="1">
        <v>41682</v>
      </c>
      <c r="E1860">
        <v>21373</v>
      </c>
      <c r="F1860" t="s">
        <v>331</v>
      </c>
      <c r="G1860" t="s">
        <v>16</v>
      </c>
      <c r="H1860" t="s">
        <v>5460</v>
      </c>
      <c r="I1860">
        <v>2.4106000000000001</v>
      </c>
      <c r="J1860">
        <v>31039.01</v>
      </c>
      <c r="K1860">
        <v>12876.051605409442</v>
      </c>
    </row>
    <row r="1861" spans="1:11" x14ac:dyDescent="0.25">
      <c r="A1861" t="s">
        <v>1009</v>
      </c>
      <c r="B1861" t="s">
        <v>1010</v>
      </c>
      <c r="C1861" s="1">
        <v>41677</v>
      </c>
      <c r="D1861" s="1">
        <v>41682</v>
      </c>
      <c r="E1861">
        <v>21373</v>
      </c>
      <c r="F1861" t="s">
        <v>331</v>
      </c>
      <c r="G1861" t="s">
        <v>16</v>
      </c>
      <c r="H1861" t="s">
        <v>5461</v>
      </c>
      <c r="I1861">
        <v>2.4041000000000001</v>
      </c>
      <c r="J1861">
        <v>31307.74</v>
      </c>
      <c r="K1861">
        <v>13022.644648725094</v>
      </c>
    </row>
    <row r="1862" spans="1:11" x14ac:dyDescent="0.25">
      <c r="A1862" t="s">
        <v>976</v>
      </c>
      <c r="B1862" t="s">
        <v>977</v>
      </c>
      <c r="C1862" s="1">
        <v>41655</v>
      </c>
      <c r="D1862" s="1">
        <v>41660</v>
      </c>
      <c r="E1862">
        <v>20661</v>
      </c>
      <c r="F1862" t="s">
        <v>309</v>
      </c>
      <c r="G1862" t="s">
        <v>16</v>
      </c>
      <c r="H1862" t="s">
        <v>5462</v>
      </c>
      <c r="I1862">
        <v>2.347</v>
      </c>
      <c r="J1862">
        <v>25560.53</v>
      </c>
      <c r="K1862">
        <v>10890.72432893055</v>
      </c>
    </row>
    <row r="1863" spans="1:11" x14ac:dyDescent="0.25">
      <c r="A1863" t="s">
        <v>976</v>
      </c>
      <c r="B1863" t="s">
        <v>977</v>
      </c>
      <c r="C1863" s="1">
        <v>41681</v>
      </c>
      <c r="D1863" s="1">
        <v>41684</v>
      </c>
      <c r="E1863">
        <v>20661</v>
      </c>
      <c r="F1863" t="s">
        <v>309</v>
      </c>
      <c r="G1863" t="s">
        <v>16</v>
      </c>
      <c r="H1863" t="s">
        <v>2393</v>
      </c>
      <c r="I1863">
        <v>2.3936000000000002</v>
      </c>
      <c r="J1863">
        <v>33841.46</v>
      </c>
      <c r="K1863">
        <v>14138.310494652407</v>
      </c>
    </row>
    <row r="1864" spans="1:11" x14ac:dyDescent="0.25">
      <c r="A1864" t="s">
        <v>972</v>
      </c>
      <c r="B1864" t="s">
        <v>973</v>
      </c>
      <c r="C1864" s="1">
        <v>41648</v>
      </c>
      <c r="D1864" s="1">
        <v>41654</v>
      </c>
      <c r="E1864">
        <v>19543</v>
      </c>
      <c r="F1864" t="s">
        <v>675</v>
      </c>
      <c r="G1864" t="s">
        <v>16</v>
      </c>
      <c r="H1864" t="s">
        <v>2039</v>
      </c>
      <c r="I1864">
        <v>2.3778999999999999</v>
      </c>
      <c r="J1864">
        <v>17856</v>
      </c>
      <c r="K1864">
        <v>7509.1467261028638</v>
      </c>
    </row>
    <row r="1865" spans="1:11" x14ac:dyDescent="0.25">
      <c r="A1865" t="s">
        <v>972</v>
      </c>
      <c r="B1865" t="s">
        <v>973</v>
      </c>
      <c r="C1865" s="1">
        <v>41648</v>
      </c>
      <c r="D1865" s="1">
        <v>41654</v>
      </c>
      <c r="E1865">
        <v>19543</v>
      </c>
      <c r="F1865" t="s">
        <v>675</v>
      </c>
      <c r="G1865" t="s">
        <v>16</v>
      </c>
      <c r="H1865" t="s">
        <v>2040</v>
      </c>
      <c r="I1865">
        <v>2.3778999999999999</v>
      </c>
      <c r="J1865">
        <v>162394.20000000001</v>
      </c>
      <c r="K1865">
        <v>68293.115774422811</v>
      </c>
    </row>
    <row r="1866" spans="1:11" x14ac:dyDescent="0.25">
      <c r="A1866" t="s">
        <v>976</v>
      </c>
      <c r="B1866" t="s">
        <v>977</v>
      </c>
      <c r="C1866" s="1">
        <v>41675</v>
      </c>
      <c r="D1866" s="1">
        <v>41684</v>
      </c>
      <c r="E1866">
        <v>20661</v>
      </c>
      <c r="F1866" t="s">
        <v>309</v>
      </c>
      <c r="G1866" t="s">
        <v>16</v>
      </c>
      <c r="H1866" t="s">
        <v>2041</v>
      </c>
      <c r="I1866">
        <v>2.4177</v>
      </c>
      <c r="J1866">
        <v>25289.69</v>
      </c>
      <c r="K1866">
        <v>10460.226661703271</v>
      </c>
    </row>
    <row r="1867" spans="1:11" x14ac:dyDescent="0.25">
      <c r="A1867" t="s">
        <v>2042</v>
      </c>
      <c r="B1867" t="s">
        <v>2043</v>
      </c>
      <c r="C1867" s="1">
        <v>41676</v>
      </c>
      <c r="D1867" s="1">
        <v>41683</v>
      </c>
      <c r="E1867">
        <v>19553</v>
      </c>
      <c r="F1867" t="s">
        <v>301</v>
      </c>
      <c r="G1867" t="s">
        <v>16</v>
      </c>
      <c r="H1867" t="s">
        <v>443</v>
      </c>
      <c r="I1867">
        <v>2.4106000000000001</v>
      </c>
      <c r="J1867">
        <v>70050.009999999995</v>
      </c>
      <c r="K1867">
        <v>29059.159545341408</v>
      </c>
    </row>
    <row r="1868" spans="1:11" x14ac:dyDescent="0.25">
      <c r="A1868" t="s">
        <v>993</v>
      </c>
      <c r="B1868" t="s">
        <v>994</v>
      </c>
      <c r="C1868" s="1">
        <v>41649</v>
      </c>
      <c r="D1868" s="1">
        <v>41655</v>
      </c>
      <c r="E1868">
        <v>20658</v>
      </c>
      <c r="F1868" t="s">
        <v>887</v>
      </c>
      <c r="G1868" t="s">
        <v>16</v>
      </c>
      <c r="H1868" t="s">
        <v>2044</v>
      </c>
      <c r="I1868">
        <v>2.3959999999999999</v>
      </c>
      <c r="J1868">
        <v>49153.94</v>
      </c>
      <c r="K1868">
        <v>20515</v>
      </c>
    </row>
    <row r="1869" spans="1:11" x14ac:dyDescent="0.25">
      <c r="A1869" t="s">
        <v>976</v>
      </c>
      <c r="B1869" t="s">
        <v>977</v>
      </c>
      <c r="C1869" s="1">
        <v>41654</v>
      </c>
      <c r="D1869" s="1">
        <v>41655</v>
      </c>
      <c r="E1869">
        <v>20661</v>
      </c>
      <c r="F1869" t="s">
        <v>309</v>
      </c>
      <c r="G1869" t="s">
        <v>16</v>
      </c>
      <c r="H1869" t="s">
        <v>2045</v>
      </c>
      <c r="I1869">
        <v>2.3616999999999999</v>
      </c>
      <c r="J1869">
        <v>24720.92</v>
      </c>
      <c r="K1869">
        <v>10467.426006690097</v>
      </c>
    </row>
    <row r="1870" spans="1:11" x14ac:dyDescent="0.25">
      <c r="A1870" t="s">
        <v>976</v>
      </c>
      <c r="B1870" t="s">
        <v>977</v>
      </c>
      <c r="C1870" s="1">
        <v>41655</v>
      </c>
      <c r="D1870" s="1">
        <v>41660</v>
      </c>
      <c r="E1870">
        <v>20661</v>
      </c>
      <c r="F1870" t="s">
        <v>309</v>
      </c>
      <c r="G1870" t="s">
        <v>16</v>
      </c>
      <c r="H1870" t="s">
        <v>5463</v>
      </c>
      <c r="I1870">
        <v>2.347</v>
      </c>
      <c r="J1870">
        <v>24863.11</v>
      </c>
      <c r="K1870">
        <v>10593.570515551768</v>
      </c>
    </row>
    <row r="1871" spans="1:11" x14ac:dyDescent="0.25">
      <c r="A1871" t="s">
        <v>976</v>
      </c>
      <c r="B1871" t="s">
        <v>977</v>
      </c>
      <c r="C1871" s="1">
        <v>41655</v>
      </c>
      <c r="D1871" s="1">
        <v>41660</v>
      </c>
      <c r="E1871">
        <v>20661</v>
      </c>
      <c r="F1871" t="s">
        <v>309</v>
      </c>
      <c r="G1871" t="s">
        <v>16</v>
      </c>
      <c r="H1871" t="s">
        <v>5464</v>
      </c>
      <c r="I1871">
        <v>2.347</v>
      </c>
      <c r="J1871">
        <v>25567.3</v>
      </c>
      <c r="K1871">
        <v>10893.608862377503</v>
      </c>
    </row>
    <row r="1872" spans="1:11" x14ac:dyDescent="0.25">
      <c r="A1872" t="s">
        <v>982</v>
      </c>
      <c r="B1872" t="s">
        <v>983</v>
      </c>
      <c r="C1872" s="1">
        <v>41657</v>
      </c>
      <c r="D1872" s="1">
        <v>41660</v>
      </c>
      <c r="E1872">
        <v>20657</v>
      </c>
      <c r="F1872" t="s">
        <v>887</v>
      </c>
      <c r="G1872" t="s">
        <v>16</v>
      </c>
      <c r="H1872" t="s">
        <v>2046</v>
      </c>
      <c r="I1872">
        <v>2.3601000000000001</v>
      </c>
      <c r="J1872">
        <v>47781.4</v>
      </c>
      <c r="K1872">
        <v>20245.498072115588</v>
      </c>
    </row>
    <row r="1873" spans="1:11" x14ac:dyDescent="0.25">
      <c r="A1873" t="s">
        <v>964</v>
      </c>
      <c r="B1873" t="s">
        <v>965</v>
      </c>
      <c r="C1873" s="1">
        <v>41629</v>
      </c>
      <c r="D1873" s="1">
        <v>41649</v>
      </c>
      <c r="E1873">
        <v>18802</v>
      </c>
      <c r="F1873" t="s">
        <v>301</v>
      </c>
      <c r="G1873" t="s">
        <v>16</v>
      </c>
      <c r="H1873" t="s">
        <v>5465</v>
      </c>
      <c r="I1873">
        <v>2.3706</v>
      </c>
      <c r="J1873">
        <v>33330.01</v>
      </c>
      <c r="K1873">
        <v>14059.735931831603</v>
      </c>
    </row>
    <row r="1874" spans="1:11" x14ac:dyDescent="0.25">
      <c r="A1874" t="s">
        <v>976</v>
      </c>
      <c r="B1874" t="s">
        <v>977</v>
      </c>
      <c r="C1874" s="1">
        <v>41653</v>
      </c>
      <c r="D1874" s="1">
        <v>41655</v>
      </c>
      <c r="E1874">
        <v>20661</v>
      </c>
      <c r="F1874" t="s">
        <v>309</v>
      </c>
      <c r="G1874" t="s">
        <v>16</v>
      </c>
      <c r="H1874" t="s">
        <v>2047</v>
      </c>
      <c r="I1874">
        <v>2.3491</v>
      </c>
      <c r="J1874">
        <v>24592.27</v>
      </c>
      <c r="K1874">
        <v>10468.805074283768</v>
      </c>
    </row>
    <row r="1875" spans="1:11" x14ac:dyDescent="0.25">
      <c r="A1875" t="s">
        <v>976</v>
      </c>
      <c r="B1875" t="s">
        <v>977</v>
      </c>
      <c r="C1875" s="1">
        <v>41653</v>
      </c>
      <c r="D1875" s="1">
        <v>41655</v>
      </c>
      <c r="E1875">
        <v>20661</v>
      </c>
      <c r="F1875" t="s">
        <v>309</v>
      </c>
      <c r="G1875" t="s">
        <v>16</v>
      </c>
      <c r="H1875" t="s">
        <v>2048</v>
      </c>
      <c r="I1875">
        <v>2.3491</v>
      </c>
      <c r="J1875">
        <v>25404.79</v>
      </c>
      <c r="K1875">
        <v>10814.690732621004</v>
      </c>
    </row>
    <row r="1876" spans="1:11" x14ac:dyDescent="0.25">
      <c r="A1876" t="s">
        <v>1020</v>
      </c>
      <c r="B1876" t="s">
        <v>1021</v>
      </c>
      <c r="C1876" s="1">
        <v>41646</v>
      </c>
      <c r="D1876" s="1">
        <v>41649</v>
      </c>
      <c r="E1876">
        <v>19971</v>
      </c>
      <c r="F1876" t="s">
        <v>309</v>
      </c>
      <c r="G1876" t="s">
        <v>16</v>
      </c>
      <c r="H1876" t="s">
        <v>2049</v>
      </c>
      <c r="I1876">
        <v>2.3788999999999998</v>
      </c>
      <c r="J1876">
        <v>51802.74</v>
      </c>
      <c r="K1876">
        <v>21775.921644457521</v>
      </c>
    </row>
    <row r="1877" spans="1:11" x14ac:dyDescent="0.25">
      <c r="A1877" t="s">
        <v>1020</v>
      </c>
      <c r="B1877" t="s">
        <v>1021</v>
      </c>
      <c r="C1877" s="1">
        <v>41646</v>
      </c>
      <c r="D1877" s="1">
        <v>41649</v>
      </c>
      <c r="E1877">
        <v>19971</v>
      </c>
      <c r="F1877" t="s">
        <v>309</v>
      </c>
      <c r="G1877" t="s">
        <v>16</v>
      </c>
      <c r="H1877" t="s">
        <v>5466</v>
      </c>
      <c r="I1877">
        <v>2.3788999999999998</v>
      </c>
      <c r="J1877">
        <v>50439.51</v>
      </c>
      <c r="K1877">
        <v>21202.871074866536</v>
      </c>
    </row>
    <row r="1878" spans="1:11" x14ac:dyDescent="0.25">
      <c r="A1878" t="s">
        <v>993</v>
      </c>
      <c r="B1878" t="s">
        <v>994</v>
      </c>
      <c r="C1878" s="1">
        <v>41650</v>
      </c>
      <c r="D1878" s="1">
        <v>41655</v>
      </c>
      <c r="E1878">
        <v>20658</v>
      </c>
      <c r="F1878" t="s">
        <v>887</v>
      </c>
      <c r="G1878" t="s">
        <v>16</v>
      </c>
      <c r="H1878" t="s">
        <v>2050</v>
      </c>
      <c r="I1878">
        <v>2.3818999999999999</v>
      </c>
      <c r="J1878">
        <v>50017.51</v>
      </c>
      <c r="K1878">
        <v>20998.996599353457</v>
      </c>
    </row>
    <row r="1879" spans="1:11" x14ac:dyDescent="0.25">
      <c r="A1879" t="s">
        <v>1020</v>
      </c>
      <c r="B1879" t="s">
        <v>1021</v>
      </c>
      <c r="C1879" s="1">
        <v>41646</v>
      </c>
      <c r="D1879" s="1">
        <v>41649</v>
      </c>
      <c r="E1879">
        <v>19971</v>
      </c>
      <c r="F1879" t="s">
        <v>309</v>
      </c>
      <c r="G1879" t="s">
        <v>16</v>
      </c>
      <c r="H1879" t="s">
        <v>5467</v>
      </c>
      <c r="I1879">
        <v>2.3788999999999998</v>
      </c>
      <c r="J1879">
        <v>50439.51</v>
      </c>
      <c r="K1879">
        <v>21202.871074866536</v>
      </c>
    </row>
    <row r="1880" spans="1:11" x14ac:dyDescent="0.25">
      <c r="A1880" t="s">
        <v>986</v>
      </c>
      <c r="B1880" t="s">
        <v>987</v>
      </c>
      <c r="C1880" s="1">
        <v>41661</v>
      </c>
      <c r="D1880" s="1">
        <v>41670</v>
      </c>
      <c r="E1880">
        <v>20371</v>
      </c>
      <c r="F1880" t="s">
        <v>887</v>
      </c>
      <c r="G1880" t="s">
        <v>16</v>
      </c>
      <c r="H1880" t="s">
        <v>5468</v>
      </c>
      <c r="I1880">
        <v>2.3607999999999998</v>
      </c>
      <c r="J1880">
        <v>38464.99</v>
      </c>
      <c r="K1880">
        <v>16293.201457133175</v>
      </c>
    </row>
    <row r="1881" spans="1:11" x14ac:dyDescent="0.25">
      <c r="A1881" t="s">
        <v>2534</v>
      </c>
      <c r="B1881" t="s">
        <v>2535</v>
      </c>
      <c r="C1881" s="1">
        <v>41653</v>
      </c>
      <c r="D1881" s="1">
        <v>41656</v>
      </c>
      <c r="E1881">
        <v>20370</v>
      </c>
      <c r="F1881" t="s">
        <v>887</v>
      </c>
      <c r="G1881" t="s">
        <v>16</v>
      </c>
      <c r="H1881" t="s">
        <v>5469</v>
      </c>
      <c r="I1881">
        <v>2.3491</v>
      </c>
      <c r="J1881">
        <v>36576.660000000003</v>
      </c>
      <c r="K1881">
        <v>15570.499340172832</v>
      </c>
    </row>
    <row r="1882" spans="1:11" x14ac:dyDescent="0.25">
      <c r="A1882" t="s">
        <v>2534</v>
      </c>
      <c r="B1882" t="s">
        <v>2535</v>
      </c>
      <c r="C1882" s="1">
        <v>41649</v>
      </c>
      <c r="D1882" s="1">
        <v>41656</v>
      </c>
      <c r="E1882">
        <v>20370</v>
      </c>
      <c r="F1882" t="s">
        <v>887</v>
      </c>
      <c r="G1882" t="s">
        <v>16</v>
      </c>
      <c r="H1882" t="s">
        <v>5470</v>
      </c>
      <c r="I1882">
        <v>2.3959999999999999</v>
      </c>
      <c r="J1882">
        <v>49048.08</v>
      </c>
      <c r="K1882">
        <v>20470.818030050083</v>
      </c>
    </row>
    <row r="1883" spans="1:11" x14ac:dyDescent="0.25">
      <c r="A1883" t="s">
        <v>2534</v>
      </c>
      <c r="B1883" t="s">
        <v>2535</v>
      </c>
      <c r="C1883" s="1">
        <v>41649</v>
      </c>
      <c r="D1883" s="1">
        <v>41656</v>
      </c>
      <c r="E1883">
        <v>20370</v>
      </c>
      <c r="F1883" t="s">
        <v>887</v>
      </c>
      <c r="G1883" t="s">
        <v>16</v>
      </c>
      <c r="H1883" t="s">
        <v>5471</v>
      </c>
      <c r="I1883">
        <v>2.3959999999999999</v>
      </c>
      <c r="J1883">
        <v>49799.66</v>
      </c>
      <c r="K1883">
        <v>20784.499165275458</v>
      </c>
    </row>
    <row r="1884" spans="1:11" x14ac:dyDescent="0.25">
      <c r="A1884" t="s">
        <v>1582</v>
      </c>
      <c r="B1884" t="s">
        <v>1583</v>
      </c>
      <c r="C1884" s="1">
        <v>41653</v>
      </c>
      <c r="D1884" s="1">
        <v>41656</v>
      </c>
      <c r="E1884">
        <v>20372</v>
      </c>
      <c r="F1884" t="s">
        <v>309</v>
      </c>
      <c r="G1884" t="s">
        <v>16</v>
      </c>
      <c r="H1884" t="s">
        <v>5472</v>
      </c>
      <c r="I1884">
        <v>2.3491</v>
      </c>
      <c r="J1884">
        <v>24538.1</v>
      </c>
      <c r="K1884">
        <v>10445.745179004725</v>
      </c>
    </row>
    <row r="1885" spans="1:11" x14ac:dyDescent="0.25">
      <c r="A1885" t="s">
        <v>1009</v>
      </c>
      <c r="B1885" t="s">
        <v>1010</v>
      </c>
      <c r="C1885" s="1">
        <v>41675</v>
      </c>
      <c r="D1885" s="1">
        <v>41679</v>
      </c>
      <c r="E1885">
        <v>21373</v>
      </c>
      <c r="F1885" t="s">
        <v>331</v>
      </c>
      <c r="G1885" t="s">
        <v>16</v>
      </c>
      <c r="H1885" t="s">
        <v>2051</v>
      </c>
      <c r="I1885">
        <v>2.4177</v>
      </c>
      <c r="J1885">
        <v>30871.05</v>
      </c>
      <c r="K1885">
        <v>12768.767837200645</v>
      </c>
    </row>
    <row r="1886" spans="1:11" x14ac:dyDescent="0.25">
      <c r="A1886" t="s">
        <v>976</v>
      </c>
      <c r="B1886" t="s">
        <v>977</v>
      </c>
      <c r="C1886" s="1">
        <v>41654</v>
      </c>
      <c r="D1886" s="1">
        <v>41657</v>
      </c>
      <c r="E1886">
        <v>20661</v>
      </c>
      <c r="F1886" t="s">
        <v>309</v>
      </c>
      <c r="G1886" t="s">
        <v>16</v>
      </c>
      <c r="H1886" t="s">
        <v>2052</v>
      </c>
      <c r="I1886">
        <v>2.3616999999999999</v>
      </c>
      <c r="J1886">
        <v>25350.62</v>
      </c>
      <c r="K1886">
        <v>10734.055976627005</v>
      </c>
    </row>
    <row r="1887" spans="1:11" x14ac:dyDescent="0.25">
      <c r="A1887" t="s">
        <v>976</v>
      </c>
      <c r="B1887" t="s">
        <v>977</v>
      </c>
      <c r="C1887" s="1">
        <v>41654</v>
      </c>
      <c r="D1887" s="1">
        <v>41657</v>
      </c>
      <c r="E1887">
        <v>20661</v>
      </c>
      <c r="F1887" t="s">
        <v>309</v>
      </c>
      <c r="G1887" t="s">
        <v>16</v>
      </c>
      <c r="H1887" t="s">
        <v>5473</v>
      </c>
      <c r="I1887">
        <v>2.3616999999999999</v>
      </c>
      <c r="J1887">
        <v>25174.58</v>
      </c>
      <c r="K1887">
        <v>10659.51645001482</v>
      </c>
    </row>
    <row r="1888" spans="1:11" x14ac:dyDescent="0.25">
      <c r="A1888" t="s">
        <v>976</v>
      </c>
      <c r="B1888" t="s">
        <v>977</v>
      </c>
      <c r="C1888" s="1">
        <v>41655</v>
      </c>
      <c r="D1888" s="1">
        <v>41657</v>
      </c>
      <c r="E1888">
        <v>20661</v>
      </c>
      <c r="F1888" t="s">
        <v>309</v>
      </c>
      <c r="G1888" t="s">
        <v>16</v>
      </c>
      <c r="H1888" t="s">
        <v>5474</v>
      </c>
      <c r="I1888">
        <v>2.347</v>
      </c>
      <c r="J1888">
        <v>31295.56</v>
      </c>
      <c r="K1888">
        <v>13334.282062207072</v>
      </c>
    </row>
    <row r="1889" spans="1:11" x14ac:dyDescent="0.25">
      <c r="A1889" t="s">
        <v>976</v>
      </c>
      <c r="B1889" t="s">
        <v>977</v>
      </c>
      <c r="C1889" s="1">
        <v>41653</v>
      </c>
      <c r="D1889" s="1">
        <v>41657</v>
      </c>
      <c r="E1889">
        <v>20661</v>
      </c>
      <c r="F1889" t="s">
        <v>309</v>
      </c>
      <c r="G1889" t="s">
        <v>16</v>
      </c>
      <c r="H1889" t="s">
        <v>2053</v>
      </c>
      <c r="I1889">
        <v>2.3491</v>
      </c>
      <c r="J1889">
        <v>24890.2</v>
      </c>
      <c r="K1889">
        <v>10595.63236984377</v>
      </c>
    </row>
    <row r="1890" spans="1:11" x14ac:dyDescent="0.25">
      <c r="A1890" t="s">
        <v>976</v>
      </c>
      <c r="B1890" t="s">
        <v>977</v>
      </c>
      <c r="C1890" s="1">
        <v>41654</v>
      </c>
      <c r="D1890" s="1">
        <v>41657</v>
      </c>
      <c r="E1890">
        <v>20661</v>
      </c>
      <c r="F1890" t="s">
        <v>309</v>
      </c>
      <c r="G1890" t="s">
        <v>16</v>
      </c>
      <c r="H1890" t="s">
        <v>2054</v>
      </c>
      <c r="I1890">
        <v>2.3616999999999999</v>
      </c>
      <c r="J1890">
        <v>25167.81</v>
      </c>
      <c r="K1890">
        <v>10656.649870855739</v>
      </c>
    </row>
    <row r="1891" spans="1:11" x14ac:dyDescent="0.25">
      <c r="A1891" t="s">
        <v>1009</v>
      </c>
      <c r="B1891" t="s">
        <v>1010</v>
      </c>
      <c r="C1891" s="1">
        <v>41674</v>
      </c>
      <c r="D1891" s="1">
        <v>41680</v>
      </c>
      <c r="E1891">
        <v>21373</v>
      </c>
      <c r="F1891" t="s">
        <v>331</v>
      </c>
      <c r="G1891" t="s">
        <v>16</v>
      </c>
      <c r="H1891" t="s">
        <v>2055</v>
      </c>
      <c r="I1891">
        <v>2.4089999999999998</v>
      </c>
      <c r="J1891">
        <v>31391.72</v>
      </c>
      <c r="K1891">
        <v>13031.017019510171</v>
      </c>
    </row>
    <row r="1892" spans="1:11" x14ac:dyDescent="0.25">
      <c r="A1892" t="s">
        <v>1009</v>
      </c>
      <c r="B1892" t="s">
        <v>1010</v>
      </c>
      <c r="C1892" s="1">
        <v>41675</v>
      </c>
      <c r="D1892" s="1">
        <v>41681</v>
      </c>
      <c r="E1892">
        <v>21373</v>
      </c>
      <c r="F1892" t="s">
        <v>331</v>
      </c>
      <c r="G1892" t="s">
        <v>16</v>
      </c>
      <c r="H1892" t="s">
        <v>5475</v>
      </c>
      <c r="I1892">
        <v>2.4177</v>
      </c>
      <c r="J1892">
        <v>30980.22</v>
      </c>
      <c r="K1892">
        <v>12813.922322868842</v>
      </c>
    </row>
    <row r="1893" spans="1:11" x14ac:dyDescent="0.25">
      <c r="A1893" t="s">
        <v>2056</v>
      </c>
      <c r="B1893" t="s">
        <v>2057</v>
      </c>
      <c r="C1893" s="1">
        <v>41641</v>
      </c>
      <c r="D1893" s="1">
        <v>41671</v>
      </c>
      <c r="E1893">
        <v>21022</v>
      </c>
      <c r="F1893" t="s">
        <v>642</v>
      </c>
      <c r="G1893" t="s">
        <v>16</v>
      </c>
      <c r="H1893" t="s">
        <v>2058</v>
      </c>
      <c r="I1893">
        <v>2.3426</v>
      </c>
      <c r="J1893">
        <v>224444.88</v>
      </c>
      <c r="K1893">
        <v>95810.159651669092</v>
      </c>
    </row>
    <row r="1894" spans="1:11" x14ac:dyDescent="0.25">
      <c r="A1894" t="s">
        <v>976</v>
      </c>
      <c r="B1894" t="s">
        <v>977</v>
      </c>
      <c r="C1894" s="1">
        <v>41688</v>
      </c>
      <c r="D1894" s="1">
        <v>41694</v>
      </c>
      <c r="E1894">
        <v>20661</v>
      </c>
      <c r="F1894" t="s">
        <v>309</v>
      </c>
      <c r="G1894" t="s">
        <v>16</v>
      </c>
      <c r="H1894" t="s">
        <v>2059</v>
      </c>
      <c r="I1894">
        <v>2.387</v>
      </c>
      <c r="J1894">
        <v>34945.129999999997</v>
      </c>
      <c r="K1894">
        <v>14639.769585253456</v>
      </c>
    </row>
    <row r="1895" spans="1:11" x14ac:dyDescent="0.25">
      <c r="A1895" t="s">
        <v>1020</v>
      </c>
      <c r="B1895" t="s">
        <v>1021</v>
      </c>
      <c r="C1895" s="1">
        <v>41703</v>
      </c>
      <c r="D1895" s="1">
        <v>41706</v>
      </c>
      <c r="E1895">
        <v>19971</v>
      </c>
      <c r="F1895" t="s">
        <v>309</v>
      </c>
      <c r="G1895" t="s">
        <v>16</v>
      </c>
      <c r="H1895" t="s">
        <v>5476</v>
      </c>
      <c r="I1895">
        <v>2.3334000000000001</v>
      </c>
      <c r="J1895">
        <v>64071.81</v>
      </c>
      <c r="K1895">
        <v>27458.562612496786</v>
      </c>
    </row>
    <row r="1896" spans="1:11" x14ac:dyDescent="0.25">
      <c r="A1896" t="s">
        <v>976</v>
      </c>
      <c r="B1896" t="s">
        <v>977</v>
      </c>
      <c r="C1896" s="1">
        <v>41689</v>
      </c>
      <c r="D1896" s="1">
        <v>41697</v>
      </c>
      <c r="E1896">
        <v>20661</v>
      </c>
      <c r="F1896" t="s">
        <v>309</v>
      </c>
      <c r="G1896" t="s">
        <v>16</v>
      </c>
      <c r="H1896" t="s">
        <v>5477</v>
      </c>
      <c r="I1896">
        <v>2.3982999999999999</v>
      </c>
      <c r="J1896">
        <v>24768.32</v>
      </c>
      <c r="K1896">
        <v>10327.44860943168</v>
      </c>
    </row>
    <row r="1897" spans="1:11" x14ac:dyDescent="0.25">
      <c r="A1897" t="s">
        <v>1036</v>
      </c>
      <c r="B1897" t="s">
        <v>1037</v>
      </c>
      <c r="C1897" s="1">
        <v>41703</v>
      </c>
      <c r="D1897" s="1">
        <v>41708</v>
      </c>
      <c r="E1897">
        <v>21505</v>
      </c>
      <c r="F1897" t="s">
        <v>309</v>
      </c>
      <c r="G1897" t="s">
        <v>16</v>
      </c>
      <c r="H1897" t="s">
        <v>2060</v>
      </c>
      <c r="I1897">
        <v>2.3334000000000001</v>
      </c>
      <c r="J1897">
        <v>144073.07999999999</v>
      </c>
      <c r="K1897">
        <v>61743.841604525587</v>
      </c>
    </row>
    <row r="1898" spans="1:11" x14ac:dyDescent="0.25">
      <c r="A1898" t="s">
        <v>976</v>
      </c>
      <c r="B1898" t="s">
        <v>977</v>
      </c>
      <c r="C1898" s="1">
        <v>41685</v>
      </c>
      <c r="D1898" s="1">
        <v>41690</v>
      </c>
      <c r="E1898">
        <v>20661</v>
      </c>
      <c r="F1898" t="s">
        <v>309</v>
      </c>
      <c r="G1898" t="s">
        <v>16</v>
      </c>
      <c r="H1898" t="s">
        <v>2061</v>
      </c>
      <c r="I1898">
        <v>2.3923999999999999</v>
      </c>
      <c r="J1898">
        <v>25120.41</v>
      </c>
      <c r="K1898">
        <v>10500.087777963552</v>
      </c>
    </row>
    <row r="1899" spans="1:11" x14ac:dyDescent="0.25">
      <c r="A1899" t="s">
        <v>1033</v>
      </c>
      <c r="B1899" t="s">
        <v>1034</v>
      </c>
      <c r="C1899" s="1">
        <v>41708</v>
      </c>
      <c r="D1899" s="1">
        <v>41710</v>
      </c>
      <c r="E1899">
        <v>22150</v>
      </c>
      <c r="F1899" t="s">
        <v>301</v>
      </c>
      <c r="G1899" t="s">
        <v>16</v>
      </c>
      <c r="H1899" t="s">
        <v>5478</v>
      </c>
      <c r="I1899">
        <v>2.3382000000000001</v>
      </c>
      <c r="J1899">
        <v>195379.99</v>
      </c>
      <c r="K1899">
        <v>83559.999144641173</v>
      </c>
    </row>
    <row r="1900" spans="1:11" x14ac:dyDescent="0.25">
      <c r="A1900" t="s">
        <v>976</v>
      </c>
      <c r="B1900" t="s">
        <v>977</v>
      </c>
      <c r="C1900" s="1">
        <v>41688</v>
      </c>
      <c r="D1900" s="1">
        <v>41693</v>
      </c>
      <c r="E1900">
        <v>20661</v>
      </c>
      <c r="F1900" t="s">
        <v>309</v>
      </c>
      <c r="G1900" t="s">
        <v>16</v>
      </c>
      <c r="H1900" t="s">
        <v>5479</v>
      </c>
      <c r="I1900">
        <v>2.387</v>
      </c>
      <c r="J1900">
        <v>24673.52</v>
      </c>
      <c r="K1900">
        <v>10336.623376623376</v>
      </c>
    </row>
    <row r="1901" spans="1:11" x14ac:dyDescent="0.25">
      <c r="A1901" t="s">
        <v>976</v>
      </c>
      <c r="B1901" t="s">
        <v>977</v>
      </c>
      <c r="C1901" s="1">
        <v>41687</v>
      </c>
      <c r="D1901" s="1">
        <v>41692</v>
      </c>
      <c r="E1901">
        <v>20661</v>
      </c>
      <c r="F1901" t="s">
        <v>309</v>
      </c>
      <c r="G1901" t="s">
        <v>16</v>
      </c>
      <c r="H1901" t="s">
        <v>5480</v>
      </c>
      <c r="I1901">
        <v>2.3923999999999999</v>
      </c>
      <c r="J1901">
        <v>22953.69</v>
      </c>
      <c r="K1901">
        <v>9594.4198294599573</v>
      </c>
    </row>
    <row r="1902" spans="1:11" x14ac:dyDescent="0.25">
      <c r="A1902" t="s">
        <v>976</v>
      </c>
      <c r="B1902" t="s">
        <v>977</v>
      </c>
      <c r="C1902" s="1">
        <v>41688</v>
      </c>
      <c r="D1902" s="1">
        <v>41692</v>
      </c>
      <c r="E1902">
        <v>20661</v>
      </c>
      <c r="F1902" t="s">
        <v>309</v>
      </c>
      <c r="G1902" t="s">
        <v>16</v>
      </c>
      <c r="H1902" t="s">
        <v>1371</v>
      </c>
      <c r="I1902">
        <v>2.387</v>
      </c>
      <c r="J1902">
        <v>20556.759999999998</v>
      </c>
      <c r="K1902">
        <v>8611.9648093841643</v>
      </c>
    </row>
    <row r="1903" spans="1:11" x14ac:dyDescent="0.25">
      <c r="A1903" t="s">
        <v>1604</v>
      </c>
      <c r="B1903" t="s">
        <v>1605</v>
      </c>
      <c r="C1903" s="1">
        <v>41683</v>
      </c>
      <c r="D1903" s="1">
        <v>41689</v>
      </c>
      <c r="E1903">
        <v>19035</v>
      </c>
      <c r="F1903" t="s">
        <v>887</v>
      </c>
      <c r="G1903" t="s">
        <v>16</v>
      </c>
      <c r="H1903" t="s">
        <v>2062</v>
      </c>
      <c r="I1903">
        <v>2.4085999999999999</v>
      </c>
      <c r="J1903">
        <v>64808.6</v>
      </c>
      <c r="K1903">
        <v>26907.165988541063</v>
      </c>
    </row>
    <row r="1904" spans="1:11" x14ac:dyDescent="0.25">
      <c r="A1904" t="s">
        <v>1024</v>
      </c>
      <c r="B1904" t="s">
        <v>1025</v>
      </c>
      <c r="C1904" s="1">
        <v>41708</v>
      </c>
      <c r="D1904" s="1">
        <v>41713</v>
      </c>
      <c r="E1904">
        <v>1</v>
      </c>
      <c r="F1904" t="s">
        <v>331</v>
      </c>
      <c r="G1904" t="s">
        <v>16</v>
      </c>
      <c r="H1904" t="s">
        <v>2063</v>
      </c>
      <c r="I1904">
        <v>2.3382000000000001</v>
      </c>
      <c r="J1904">
        <v>31265.75</v>
      </c>
      <c r="K1904">
        <v>13371.717560516638</v>
      </c>
    </row>
    <row r="1905" spans="1:11" x14ac:dyDescent="0.25">
      <c r="A1905" t="s">
        <v>1024</v>
      </c>
      <c r="B1905" t="s">
        <v>1025</v>
      </c>
      <c r="C1905" s="1">
        <v>41705</v>
      </c>
      <c r="D1905" s="1">
        <v>41711</v>
      </c>
      <c r="E1905">
        <v>1</v>
      </c>
      <c r="F1905" t="s">
        <v>331</v>
      </c>
      <c r="G1905" t="s">
        <v>16</v>
      </c>
      <c r="H1905" t="s">
        <v>5481</v>
      </c>
      <c r="I1905">
        <v>2.3094000000000001</v>
      </c>
      <c r="J1905">
        <v>31458.91</v>
      </c>
      <c r="K1905">
        <v>13622.113968996277</v>
      </c>
    </row>
    <row r="1906" spans="1:11" x14ac:dyDescent="0.25">
      <c r="A1906" t="s">
        <v>1582</v>
      </c>
      <c r="B1906" t="s">
        <v>1583</v>
      </c>
      <c r="C1906" s="1">
        <v>41702</v>
      </c>
      <c r="D1906" s="1">
        <v>41712</v>
      </c>
      <c r="E1906">
        <v>20372</v>
      </c>
      <c r="F1906" t="s">
        <v>309</v>
      </c>
      <c r="G1906" t="s">
        <v>16</v>
      </c>
      <c r="H1906" t="s">
        <v>5482</v>
      </c>
      <c r="I1906">
        <v>2.3334000000000001</v>
      </c>
      <c r="J1906">
        <v>43740.66</v>
      </c>
      <c r="K1906">
        <v>18745.461558241193</v>
      </c>
    </row>
    <row r="1907" spans="1:11" x14ac:dyDescent="0.25">
      <c r="A1907" t="s">
        <v>1582</v>
      </c>
      <c r="B1907" t="s">
        <v>1583</v>
      </c>
      <c r="C1907" s="1">
        <v>41704</v>
      </c>
      <c r="D1907" s="1">
        <v>41712</v>
      </c>
      <c r="E1907">
        <v>20372</v>
      </c>
      <c r="F1907" t="s">
        <v>309</v>
      </c>
      <c r="G1907" t="s">
        <v>16</v>
      </c>
      <c r="H1907" t="s">
        <v>5483</v>
      </c>
      <c r="I1907">
        <v>2.3239999999999998</v>
      </c>
      <c r="J1907">
        <v>54100.29</v>
      </c>
      <c r="K1907">
        <v>23278.954388984508</v>
      </c>
    </row>
    <row r="1908" spans="1:11" x14ac:dyDescent="0.25">
      <c r="A1908" t="s">
        <v>976</v>
      </c>
      <c r="B1908" t="s">
        <v>977</v>
      </c>
      <c r="C1908" s="1">
        <v>41714</v>
      </c>
      <c r="D1908" s="1">
        <v>41716</v>
      </c>
      <c r="E1908">
        <v>20661</v>
      </c>
      <c r="F1908" t="s">
        <v>309</v>
      </c>
      <c r="G1908" t="s">
        <v>16</v>
      </c>
      <c r="H1908" t="s">
        <v>2064</v>
      </c>
      <c r="I1908">
        <v>2.3637999999999999</v>
      </c>
      <c r="J1908">
        <v>55251.360000000001</v>
      </c>
      <c r="K1908">
        <v>23373.957187579323</v>
      </c>
    </row>
    <row r="1909" spans="1:11" x14ac:dyDescent="0.25">
      <c r="A1909" t="s">
        <v>1024</v>
      </c>
      <c r="B1909" t="s">
        <v>1025</v>
      </c>
      <c r="C1909" s="1">
        <v>41709</v>
      </c>
      <c r="D1909" s="1">
        <v>41715</v>
      </c>
      <c r="E1909">
        <v>1</v>
      </c>
      <c r="F1909" t="s">
        <v>331</v>
      </c>
      <c r="G1909" t="s">
        <v>16</v>
      </c>
      <c r="H1909" t="s">
        <v>5484</v>
      </c>
      <c r="I1909">
        <v>2.3410000000000002</v>
      </c>
      <c r="J1909">
        <v>31433.71</v>
      </c>
      <c r="K1909">
        <v>13427.471166168305</v>
      </c>
    </row>
    <row r="1910" spans="1:11" x14ac:dyDescent="0.25">
      <c r="A1910" t="s">
        <v>1009</v>
      </c>
      <c r="B1910" t="s">
        <v>1010</v>
      </c>
      <c r="C1910" s="1">
        <v>41675</v>
      </c>
      <c r="D1910" s="1">
        <v>41686</v>
      </c>
      <c r="E1910">
        <v>21373</v>
      </c>
      <c r="F1910" t="s">
        <v>331</v>
      </c>
      <c r="G1910" t="s">
        <v>16</v>
      </c>
      <c r="H1910" t="s">
        <v>5485</v>
      </c>
      <c r="I1910">
        <v>2.4177</v>
      </c>
      <c r="J1910">
        <v>26386.52</v>
      </c>
      <c r="K1910">
        <v>10913.893369731562</v>
      </c>
    </row>
    <row r="1911" spans="1:11" x14ac:dyDescent="0.25">
      <c r="A1911" t="s">
        <v>1024</v>
      </c>
      <c r="B1911" t="s">
        <v>1025</v>
      </c>
      <c r="C1911" s="1">
        <v>41708</v>
      </c>
      <c r="D1911" s="1">
        <v>41712</v>
      </c>
      <c r="E1911">
        <v>1</v>
      </c>
      <c r="F1911" t="s">
        <v>331</v>
      </c>
      <c r="G1911" t="s">
        <v>16</v>
      </c>
      <c r="H1911" t="s">
        <v>5486</v>
      </c>
      <c r="I1911">
        <v>2.3382000000000001</v>
      </c>
      <c r="J1911">
        <v>31106.19</v>
      </c>
      <c r="K1911">
        <v>13303.477033615602</v>
      </c>
    </row>
    <row r="1912" spans="1:11" x14ac:dyDescent="0.25">
      <c r="A1912" t="s">
        <v>1024</v>
      </c>
      <c r="B1912" t="s">
        <v>1025</v>
      </c>
      <c r="C1912" s="1">
        <v>41711</v>
      </c>
      <c r="D1912" s="1">
        <v>41717</v>
      </c>
      <c r="E1912">
        <v>1</v>
      </c>
      <c r="F1912" t="s">
        <v>331</v>
      </c>
      <c r="G1912" t="s">
        <v>16</v>
      </c>
      <c r="H1912" t="s">
        <v>2065</v>
      </c>
      <c r="I1912">
        <v>2.3649</v>
      </c>
      <c r="J1912">
        <v>31744.44</v>
      </c>
      <c r="K1912">
        <v>13423.163770138272</v>
      </c>
    </row>
    <row r="1913" spans="1:11" x14ac:dyDescent="0.25">
      <c r="A1913" t="s">
        <v>976</v>
      </c>
      <c r="B1913" t="s">
        <v>977</v>
      </c>
      <c r="C1913" s="1">
        <v>41713</v>
      </c>
      <c r="D1913" s="1">
        <v>41717</v>
      </c>
      <c r="E1913">
        <v>20661</v>
      </c>
      <c r="F1913" t="s">
        <v>309</v>
      </c>
      <c r="G1913" t="s">
        <v>16</v>
      </c>
      <c r="H1913" t="s">
        <v>5487</v>
      </c>
      <c r="I1913">
        <v>2.3637999999999999</v>
      </c>
      <c r="J1913">
        <v>42589.59</v>
      </c>
      <c r="K1913">
        <v>18017.425332092393</v>
      </c>
    </row>
    <row r="1914" spans="1:11" x14ac:dyDescent="0.25">
      <c r="A1914" t="s">
        <v>976</v>
      </c>
      <c r="B1914" t="s">
        <v>977</v>
      </c>
      <c r="C1914" s="1">
        <v>41713</v>
      </c>
      <c r="D1914" s="1">
        <v>41717</v>
      </c>
      <c r="E1914">
        <v>20661</v>
      </c>
      <c r="F1914" t="s">
        <v>309</v>
      </c>
      <c r="G1914" t="s">
        <v>16</v>
      </c>
      <c r="H1914" t="s">
        <v>2066</v>
      </c>
      <c r="I1914">
        <v>2.3637999999999999</v>
      </c>
      <c r="J1914">
        <v>42589.59</v>
      </c>
      <c r="K1914">
        <v>18017.425332092393</v>
      </c>
    </row>
    <row r="1915" spans="1:11" x14ac:dyDescent="0.25">
      <c r="A1915" t="s">
        <v>976</v>
      </c>
      <c r="B1915" t="s">
        <v>977</v>
      </c>
      <c r="C1915" s="1">
        <v>41712</v>
      </c>
      <c r="D1915" s="1">
        <v>41717</v>
      </c>
      <c r="E1915">
        <v>20661</v>
      </c>
      <c r="F1915" t="s">
        <v>309</v>
      </c>
      <c r="G1915" t="s">
        <v>16</v>
      </c>
      <c r="H1915" t="s">
        <v>5488</v>
      </c>
      <c r="I1915">
        <v>2.3485999999999998</v>
      </c>
      <c r="J1915">
        <v>51798.15</v>
      </c>
      <c r="K1915">
        <v>22054.905049816913</v>
      </c>
    </row>
    <row r="1916" spans="1:11" x14ac:dyDescent="0.25">
      <c r="A1916" t="s">
        <v>1024</v>
      </c>
      <c r="B1916" t="s">
        <v>1025</v>
      </c>
      <c r="C1916" s="1">
        <v>41705</v>
      </c>
      <c r="D1916" s="1">
        <v>41709</v>
      </c>
      <c r="E1916">
        <v>1</v>
      </c>
      <c r="F1916" t="s">
        <v>331</v>
      </c>
      <c r="G1916" t="s">
        <v>16</v>
      </c>
      <c r="H1916" t="s">
        <v>2067</v>
      </c>
      <c r="I1916">
        <v>2.3094000000000001</v>
      </c>
      <c r="J1916">
        <v>31081</v>
      </c>
      <c r="K1916">
        <v>13458.474062527062</v>
      </c>
    </row>
    <row r="1917" spans="1:11" x14ac:dyDescent="0.25">
      <c r="A1917" t="s">
        <v>1024</v>
      </c>
      <c r="B1917" t="s">
        <v>1025</v>
      </c>
      <c r="C1917" s="1">
        <v>41706</v>
      </c>
      <c r="D1917" s="1">
        <v>41709</v>
      </c>
      <c r="E1917">
        <v>1</v>
      </c>
      <c r="F1917" t="s">
        <v>331</v>
      </c>
      <c r="G1917" t="s">
        <v>16</v>
      </c>
      <c r="H1917" t="s">
        <v>5489</v>
      </c>
      <c r="I1917">
        <v>2.3382000000000001</v>
      </c>
      <c r="J1917">
        <v>31551.29</v>
      </c>
      <c r="K1917">
        <v>13493.837139680096</v>
      </c>
    </row>
    <row r="1918" spans="1:11" x14ac:dyDescent="0.25">
      <c r="A1918" t="s">
        <v>1024</v>
      </c>
      <c r="B1918" t="s">
        <v>1025</v>
      </c>
      <c r="C1918" s="1">
        <v>41705</v>
      </c>
      <c r="D1918" s="1">
        <v>41710</v>
      </c>
      <c r="E1918">
        <v>1</v>
      </c>
      <c r="F1918" t="s">
        <v>331</v>
      </c>
      <c r="G1918" t="s">
        <v>16</v>
      </c>
      <c r="H1918" t="s">
        <v>2068</v>
      </c>
      <c r="I1918">
        <v>2.3094000000000001</v>
      </c>
      <c r="J1918">
        <v>31500.9</v>
      </c>
      <c r="K1918">
        <v>13640.296180826188</v>
      </c>
    </row>
    <row r="1919" spans="1:11" x14ac:dyDescent="0.25">
      <c r="A1919" t="s">
        <v>3003</v>
      </c>
      <c r="C1919" s="1">
        <v>41743</v>
      </c>
      <c r="D1919" s="1">
        <v>41745</v>
      </c>
      <c r="E1919">
        <v>22754</v>
      </c>
      <c r="F1919" t="s">
        <v>421</v>
      </c>
      <c r="G1919" t="s">
        <v>16</v>
      </c>
      <c r="H1919" t="s">
        <v>5490</v>
      </c>
      <c r="I1919">
        <v>2.2059000000000002</v>
      </c>
      <c r="J1919">
        <v>137.85</v>
      </c>
      <c r="K1919">
        <v>62.491500067999453</v>
      </c>
    </row>
    <row r="1920" spans="1:11" x14ac:dyDescent="0.25">
      <c r="A1920" t="s">
        <v>1582</v>
      </c>
      <c r="B1920" t="s">
        <v>1583</v>
      </c>
      <c r="C1920" s="1">
        <v>41690</v>
      </c>
      <c r="D1920" s="1">
        <v>41744</v>
      </c>
      <c r="E1920">
        <v>20372</v>
      </c>
      <c r="F1920" t="s">
        <v>309</v>
      </c>
      <c r="G1920" t="s">
        <v>16</v>
      </c>
      <c r="H1920" t="s">
        <v>5491</v>
      </c>
      <c r="I1920">
        <v>2.3986000000000001</v>
      </c>
      <c r="J1920">
        <v>6479.85</v>
      </c>
      <c r="K1920">
        <v>2701.5133828066373</v>
      </c>
    </row>
    <row r="1921" spans="1:11" x14ac:dyDescent="0.25">
      <c r="A1921" t="s">
        <v>976</v>
      </c>
      <c r="B1921" t="s">
        <v>977</v>
      </c>
      <c r="C1921" s="1">
        <v>41734</v>
      </c>
      <c r="D1921" s="1">
        <v>41737</v>
      </c>
      <c r="E1921">
        <v>20661</v>
      </c>
      <c r="F1921" t="s">
        <v>309</v>
      </c>
      <c r="G1921" t="s">
        <v>16</v>
      </c>
      <c r="H1921" t="s">
        <v>2069</v>
      </c>
      <c r="I1921">
        <v>2.242</v>
      </c>
      <c r="J1921">
        <v>2525.58</v>
      </c>
      <c r="K1921">
        <v>1126.485280999108</v>
      </c>
    </row>
    <row r="1922" spans="1:11" x14ac:dyDescent="0.25">
      <c r="A1922" t="s">
        <v>976</v>
      </c>
      <c r="B1922" t="s">
        <v>977</v>
      </c>
      <c r="C1922" s="1">
        <v>41734</v>
      </c>
      <c r="D1922" s="1">
        <v>41737</v>
      </c>
      <c r="E1922">
        <v>20661</v>
      </c>
      <c r="F1922" t="s">
        <v>309</v>
      </c>
      <c r="G1922" t="s">
        <v>16</v>
      </c>
      <c r="H1922" t="s">
        <v>2070</v>
      </c>
      <c r="I1922">
        <v>2.242</v>
      </c>
      <c r="J1922">
        <v>1184.93</v>
      </c>
      <c r="K1922">
        <v>528.51471900089211</v>
      </c>
    </row>
    <row r="1923" spans="1:11" x14ac:dyDescent="0.25">
      <c r="A1923" t="s">
        <v>976</v>
      </c>
      <c r="B1923" t="s">
        <v>977</v>
      </c>
      <c r="C1923" s="1">
        <v>41734</v>
      </c>
      <c r="D1923" s="1">
        <v>41737</v>
      </c>
      <c r="E1923">
        <v>20661</v>
      </c>
      <c r="F1923" t="s">
        <v>309</v>
      </c>
      <c r="G1923" t="s">
        <v>16</v>
      </c>
      <c r="H1923" t="s">
        <v>5492</v>
      </c>
      <c r="I1923">
        <v>2.242</v>
      </c>
      <c r="J1923">
        <v>13623.25</v>
      </c>
      <c r="K1923">
        <v>6076.3826940231938</v>
      </c>
    </row>
    <row r="1924" spans="1:11" x14ac:dyDescent="0.25">
      <c r="A1924" t="s">
        <v>2004</v>
      </c>
      <c r="B1924" t="s">
        <v>2005</v>
      </c>
      <c r="C1924" s="1">
        <v>41716</v>
      </c>
      <c r="D1924" s="1">
        <v>41724</v>
      </c>
      <c r="E1924">
        <v>304</v>
      </c>
      <c r="F1924" t="s">
        <v>642</v>
      </c>
      <c r="G1924" t="s">
        <v>16</v>
      </c>
      <c r="H1924" t="s">
        <v>2071</v>
      </c>
      <c r="I1924">
        <v>2.3517999999999999</v>
      </c>
      <c r="J1924">
        <v>220848</v>
      </c>
      <c r="K1924">
        <v>93905.944383025766</v>
      </c>
    </row>
    <row r="1925" spans="1:11" x14ac:dyDescent="0.25">
      <c r="A1925" t="s">
        <v>1045</v>
      </c>
      <c r="B1925" t="s">
        <v>1046</v>
      </c>
      <c r="C1925" s="1">
        <v>41722</v>
      </c>
      <c r="D1925" s="1">
        <v>41726</v>
      </c>
      <c r="E1925">
        <v>22601</v>
      </c>
      <c r="F1925" t="s">
        <v>318</v>
      </c>
      <c r="G1925" t="s">
        <v>16</v>
      </c>
      <c r="H1925" t="s">
        <v>5493</v>
      </c>
      <c r="I1925">
        <v>2.3245</v>
      </c>
      <c r="J1925">
        <v>257773.82</v>
      </c>
      <c r="K1925">
        <v>110894.30845343084</v>
      </c>
    </row>
    <row r="1926" spans="1:11" x14ac:dyDescent="0.25">
      <c r="A1926" t="s">
        <v>2072</v>
      </c>
      <c r="B1926" t="s">
        <v>321</v>
      </c>
      <c r="C1926" s="1">
        <v>41722</v>
      </c>
      <c r="D1926" s="1">
        <v>41725</v>
      </c>
      <c r="E1926">
        <v>22844</v>
      </c>
      <c r="F1926" t="s">
        <v>311</v>
      </c>
      <c r="G1926" t="s">
        <v>16</v>
      </c>
      <c r="H1926" t="s">
        <v>2073</v>
      </c>
      <c r="I1926">
        <v>2.3245</v>
      </c>
      <c r="J1926">
        <v>371824</v>
      </c>
      <c r="K1926">
        <v>159958.70079587007</v>
      </c>
    </row>
    <row r="1927" spans="1:11" x14ac:dyDescent="0.25">
      <c r="A1927" t="s">
        <v>976</v>
      </c>
      <c r="B1927" t="s">
        <v>977</v>
      </c>
      <c r="C1927" s="1">
        <v>41655</v>
      </c>
      <c r="D1927" s="1">
        <v>41730</v>
      </c>
      <c r="E1927">
        <v>20661</v>
      </c>
      <c r="F1927" t="s">
        <v>309</v>
      </c>
      <c r="G1927" t="s">
        <v>16</v>
      </c>
      <c r="H1927" t="s">
        <v>5494</v>
      </c>
      <c r="I1927">
        <v>2.347</v>
      </c>
      <c r="J1927">
        <v>23596.94</v>
      </c>
      <c r="K1927">
        <v>10054.086067319982</v>
      </c>
    </row>
    <row r="1928" spans="1:11" x14ac:dyDescent="0.25">
      <c r="A1928" t="s">
        <v>1048</v>
      </c>
      <c r="C1928" s="1">
        <v>41751</v>
      </c>
      <c r="D1928" s="1">
        <v>41752</v>
      </c>
      <c r="E1928">
        <v>22793</v>
      </c>
      <c r="F1928" t="s">
        <v>421</v>
      </c>
      <c r="G1928" t="s">
        <v>16</v>
      </c>
      <c r="H1928" t="s">
        <v>5495</v>
      </c>
      <c r="I1928">
        <v>2.2482000000000002</v>
      </c>
      <c r="J1928">
        <v>41.42</v>
      </c>
      <c r="K1928">
        <v>18.423627791121785</v>
      </c>
    </row>
    <row r="1929" spans="1:11" x14ac:dyDescent="0.25">
      <c r="A1929" t="s">
        <v>1048</v>
      </c>
      <c r="C1929" s="1">
        <v>41751</v>
      </c>
      <c r="D1929" s="1">
        <v>41752</v>
      </c>
      <c r="E1929">
        <v>22793</v>
      </c>
      <c r="F1929" t="s">
        <v>421</v>
      </c>
      <c r="G1929" t="s">
        <v>16</v>
      </c>
      <c r="H1929" t="s">
        <v>2074</v>
      </c>
      <c r="I1929">
        <v>2.2482000000000002</v>
      </c>
      <c r="J1929">
        <v>153.56</v>
      </c>
      <c r="K1929">
        <v>68.303531714260302</v>
      </c>
    </row>
    <row r="1930" spans="1:11" x14ac:dyDescent="0.25">
      <c r="A1930" t="s">
        <v>1048</v>
      </c>
      <c r="C1930" s="1">
        <v>41751</v>
      </c>
      <c r="D1930" s="1">
        <v>41752</v>
      </c>
      <c r="E1930">
        <v>22793</v>
      </c>
      <c r="F1930" t="s">
        <v>421</v>
      </c>
      <c r="G1930" t="s">
        <v>16</v>
      </c>
      <c r="H1930" t="s">
        <v>5496</v>
      </c>
      <c r="I1930">
        <v>2.2482000000000002</v>
      </c>
      <c r="J1930">
        <v>152.46</v>
      </c>
      <c r="K1930">
        <v>67.814251401120899</v>
      </c>
    </row>
    <row r="1931" spans="1:11" x14ac:dyDescent="0.25">
      <c r="A1931" t="s">
        <v>1057</v>
      </c>
      <c r="B1931" t="s">
        <v>1058</v>
      </c>
      <c r="C1931" s="1">
        <v>41782</v>
      </c>
      <c r="D1931" s="1">
        <v>41789</v>
      </c>
      <c r="E1931">
        <v>19681</v>
      </c>
      <c r="F1931" t="s">
        <v>309</v>
      </c>
      <c r="G1931" t="s">
        <v>16</v>
      </c>
      <c r="H1931" t="s">
        <v>5497</v>
      </c>
      <c r="I1931">
        <v>2.2130999999999998</v>
      </c>
      <c r="J1931">
        <v>25614.34</v>
      </c>
      <c r="K1931">
        <v>11573.964122723781</v>
      </c>
    </row>
    <row r="1932" spans="1:11" x14ac:dyDescent="0.25">
      <c r="A1932" t="s">
        <v>1060</v>
      </c>
      <c r="B1932" t="s">
        <v>1061</v>
      </c>
      <c r="C1932" s="1">
        <v>41785</v>
      </c>
      <c r="D1932" s="1">
        <v>41787</v>
      </c>
      <c r="E1932">
        <v>19976</v>
      </c>
      <c r="F1932" t="s">
        <v>309</v>
      </c>
      <c r="G1932" t="s">
        <v>16</v>
      </c>
      <c r="H1932" t="s">
        <v>2075</v>
      </c>
      <c r="I1932">
        <v>2.2187000000000001</v>
      </c>
      <c r="J1932">
        <v>22759.52</v>
      </c>
      <c r="K1932">
        <v>10258.04299815207</v>
      </c>
    </row>
    <row r="1933" spans="1:11" x14ac:dyDescent="0.25">
      <c r="A1933" t="s">
        <v>1060</v>
      </c>
      <c r="B1933" t="s">
        <v>1061</v>
      </c>
      <c r="C1933" s="1">
        <v>41781</v>
      </c>
      <c r="D1933" s="1">
        <v>41788</v>
      </c>
      <c r="E1933">
        <v>19976</v>
      </c>
      <c r="F1933" t="s">
        <v>309</v>
      </c>
      <c r="G1933" t="s">
        <v>16</v>
      </c>
      <c r="H1933" t="s">
        <v>2076</v>
      </c>
      <c r="I1933">
        <v>2.2111000000000001</v>
      </c>
      <c r="J1933">
        <v>25765.35</v>
      </c>
      <c r="K1933">
        <v>11652.729410700556</v>
      </c>
    </row>
    <row r="1934" spans="1:11" x14ac:dyDescent="0.25">
      <c r="A1934" t="s">
        <v>1060</v>
      </c>
      <c r="B1934" t="s">
        <v>1061</v>
      </c>
      <c r="C1934" s="1">
        <v>41783</v>
      </c>
      <c r="D1934" s="1">
        <v>41785</v>
      </c>
      <c r="E1934">
        <v>19976</v>
      </c>
      <c r="F1934" t="s">
        <v>309</v>
      </c>
      <c r="G1934" t="s">
        <v>16</v>
      </c>
      <c r="H1934" t="s">
        <v>2077</v>
      </c>
      <c r="I1934">
        <v>2.2187000000000001</v>
      </c>
      <c r="J1934">
        <v>36925.79</v>
      </c>
      <c r="K1934">
        <v>16642.984630639563</v>
      </c>
    </row>
    <row r="1935" spans="1:11" x14ac:dyDescent="0.25">
      <c r="A1935" t="s">
        <v>2078</v>
      </c>
      <c r="B1935" t="s">
        <v>2079</v>
      </c>
      <c r="C1935" s="1">
        <v>41758</v>
      </c>
      <c r="D1935" s="1">
        <v>41769</v>
      </c>
      <c r="E1935">
        <v>22756</v>
      </c>
      <c r="F1935" t="s">
        <v>301</v>
      </c>
      <c r="G1935" t="s">
        <v>16</v>
      </c>
      <c r="H1935" t="s">
        <v>2080</v>
      </c>
      <c r="I1935">
        <v>2.2370000000000001</v>
      </c>
      <c r="J1935">
        <v>57329.99</v>
      </c>
      <c r="K1935">
        <v>25628.068842199373</v>
      </c>
    </row>
    <row r="1936" spans="1:11" x14ac:dyDescent="0.25">
      <c r="A1936" t="s">
        <v>1036</v>
      </c>
      <c r="B1936" t="s">
        <v>1037</v>
      </c>
      <c r="C1936" s="1">
        <v>41757</v>
      </c>
      <c r="D1936" s="1">
        <v>41778</v>
      </c>
      <c r="E1936">
        <v>21505</v>
      </c>
      <c r="F1936" t="s">
        <v>309</v>
      </c>
      <c r="G1936" t="s">
        <v>16</v>
      </c>
      <c r="H1936" t="s">
        <v>2081</v>
      </c>
      <c r="I1936">
        <v>2.2324999999999999</v>
      </c>
      <c r="J1936">
        <v>144979.20000000001</v>
      </c>
      <c r="K1936">
        <v>64940.291153415455</v>
      </c>
    </row>
    <row r="1937" spans="1:11" x14ac:dyDescent="0.25">
      <c r="A1937" t="s">
        <v>5498</v>
      </c>
      <c r="B1937" t="s">
        <v>5499</v>
      </c>
      <c r="C1937" s="1">
        <v>41765</v>
      </c>
      <c r="D1937" s="1">
        <v>41778</v>
      </c>
      <c r="E1937">
        <v>22768</v>
      </c>
      <c r="F1937" t="s">
        <v>278</v>
      </c>
      <c r="G1937" t="s">
        <v>16</v>
      </c>
      <c r="H1937" t="s">
        <v>5500</v>
      </c>
      <c r="I1937">
        <v>2.2286000000000001</v>
      </c>
      <c r="J1937">
        <v>69960</v>
      </c>
      <c r="K1937">
        <v>31391.905231984205</v>
      </c>
    </row>
    <row r="1938" spans="1:11" x14ac:dyDescent="0.25">
      <c r="A1938" t="s">
        <v>1057</v>
      </c>
      <c r="B1938" t="s">
        <v>1058</v>
      </c>
      <c r="C1938" s="1">
        <v>41783</v>
      </c>
      <c r="D1938" s="1">
        <v>41794</v>
      </c>
      <c r="E1938">
        <v>19681</v>
      </c>
      <c r="F1938" t="s">
        <v>309</v>
      </c>
      <c r="G1938" t="s">
        <v>16</v>
      </c>
      <c r="H1938" t="s">
        <v>2082</v>
      </c>
      <c r="I1938">
        <v>2.2187000000000001</v>
      </c>
      <c r="J1938">
        <v>23938.84</v>
      </c>
      <c r="K1938">
        <v>10789.579483481319</v>
      </c>
    </row>
    <row r="1939" spans="1:11" x14ac:dyDescent="0.25">
      <c r="A1939" t="s">
        <v>1057</v>
      </c>
      <c r="B1939" t="s">
        <v>1058</v>
      </c>
      <c r="C1939" s="1">
        <v>41788</v>
      </c>
      <c r="D1939" s="1">
        <v>41794</v>
      </c>
      <c r="E1939">
        <v>19681</v>
      </c>
      <c r="F1939" t="s">
        <v>309</v>
      </c>
      <c r="G1939" t="s">
        <v>16</v>
      </c>
      <c r="H1939" t="s">
        <v>5501</v>
      </c>
      <c r="I1939">
        <v>2.2404999999999999</v>
      </c>
      <c r="J1939">
        <v>36458.370000000003</v>
      </c>
      <c r="K1939">
        <v>16272.425797812988</v>
      </c>
    </row>
    <row r="1940" spans="1:11" x14ac:dyDescent="0.25">
      <c r="A1940" t="s">
        <v>1060</v>
      </c>
      <c r="B1940" t="s">
        <v>1061</v>
      </c>
      <c r="C1940" s="1">
        <v>41785</v>
      </c>
      <c r="D1940" s="1">
        <v>41792</v>
      </c>
      <c r="E1940">
        <v>19976</v>
      </c>
      <c r="F1940" t="s">
        <v>309</v>
      </c>
      <c r="G1940" t="s">
        <v>16</v>
      </c>
      <c r="H1940" t="s">
        <v>2083</v>
      </c>
      <c r="I1940">
        <v>2.2187000000000001</v>
      </c>
      <c r="J1940">
        <v>36307.360000000001</v>
      </c>
      <c r="K1940">
        <v>16364.249335196286</v>
      </c>
    </row>
    <row r="1941" spans="1:11" x14ac:dyDescent="0.25">
      <c r="A1941" t="s">
        <v>1060</v>
      </c>
      <c r="B1941" t="s">
        <v>1061</v>
      </c>
      <c r="C1941" s="1">
        <v>41796</v>
      </c>
      <c r="D1941" s="1">
        <v>41800</v>
      </c>
      <c r="E1941">
        <v>19976</v>
      </c>
      <c r="F1941" t="s">
        <v>309</v>
      </c>
      <c r="G1941" t="s">
        <v>16</v>
      </c>
      <c r="H1941" t="s">
        <v>5502</v>
      </c>
      <c r="I1941">
        <v>2.2694999999999999</v>
      </c>
      <c r="J1941">
        <v>35120.839999999997</v>
      </c>
      <c r="K1941">
        <v>15475.144304912976</v>
      </c>
    </row>
    <row r="1942" spans="1:11" x14ac:dyDescent="0.25">
      <c r="A1942" t="s">
        <v>1060</v>
      </c>
      <c r="B1942" t="s">
        <v>1061</v>
      </c>
      <c r="C1942" s="1">
        <v>41787</v>
      </c>
      <c r="D1942" s="1">
        <v>41789</v>
      </c>
      <c r="E1942">
        <v>19976</v>
      </c>
      <c r="F1942" t="s">
        <v>309</v>
      </c>
      <c r="G1942" t="s">
        <v>16</v>
      </c>
      <c r="H1942" t="s">
        <v>2084</v>
      </c>
      <c r="I1942">
        <v>2.2353999999999998</v>
      </c>
      <c r="J1942">
        <v>26649.85</v>
      </c>
      <c r="K1942">
        <v>11921.736601950433</v>
      </c>
    </row>
    <row r="1943" spans="1:11" x14ac:dyDescent="0.25">
      <c r="A1943" t="s">
        <v>1060</v>
      </c>
      <c r="B1943" t="s">
        <v>1061</v>
      </c>
      <c r="C1943" s="1">
        <v>41788</v>
      </c>
      <c r="D1943" s="1">
        <v>41792</v>
      </c>
      <c r="E1943">
        <v>19976</v>
      </c>
      <c r="F1943" t="s">
        <v>309</v>
      </c>
      <c r="G1943" t="s">
        <v>16</v>
      </c>
      <c r="H1943" t="s">
        <v>5503</v>
      </c>
      <c r="I1943">
        <v>2.2404999999999999</v>
      </c>
      <c r="J1943">
        <v>35595.449999999997</v>
      </c>
      <c r="K1943">
        <v>15887.279625083687</v>
      </c>
    </row>
    <row r="1944" spans="1:11" x14ac:dyDescent="0.25">
      <c r="A1944" t="s">
        <v>1060</v>
      </c>
      <c r="B1944" t="s">
        <v>1061</v>
      </c>
      <c r="C1944" s="1">
        <v>41790</v>
      </c>
      <c r="D1944" s="1">
        <v>41795</v>
      </c>
      <c r="E1944">
        <v>19976</v>
      </c>
      <c r="F1944" t="s">
        <v>309</v>
      </c>
      <c r="G1944" t="s">
        <v>16</v>
      </c>
      <c r="H1944" t="s">
        <v>2085</v>
      </c>
      <c r="I1944">
        <v>2.2389999999999999</v>
      </c>
      <c r="J1944">
        <v>36609.379999999997</v>
      </c>
      <c r="K1944">
        <v>16350.772666368915</v>
      </c>
    </row>
    <row r="1945" spans="1:11" x14ac:dyDescent="0.25">
      <c r="A1945" t="s">
        <v>1072</v>
      </c>
      <c r="B1945" t="s">
        <v>1073</v>
      </c>
      <c r="C1945" s="1">
        <v>41823</v>
      </c>
      <c r="D1945" s="1">
        <v>41826</v>
      </c>
      <c r="E1945">
        <v>19972</v>
      </c>
      <c r="F1945" t="s">
        <v>368</v>
      </c>
      <c r="G1945" t="s">
        <v>16</v>
      </c>
      <c r="H1945" t="s">
        <v>2086</v>
      </c>
      <c r="I1945">
        <v>2.2134</v>
      </c>
      <c r="J1945">
        <v>23777.69</v>
      </c>
      <c r="K1945">
        <v>10742.608656365772</v>
      </c>
    </row>
    <row r="1946" spans="1:11" x14ac:dyDescent="0.25">
      <c r="A1946" t="s">
        <v>1072</v>
      </c>
      <c r="B1946" t="s">
        <v>1073</v>
      </c>
      <c r="C1946" s="1">
        <v>41823</v>
      </c>
      <c r="D1946" s="1">
        <v>41827</v>
      </c>
      <c r="E1946">
        <v>19972</v>
      </c>
      <c r="F1946" t="s">
        <v>368</v>
      </c>
      <c r="G1946" t="s">
        <v>16</v>
      </c>
      <c r="H1946" t="s">
        <v>5504</v>
      </c>
      <c r="I1946">
        <v>2.2134</v>
      </c>
      <c r="J1946">
        <v>24974.560000000001</v>
      </c>
      <c r="K1946">
        <v>11283.346887141954</v>
      </c>
    </row>
    <row r="1947" spans="1:11" x14ac:dyDescent="0.25">
      <c r="A1947" t="s">
        <v>1072</v>
      </c>
      <c r="B1947" t="s">
        <v>1073</v>
      </c>
      <c r="C1947" s="1">
        <v>41825</v>
      </c>
      <c r="D1947" s="1">
        <v>41827</v>
      </c>
      <c r="E1947">
        <v>19972</v>
      </c>
      <c r="F1947" t="s">
        <v>368</v>
      </c>
      <c r="G1947" t="s">
        <v>16</v>
      </c>
      <c r="H1947" t="s">
        <v>2087</v>
      </c>
      <c r="I1947">
        <v>2.2149000000000001</v>
      </c>
      <c r="J1947">
        <v>32887.160000000003</v>
      </c>
      <c r="K1947">
        <v>14848.14664318931</v>
      </c>
    </row>
    <row r="1948" spans="1:11" x14ac:dyDescent="0.25">
      <c r="A1948" t="s">
        <v>1072</v>
      </c>
      <c r="B1948" t="s">
        <v>1073</v>
      </c>
      <c r="C1948" s="1">
        <v>41822</v>
      </c>
      <c r="D1948" s="1">
        <v>41825</v>
      </c>
      <c r="E1948">
        <v>19972</v>
      </c>
      <c r="F1948" t="s">
        <v>368</v>
      </c>
      <c r="G1948" t="s">
        <v>16</v>
      </c>
      <c r="H1948" t="s">
        <v>5505</v>
      </c>
      <c r="I1948">
        <v>2.2054</v>
      </c>
      <c r="J1948">
        <v>33738.26</v>
      </c>
      <c r="K1948">
        <v>15298.023034370182</v>
      </c>
    </row>
    <row r="1949" spans="1:11" x14ac:dyDescent="0.25">
      <c r="A1949" t="s">
        <v>5506</v>
      </c>
      <c r="B1949" t="s">
        <v>5507</v>
      </c>
      <c r="C1949" s="1">
        <v>41820</v>
      </c>
      <c r="D1949" s="1">
        <v>41827</v>
      </c>
      <c r="E1949">
        <v>23199</v>
      </c>
      <c r="F1949" t="s">
        <v>311</v>
      </c>
      <c r="G1949" t="s">
        <v>16</v>
      </c>
      <c r="H1949" t="s">
        <v>5508</v>
      </c>
      <c r="I1949">
        <v>2.1974999999999998</v>
      </c>
      <c r="J1949">
        <v>73156.77</v>
      </c>
      <c r="K1949">
        <v>33290.907849829353</v>
      </c>
    </row>
    <row r="1950" spans="1:11" x14ac:dyDescent="0.25">
      <c r="A1950" t="s">
        <v>2088</v>
      </c>
      <c r="B1950" t="s">
        <v>2089</v>
      </c>
      <c r="C1950" s="1">
        <v>41835</v>
      </c>
      <c r="D1950" s="1">
        <v>41842</v>
      </c>
      <c r="E1950">
        <v>19979</v>
      </c>
      <c r="F1950" t="s">
        <v>301</v>
      </c>
      <c r="G1950" t="s">
        <v>16</v>
      </c>
      <c r="H1950" t="s">
        <v>2090</v>
      </c>
      <c r="I1950">
        <v>2.2176</v>
      </c>
      <c r="J1950">
        <v>57959.99</v>
      </c>
      <c r="K1950">
        <v>26136.359126984127</v>
      </c>
    </row>
    <row r="1951" spans="1:11" x14ac:dyDescent="0.25">
      <c r="A1951" t="s">
        <v>2088</v>
      </c>
      <c r="B1951" t="s">
        <v>2089</v>
      </c>
      <c r="C1951" s="1">
        <v>41835</v>
      </c>
      <c r="D1951" s="1">
        <v>41842</v>
      </c>
      <c r="E1951">
        <v>19979</v>
      </c>
      <c r="F1951" t="s">
        <v>301</v>
      </c>
      <c r="G1951" t="s">
        <v>16</v>
      </c>
      <c r="H1951" t="s">
        <v>5509</v>
      </c>
      <c r="I1951">
        <v>2.2176</v>
      </c>
      <c r="J1951">
        <v>57959.99</v>
      </c>
      <c r="K1951">
        <v>26136.359126984127</v>
      </c>
    </row>
    <row r="1952" spans="1:11" x14ac:dyDescent="0.25">
      <c r="A1952" t="s">
        <v>2088</v>
      </c>
      <c r="B1952" t="s">
        <v>2089</v>
      </c>
      <c r="C1952" s="1">
        <v>41835</v>
      </c>
      <c r="D1952" s="1">
        <v>41842</v>
      </c>
      <c r="E1952">
        <v>19979</v>
      </c>
      <c r="F1952" t="s">
        <v>301</v>
      </c>
      <c r="G1952" t="s">
        <v>16</v>
      </c>
      <c r="H1952" t="s">
        <v>2653</v>
      </c>
      <c r="I1952">
        <v>2.2176</v>
      </c>
      <c r="J1952">
        <v>57959.99</v>
      </c>
      <c r="K1952">
        <v>26136.359126984127</v>
      </c>
    </row>
    <row r="1953" spans="1:11" x14ac:dyDescent="0.25">
      <c r="A1953" t="s">
        <v>1057</v>
      </c>
      <c r="B1953" t="s">
        <v>1058</v>
      </c>
      <c r="C1953" s="1">
        <v>41788</v>
      </c>
      <c r="D1953" s="1">
        <v>41807</v>
      </c>
      <c r="E1953">
        <v>19681</v>
      </c>
      <c r="F1953" t="s">
        <v>309</v>
      </c>
      <c r="G1953" t="s">
        <v>16</v>
      </c>
      <c r="H1953" t="s">
        <v>2091</v>
      </c>
      <c r="I1953">
        <v>2.2404999999999999</v>
      </c>
      <c r="J1953">
        <v>36328.93</v>
      </c>
      <c r="K1953">
        <v>16214.652979245704</v>
      </c>
    </row>
    <row r="1954" spans="1:11" x14ac:dyDescent="0.25">
      <c r="A1954" t="s">
        <v>1072</v>
      </c>
      <c r="B1954" t="s">
        <v>1073</v>
      </c>
      <c r="C1954" s="1">
        <v>41829</v>
      </c>
      <c r="D1954" s="1">
        <v>41831</v>
      </c>
      <c r="E1954">
        <v>19972</v>
      </c>
      <c r="F1954" t="s">
        <v>368</v>
      </c>
      <c r="G1954" t="s">
        <v>16</v>
      </c>
      <c r="H1954" t="s">
        <v>2092</v>
      </c>
      <c r="I1954">
        <v>2.2149999999999999</v>
      </c>
      <c r="J1954">
        <v>22926.59</v>
      </c>
      <c r="K1954">
        <v>10350.604966139956</v>
      </c>
    </row>
    <row r="1955" spans="1:11" x14ac:dyDescent="0.25">
      <c r="A1955" t="s">
        <v>1072</v>
      </c>
      <c r="B1955" t="s">
        <v>1073</v>
      </c>
      <c r="C1955" s="1">
        <v>41829</v>
      </c>
      <c r="D1955" s="1">
        <v>41832</v>
      </c>
      <c r="E1955">
        <v>19972</v>
      </c>
      <c r="F1955" t="s">
        <v>368</v>
      </c>
      <c r="G1955" t="s">
        <v>16</v>
      </c>
      <c r="H1955" t="s">
        <v>2093</v>
      </c>
      <c r="I1955">
        <v>2.2149999999999999</v>
      </c>
      <c r="J1955">
        <v>1263.3599999999999</v>
      </c>
      <c r="K1955">
        <v>570.36568848758463</v>
      </c>
    </row>
    <row r="1956" spans="1:11" x14ac:dyDescent="0.25">
      <c r="A1956" t="s">
        <v>1072</v>
      </c>
      <c r="B1956" t="s">
        <v>1073</v>
      </c>
      <c r="C1956" s="1">
        <v>41832</v>
      </c>
      <c r="D1956" s="1">
        <v>41834</v>
      </c>
      <c r="E1956">
        <v>19972</v>
      </c>
      <c r="F1956" t="s">
        <v>368</v>
      </c>
      <c r="G1956" t="s">
        <v>16</v>
      </c>
      <c r="H1956" t="s">
        <v>2094</v>
      </c>
      <c r="I1956">
        <v>2.2227999999999999</v>
      </c>
      <c r="J1956">
        <v>33924.44</v>
      </c>
      <c r="K1956">
        <v>15262.029872233219</v>
      </c>
    </row>
    <row r="1957" spans="1:11" x14ac:dyDescent="0.25">
      <c r="A1957" t="s">
        <v>1072</v>
      </c>
      <c r="B1957" t="s">
        <v>1073</v>
      </c>
      <c r="C1957" s="1">
        <v>41830</v>
      </c>
      <c r="D1957" s="1">
        <v>41834</v>
      </c>
      <c r="E1957">
        <v>19972</v>
      </c>
      <c r="F1957" t="s">
        <v>368</v>
      </c>
      <c r="G1957" t="s">
        <v>16</v>
      </c>
      <c r="H1957" t="s">
        <v>2095</v>
      </c>
      <c r="I1957">
        <v>2.2139000000000002</v>
      </c>
      <c r="J1957">
        <v>21157.9</v>
      </c>
      <c r="K1957">
        <v>9556.8453859704587</v>
      </c>
    </row>
    <row r="1958" spans="1:11" x14ac:dyDescent="0.25">
      <c r="A1958" t="s">
        <v>1072</v>
      </c>
      <c r="B1958" t="s">
        <v>1073</v>
      </c>
      <c r="C1958" s="1">
        <v>41835</v>
      </c>
      <c r="D1958" s="1">
        <v>41837</v>
      </c>
      <c r="E1958">
        <v>19972</v>
      </c>
      <c r="F1958" t="s">
        <v>368</v>
      </c>
      <c r="G1958" t="s">
        <v>16</v>
      </c>
      <c r="H1958" t="s">
        <v>2096</v>
      </c>
      <c r="I1958">
        <v>2.2176</v>
      </c>
      <c r="J1958">
        <v>34283.5</v>
      </c>
      <c r="K1958">
        <v>15459.73124098124</v>
      </c>
    </row>
    <row r="1959" spans="1:11" x14ac:dyDescent="0.25">
      <c r="A1959" t="s">
        <v>1075</v>
      </c>
      <c r="B1959" t="s">
        <v>1076</v>
      </c>
      <c r="C1959" s="1">
        <v>41830</v>
      </c>
      <c r="D1959" s="1">
        <v>41834</v>
      </c>
      <c r="E1959">
        <v>19680</v>
      </c>
      <c r="F1959" t="s">
        <v>368</v>
      </c>
      <c r="G1959" t="s">
        <v>16</v>
      </c>
      <c r="H1959" t="s">
        <v>5215</v>
      </c>
      <c r="I1959">
        <v>2.2139000000000002</v>
      </c>
      <c r="J1959">
        <v>24442.62</v>
      </c>
      <c r="K1959">
        <v>11040.525769004924</v>
      </c>
    </row>
    <row r="1960" spans="1:11" x14ac:dyDescent="0.25">
      <c r="A1960" t="s">
        <v>1075</v>
      </c>
      <c r="B1960" t="s">
        <v>1076</v>
      </c>
      <c r="C1960" s="1">
        <v>41830</v>
      </c>
      <c r="D1960" s="1">
        <v>41834</v>
      </c>
      <c r="E1960">
        <v>19680</v>
      </c>
      <c r="F1960" t="s">
        <v>368</v>
      </c>
      <c r="G1960" t="s">
        <v>16</v>
      </c>
      <c r="H1960" t="s">
        <v>2097</v>
      </c>
      <c r="I1960">
        <v>2.2139000000000002</v>
      </c>
      <c r="J1960">
        <v>33671.769999999997</v>
      </c>
      <c r="K1960">
        <v>15209.255160576358</v>
      </c>
    </row>
    <row r="1961" spans="1:11" x14ac:dyDescent="0.25">
      <c r="A1961" t="s">
        <v>1075</v>
      </c>
      <c r="B1961" t="s">
        <v>1076</v>
      </c>
      <c r="C1961" s="1">
        <v>41831</v>
      </c>
      <c r="D1961" s="1">
        <v>41834</v>
      </c>
      <c r="E1961">
        <v>19680</v>
      </c>
      <c r="F1961" t="s">
        <v>368</v>
      </c>
      <c r="G1961" t="s">
        <v>16</v>
      </c>
      <c r="H1961" t="s">
        <v>5510</v>
      </c>
      <c r="I1961">
        <v>2.2237</v>
      </c>
      <c r="J1961">
        <v>24721.89</v>
      </c>
      <c r="K1961">
        <v>11117.457390835094</v>
      </c>
    </row>
    <row r="1962" spans="1:11" x14ac:dyDescent="0.25">
      <c r="A1962" t="s">
        <v>1006</v>
      </c>
      <c r="B1962" t="s">
        <v>1007</v>
      </c>
      <c r="C1962" s="1">
        <v>41657</v>
      </c>
      <c r="D1962" s="1">
        <v>41657</v>
      </c>
      <c r="E1962">
        <v>19036</v>
      </c>
      <c r="F1962" t="s">
        <v>887</v>
      </c>
      <c r="G1962" t="s">
        <v>16</v>
      </c>
      <c r="H1962" t="s">
        <v>5511</v>
      </c>
      <c r="I1962">
        <v>2.3601000000000001</v>
      </c>
      <c r="J1962">
        <v>41456.339999999997</v>
      </c>
      <c r="K1962">
        <v>17565.501461802465</v>
      </c>
    </row>
    <row r="1963" spans="1:11" x14ac:dyDescent="0.25">
      <c r="A1963" t="s">
        <v>1072</v>
      </c>
      <c r="B1963" t="s">
        <v>1073</v>
      </c>
      <c r="C1963" s="1">
        <v>41828</v>
      </c>
      <c r="D1963" s="1">
        <v>41830</v>
      </c>
      <c r="E1963">
        <v>19972</v>
      </c>
      <c r="F1963" t="s">
        <v>368</v>
      </c>
      <c r="G1963" t="s">
        <v>16</v>
      </c>
      <c r="H1963" t="s">
        <v>2098</v>
      </c>
      <c r="I1963">
        <v>2.2201</v>
      </c>
      <c r="J1963">
        <v>34030.83</v>
      </c>
      <c r="K1963">
        <v>15328.512229178867</v>
      </c>
    </row>
    <row r="1964" spans="1:11" x14ac:dyDescent="0.25">
      <c r="A1964" t="s">
        <v>1072</v>
      </c>
      <c r="B1964" t="s">
        <v>1073</v>
      </c>
      <c r="C1964" s="1">
        <v>41830</v>
      </c>
      <c r="D1964" s="1">
        <v>41831</v>
      </c>
      <c r="E1964">
        <v>19972</v>
      </c>
      <c r="F1964" t="s">
        <v>368</v>
      </c>
      <c r="G1964" t="s">
        <v>16</v>
      </c>
      <c r="H1964" t="s">
        <v>5512</v>
      </c>
      <c r="I1964">
        <v>2.2139000000000002</v>
      </c>
      <c r="J1964">
        <v>33379.199999999997</v>
      </c>
      <c r="K1964">
        <v>15077.10375355707</v>
      </c>
    </row>
    <row r="1965" spans="1:11" x14ac:dyDescent="0.25">
      <c r="A1965" t="s">
        <v>1072</v>
      </c>
      <c r="B1965" t="s">
        <v>1073</v>
      </c>
      <c r="C1965" s="1">
        <v>41829</v>
      </c>
      <c r="D1965" s="1">
        <v>41831</v>
      </c>
      <c r="E1965">
        <v>19972</v>
      </c>
      <c r="F1965" t="s">
        <v>368</v>
      </c>
      <c r="G1965" t="s">
        <v>16</v>
      </c>
      <c r="H1965" t="s">
        <v>5513</v>
      </c>
      <c r="I1965">
        <v>2.2149999999999999</v>
      </c>
      <c r="J1965">
        <v>32368.51</v>
      </c>
      <c r="K1965">
        <v>14613.322799097066</v>
      </c>
    </row>
    <row r="1966" spans="1:11" x14ac:dyDescent="0.25">
      <c r="A1966" t="s">
        <v>1072</v>
      </c>
      <c r="B1966" t="s">
        <v>1073</v>
      </c>
      <c r="C1966" s="1">
        <v>41829</v>
      </c>
      <c r="D1966" s="1">
        <v>41831</v>
      </c>
      <c r="E1966">
        <v>19972</v>
      </c>
      <c r="F1966" t="s">
        <v>368</v>
      </c>
      <c r="G1966" t="s">
        <v>16</v>
      </c>
      <c r="H1966" t="s">
        <v>2099</v>
      </c>
      <c r="I1966">
        <v>2.2149999999999999</v>
      </c>
      <c r="J1966">
        <v>23564.93</v>
      </c>
      <c r="K1966">
        <v>10638.794582392777</v>
      </c>
    </row>
    <row r="1967" spans="1:11" x14ac:dyDescent="0.25">
      <c r="A1967" t="s">
        <v>1558</v>
      </c>
      <c r="B1967" t="s">
        <v>1559</v>
      </c>
      <c r="C1967" s="1">
        <v>41562</v>
      </c>
      <c r="D1967" s="1">
        <v>41575</v>
      </c>
      <c r="E1967">
        <v>2</v>
      </c>
      <c r="F1967" t="s">
        <v>887</v>
      </c>
      <c r="G1967" t="s">
        <v>16</v>
      </c>
      <c r="H1967" t="s">
        <v>2100</v>
      </c>
      <c r="I1967">
        <v>2.1817000000000002</v>
      </c>
      <c r="J1967">
        <v>63597.279999999999</v>
      </c>
      <c r="K1967">
        <v>29150.332309666774</v>
      </c>
    </row>
    <row r="1968" spans="1:11" x14ac:dyDescent="0.25">
      <c r="A1968" t="s">
        <v>1075</v>
      </c>
      <c r="B1968" t="s">
        <v>1076</v>
      </c>
      <c r="C1968" s="1">
        <v>41832</v>
      </c>
      <c r="D1968" s="1">
        <v>41837</v>
      </c>
      <c r="E1968">
        <v>19680</v>
      </c>
      <c r="F1968" t="s">
        <v>368</v>
      </c>
      <c r="G1968" t="s">
        <v>16</v>
      </c>
      <c r="H1968" t="s">
        <v>2101</v>
      </c>
      <c r="I1968">
        <v>2.2227999999999999</v>
      </c>
      <c r="J1968">
        <v>21184.48</v>
      </c>
      <c r="K1968">
        <v>9530.5380601043726</v>
      </c>
    </row>
    <row r="1969" spans="1:11" x14ac:dyDescent="0.25">
      <c r="A1969" t="s">
        <v>1075</v>
      </c>
      <c r="B1969" t="s">
        <v>1076</v>
      </c>
      <c r="C1969" s="1">
        <v>41831</v>
      </c>
      <c r="D1969" s="1">
        <v>41837</v>
      </c>
      <c r="E1969">
        <v>19680</v>
      </c>
      <c r="F1969" t="s">
        <v>368</v>
      </c>
      <c r="G1969" t="s">
        <v>16</v>
      </c>
      <c r="H1969" t="s">
        <v>5514</v>
      </c>
      <c r="I1969">
        <v>2.2237</v>
      </c>
      <c r="J1969">
        <v>32980.26</v>
      </c>
      <c r="K1969">
        <v>14831.254215946396</v>
      </c>
    </row>
    <row r="1970" spans="1:11" x14ac:dyDescent="0.25">
      <c r="A1970" t="s">
        <v>1075</v>
      </c>
      <c r="B1970" t="s">
        <v>1076</v>
      </c>
      <c r="C1970" s="1">
        <v>41831</v>
      </c>
      <c r="D1970" s="1">
        <v>41837</v>
      </c>
      <c r="E1970">
        <v>19680</v>
      </c>
      <c r="F1970" t="s">
        <v>368</v>
      </c>
      <c r="G1970" t="s">
        <v>16</v>
      </c>
      <c r="H1970" t="s">
        <v>5515</v>
      </c>
      <c r="I1970">
        <v>2.2237</v>
      </c>
      <c r="J1970">
        <v>25067.66</v>
      </c>
      <c r="K1970">
        <v>11272.950487925529</v>
      </c>
    </row>
    <row r="1971" spans="1:11" x14ac:dyDescent="0.25">
      <c r="A1971" t="s">
        <v>1075</v>
      </c>
      <c r="B1971" t="s">
        <v>1076</v>
      </c>
      <c r="C1971" s="1">
        <v>41834</v>
      </c>
      <c r="D1971" s="1">
        <v>41837</v>
      </c>
      <c r="E1971">
        <v>19680</v>
      </c>
      <c r="F1971" t="s">
        <v>368</v>
      </c>
      <c r="G1971" t="s">
        <v>16</v>
      </c>
      <c r="H1971" t="s">
        <v>5516</v>
      </c>
      <c r="I1971">
        <v>2.2227999999999999</v>
      </c>
      <c r="J1971">
        <v>33565.379999999997</v>
      </c>
      <c r="K1971">
        <v>15100.494871333452</v>
      </c>
    </row>
    <row r="1972" spans="1:11" x14ac:dyDescent="0.25">
      <c r="A1972" t="s">
        <v>1075</v>
      </c>
      <c r="B1972" t="s">
        <v>1076</v>
      </c>
      <c r="C1972" s="1">
        <v>41834</v>
      </c>
      <c r="D1972" s="1">
        <v>41837</v>
      </c>
      <c r="E1972">
        <v>19680</v>
      </c>
      <c r="F1972" t="s">
        <v>368</v>
      </c>
      <c r="G1972" t="s">
        <v>16</v>
      </c>
      <c r="H1972" t="s">
        <v>2102</v>
      </c>
      <c r="I1972">
        <v>2.2227999999999999</v>
      </c>
      <c r="J1972">
        <v>25014.46</v>
      </c>
      <c r="K1972">
        <v>11253.58106892208</v>
      </c>
    </row>
    <row r="1973" spans="1:11" x14ac:dyDescent="0.25">
      <c r="A1973" t="s">
        <v>1072</v>
      </c>
      <c r="B1973" t="s">
        <v>1073</v>
      </c>
      <c r="C1973" s="1">
        <v>41827</v>
      </c>
      <c r="D1973" s="1">
        <v>41829</v>
      </c>
      <c r="E1973">
        <v>19972</v>
      </c>
      <c r="F1973" t="s">
        <v>368</v>
      </c>
      <c r="G1973" t="s">
        <v>16</v>
      </c>
      <c r="H1973" t="s">
        <v>5517</v>
      </c>
      <c r="I1973">
        <v>2.2149000000000001</v>
      </c>
      <c r="J1973">
        <v>23884.080000000002</v>
      </c>
      <c r="K1973">
        <v>10783.36719490722</v>
      </c>
    </row>
    <row r="1974" spans="1:11" x14ac:dyDescent="0.25">
      <c r="A1974" t="s">
        <v>1072</v>
      </c>
      <c r="B1974" t="s">
        <v>1073</v>
      </c>
      <c r="C1974" s="1">
        <v>41826</v>
      </c>
      <c r="D1974" s="1">
        <v>41828</v>
      </c>
      <c r="E1974">
        <v>19972</v>
      </c>
      <c r="F1974" t="s">
        <v>368</v>
      </c>
      <c r="G1974" t="s">
        <v>16</v>
      </c>
      <c r="H1974" t="s">
        <v>2103</v>
      </c>
      <c r="I1974">
        <v>2.2149000000000001</v>
      </c>
      <c r="J1974">
        <v>24828.29</v>
      </c>
      <c r="K1974">
        <v>11209.66635062531</v>
      </c>
    </row>
    <row r="1975" spans="1:11" x14ac:dyDescent="0.25">
      <c r="A1975" t="s">
        <v>896</v>
      </c>
      <c r="B1975" t="s">
        <v>897</v>
      </c>
      <c r="C1975" s="1">
        <v>41806</v>
      </c>
      <c r="D1975" s="1">
        <v>41813</v>
      </c>
      <c r="E1975">
        <v>296</v>
      </c>
      <c r="F1975" t="s">
        <v>887</v>
      </c>
      <c r="G1975" t="s">
        <v>16</v>
      </c>
      <c r="H1975" t="s">
        <v>5518</v>
      </c>
      <c r="I1975">
        <v>2.2347000000000001</v>
      </c>
      <c r="J1975">
        <v>39697.160000000003</v>
      </c>
      <c r="K1975">
        <v>17763.977267642189</v>
      </c>
    </row>
    <row r="1976" spans="1:11" x14ac:dyDescent="0.25">
      <c r="A1976" t="s">
        <v>1650</v>
      </c>
      <c r="B1976" t="s">
        <v>1651</v>
      </c>
      <c r="C1976" s="1">
        <v>41542</v>
      </c>
      <c r="D1976" s="1">
        <v>41561</v>
      </c>
      <c r="E1976">
        <v>23</v>
      </c>
      <c r="F1976" t="s">
        <v>887</v>
      </c>
      <c r="G1976" t="s">
        <v>16</v>
      </c>
      <c r="H1976" t="s">
        <v>5519</v>
      </c>
      <c r="I1976">
        <v>2.2031000000000001</v>
      </c>
      <c r="J1976">
        <v>35452.43</v>
      </c>
      <c r="K1976">
        <v>16092.065725568516</v>
      </c>
    </row>
    <row r="1977" spans="1:11" x14ac:dyDescent="0.25">
      <c r="A1977" t="s">
        <v>1075</v>
      </c>
      <c r="B1977" t="s">
        <v>1076</v>
      </c>
      <c r="C1977" s="1">
        <v>41866</v>
      </c>
      <c r="D1977" s="1">
        <v>41877</v>
      </c>
      <c r="E1977">
        <v>19680</v>
      </c>
      <c r="F1977" t="s">
        <v>368</v>
      </c>
      <c r="G1977" t="s">
        <v>16</v>
      </c>
      <c r="H1977" t="s">
        <v>2104</v>
      </c>
      <c r="I1977">
        <v>2.2703000000000002</v>
      </c>
      <c r="J1977">
        <v>28285.89</v>
      </c>
      <c r="K1977">
        <v>12459.097916574901</v>
      </c>
    </row>
    <row r="1978" spans="1:11" x14ac:dyDescent="0.25">
      <c r="A1978" t="s">
        <v>1072</v>
      </c>
      <c r="B1978" t="s">
        <v>1073</v>
      </c>
      <c r="C1978" s="1">
        <v>41859</v>
      </c>
      <c r="D1978" s="1">
        <v>41863</v>
      </c>
      <c r="E1978">
        <v>19972</v>
      </c>
      <c r="F1978" t="s">
        <v>368</v>
      </c>
      <c r="G1978" t="s">
        <v>16</v>
      </c>
      <c r="H1978" t="s">
        <v>2105</v>
      </c>
      <c r="I1978">
        <v>2.2801999999999998</v>
      </c>
      <c r="J1978">
        <v>24947.97</v>
      </c>
      <c r="K1978">
        <v>10941.132356810806</v>
      </c>
    </row>
    <row r="1979" spans="1:11" x14ac:dyDescent="0.25">
      <c r="A1979" t="s">
        <v>2590</v>
      </c>
      <c r="B1979" t="s">
        <v>2591</v>
      </c>
      <c r="C1979" s="1">
        <v>41849</v>
      </c>
      <c r="D1979" s="1">
        <v>41852</v>
      </c>
      <c r="E1979">
        <v>1</v>
      </c>
      <c r="F1979" t="s">
        <v>368</v>
      </c>
      <c r="G1979" t="s">
        <v>16</v>
      </c>
      <c r="H1979" t="s">
        <v>5520</v>
      </c>
      <c r="I1979">
        <v>2.2302</v>
      </c>
      <c r="J1979">
        <v>36369.019999999997</v>
      </c>
      <c r="K1979">
        <v>16307.515021074343</v>
      </c>
    </row>
    <row r="1980" spans="1:11" x14ac:dyDescent="0.25">
      <c r="A1980" t="s">
        <v>2590</v>
      </c>
      <c r="B1980" t="s">
        <v>2591</v>
      </c>
      <c r="C1980" s="1">
        <v>41850</v>
      </c>
      <c r="D1980" s="1">
        <v>41852</v>
      </c>
      <c r="E1980">
        <v>1</v>
      </c>
      <c r="F1980" t="s">
        <v>368</v>
      </c>
      <c r="G1980" t="s">
        <v>16</v>
      </c>
      <c r="H1980" t="s">
        <v>5521</v>
      </c>
      <c r="I1980">
        <v>2.2277999999999998</v>
      </c>
      <c r="J1980">
        <v>37022.35</v>
      </c>
      <c r="K1980">
        <v>16618.345452913189</v>
      </c>
    </row>
    <row r="1981" spans="1:11" x14ac:dyDescent="0.25">
      <c r="A1981" t="s">
        <v>1088</v>
      </c>
      <c r="B1981" t="s">
        <v>1089</v>
      </c>
      <c r="C1981" s="1">
        <v>41863</v>
      </c>
      <c r="D1981" s="1">
        <v>41866</v>
      </c>
      <c r="E1981">
        <v>2</v>
      </c>
      <c r="F1981" t="s">
        <v>368</v>
      </c>
      <c r="G1981" t="s">
        <v>16</v>
      </c>
      <c r="H1981" t="s">
        <v>5522</v>
      </c>
      <c r="I1981">
        <v>2.2778999999999998</v>
      </c>
      <c r="J1981">
        <v>38785.440000000002</v>
      </c>
      <c r="K1981">
        <v>17026.840510996972</v>
      </c>
    </row>
    <row r="1982" spans="1:11" x14ac:dyDescent="0.25">
      <c r="A1982" t="s">
        <v>1088</v>
      </c>
      <c r="B1982" t="s">
        <v>1089</v>
      </c>
      <c r="C1982" s="1">
        <v>41863</v>
      </c>
      <c r="D1982" s="1">
        <v>41866</v>
      </c>
      <c r="E1982">
        <v>2</v>
      </c>
      <c r="F1982" t="s">
        <v>368</v>
      </c>
      <c r="G1982" t="s">
        <v>16</v>
      </c>
      <c r="H1982" t="s">
        <v>5523</v>
      </c>
      <c r="I1982">
        <v>2.2778999999999998</v>
      </c>
      <c r="J1982">
        <v>28524.51</v>
      </c>
      <c r="K1982">
        <v>12522.283682338997</v>
      </c>
    </row>
    <row r="1983" spans="1:11" x14ac:dyDescent="0.25">
      <c r="A1983" t="s">
        <v>1088</v>
      </c>
      <c r="B1983" t="s">
        <v>1089</v>
      </c>
      <c r="C1983" s="1">
        <v>41863</v>
      </c>
      <c r="D1983" s="1">
        <v>41866</v>
      </c>
      <c r="E1983">
        <v>2</v>
      </c>
      <c r="F1983" t="s">
        <v>368</v>
      </c>
      <c r="G1983" t="s">
        <v>16</v>
      </c>
      <c r="H1983" t="s">
        <v>2106</v>
      </c>
      <c r="I1983">
        <v>2.2778999999999998</v>
      </c>
      <c r="J1983">
        <v>28009.19</v>
      </c>
      <c r="K1983">
        <v>12296.057772509768</v>
      </c>
    </row>
    <row r="1984" spans="1:11" x14ac:dyDescent="0.25">
      <c r="A1984" t="s">
        <v>1088</v>
      </c>
      <c r="B1984" t="s">
        <v>1089</v>
      </c>
      <c r="C1984" s="1">
        <v>41864</v>
      </c>
      <c r="D1984" s="1">
        <v>41866</v>
      </c>
      <c r="E1984">
        <v>2</v>
      </c>
      <c r="F1984" t="s">
        <v>368</v>
      </c>
      <c r="G1984" t="s">
        <v>16</v>
      </c>
      <c r="H1984" t="s">
        <v>5524</v>
      </c>
      <c r="I1984">
        <v>2.2770000000000001</v>
      </c>
      <c r="J1984">
        <v>37391.050000000003</v>
      </c>
      <c r="K1984">
        <v>16421.190162494509</v>
      </c>
    </row>
    <row r="1985" spans="1:11" x14ac:dyDescent="0.25">
      <c r="A1985" t="s">
        <v>1072</v>
      </c>
      <c r="B1985" t="s">
        <v>1073</v>
      </c>
      <c r="C1985" s="1">
        <v>41862</v>
      </c>
      <c r="D1985" s="1">
        <v>41864</v>
      </c>
      <c r="E1985">
        <v>19972</v>
      </c>
      <c r="F1985" t="s">
        <v>368</v>
      </c>
      <c r="G1985" t="s">
        <v>16</v>
      </c>
      <c r="H1985" t="s">
        <v>2107</v>
      </c>
      <c r="I1985">
        <v>2.2986</v>
      </c>
      <c r="J1985">
        <v>31889.79</v>
      </c>
      <c r="K1985">
        <v>13873.570869224746</v>
      </c>
    </row>
    <row r="1986" spans="1:11" x14ac:dyDescent="0.25">
      <c r="A1986" t="s">
        <v>1072</v>
      </c>
      <c r="B1986" t="s">
        <v>1073</v>
      </c>
      <c r="C1986" s="1">
        <v>41860</v>
      </c>
      <c r="D1986" s="1">
        <v>41862</v>
      </c>
      <c r="E1986">
        <v>19972</v>
      </c>
      <c r="F1986" t="s">
        <v>368</v>
      </c>
      <c r="G1986" t="s">
        <v>16</v>
      </c>
      <c r="H1986" t="s">
        <v>2108</v>
      </c>
      <c r="I1986">
        <v>2.2986</v>
      </c>
      <c r="J1986">
        <v>33724.97</v>
      </c>
      <c r="K1986">
        <v>14671.961193770121</v>
      </c>
    </row>
    <row r="1987" spans="1:11" x14ac:dyDescent="0.25">
      <c r="A1987" t="s">
        <v>1075</v>
      </c>
      <c r="B1987" t="s">
        <v>1076</v>
      </c>
      <c r="C1987" s="1">
        <v>41859</v>
      </c>
      <c r="D1987" s="1">
        <v>41862</v>
      </c>
      <c r="E1987">
        <v>19680</v>
      </c>
      <c r="F1987" t="s">
        <v>368</v>
      </c>
      <c r="G1987" t="s">
        <v>16</v>
      </c>
      <c r="H1987" t="s">
        <v>2109</v>
      </c>
      <c r="I1987">
        <v>2.2801999999999998</v>
      </c>
      <c r="J1987">
        <v>24854.87</v>
      </c>
      <c r="K1987">
        <v>10900.302605034645</v>
      </c>
    </row>
    <row r="1988" spans="1:11" x14ac:dyDescent="0.25">
      <c r="A1988" t="s">
        <v>1075</v>
      </c>
      <c r="B1988" t="s">
        <v>1076</v>
      </c>
      <c r="C1988" s="1">
        <v>41860</v>
      </c>
      <c r="D1988" s="1">
        <v>41862</v>
      </c>
      <c r="E1988">
        <v>19680</v>
      </c>
      <c r="F1988" t="s">
        <v>368</v>
      </c>
      <c r="G1988" t="s">
        <v>16</v>
      </c>
      <c r="H1988" t="s">
        <v>5525</v>
      </c>
      <c r="I1988">
        <v>2.2986</v>
      </c>
      <c r="J1988">
        <v>34017.54</v>
      </c>
      <c r="K1988">
        <v>14799.243017488907</v>
      </c>
    </row>
    <row r="1989" spans="1:11" x14ac:dyDescent="0.25">
      <c r="A1989" t="s">
        <v>1088</v>
      </c>
      <c r="B1989" t="s">
        <v>1089</v>
      </c>
      <c r="C1989" s="1">
        <v>41868</v>
      </c>
      <c r="D1989" s="1">
        <v>41870</v>
      </c>
      <c r="E1989">
        <v>2</v>
      </c>
      <c r="F1989" t="s">
        <v>368</v>
      </c>
      <c r="G1989" t="s">
        <v>16</v>
      </c>
      <c r="H1989" t="s">
        <v>526</v>
      </c>
      <c r="I1989">
        <v>2.2690000000000001</v>
      </c>
      <c r="J1989">
        <v>33223.01</v>
      </c>
      <c r="K1989">
        <v>14642.137505509036</v>
      </c>
    </row>
    <row r="1990" spans="1:11" x14ac:dyDescent="0.25">
      <c r="A1990" t="s">
        <v>1072</v>
      </c>
      <c r="B1990" t="s">
        <v>1073</v>
      </c>
      <c r="C1990" s="1">
        <v>41897</v>
      </c>
      <c r="D1990" s="1">
        <v>41904</v>
      </c>
      <c r="E1990">
        <v>19972</v>
      </c>
      <c r="F1990" t="s">
        <v>368</v>
      </c>
      <c r="G1990" t="s">
        <v>16</v>
      </c>
      <c r="H1990" t="s">
        <v>2110</v>
      </c>
      <c r="I1990">
        <v>2.3250999999999999</v>
      </c>
      <c r="J1990">
        <v>15874.08</v>
      </c>
      <c r="K1990">
        <v>6827.2676444023909</v>
      </c>
    </row>
    <row r="1991" spans="1:11" x14ac:dyDescent="0.25">
      <c r="A1991" t="s">
        <v>383</v>
      </c>
      <c r="B1991" t="s">
        <v>2111</v>
      </c>
      <c r="C1991" s="1">
        <v>41894</v>
      </c>
      <c r="D1991" s="1">
        <v>41897</v>
      </c>
      <c r="E1991">
        <v>20128</v>
      </c>
      <c r="F1991" t="s">
        <v>280</v>
      </c>
      <c r="G1991" t="s">
        <v>16</v>
      </c>
      <c r="H1991" t="s">
        <v>2112</v>
      </c>
      <c r="I1991">
        <v>2.2879999999999998</v>
      </c>
      <c r="J1991">
        <v>17297.28</v>
      </c>
      <c r="K1991">
        <v>7560</v>
      </c>
    </row>
    <row r="1992" spans="1:11" x14ac:dyDescent="0.25">
      <c r="A1992" t="s">
        <v>565</v>
      </c>
      <c r="B1992" t="s">
        <v>2113</v>
      </c>
      <c r="C1992" s="1">
        <v>41899</v>
      </c>
      <c r="D1992" s="1">
        <v>41915</v>
      </c>
      <c r="E1992">
        <v>5</v>
      </c>
      <c r="F1992" t="s">
        <v>280</v>
      </c>
      <c r="G1992" t="s">
        <v>16</v>
      </c>
      <c r="H1992" t="s">
        <v>2114</v>
      </c>
      <c r="I1992">
        <v>2.3351000000000002</v>
      </c>
      <c r="J1992">
        <v>2946.38</v>
      </c>
      <c r="K1992">
        <v>1261.7789388034773</v>
      </c>
    </row>
    <row r="1993" spans="1:11" x14ac:dyDescent="0.25">
      <c r="A1993" t="s">
        <v>464</v>
      </c>
      <c r="B1993" t="s">
        <v>2115</v>
      </c>
      <c r="C1993" s="1">
        <v>41893</v>
      </c>
      <c r="D1993" s="1">
        <v>41909</v>
      </c>
      <c r="E1993">
        <v>19707</v>
      </c>
      <c r="F1993" t="s">
        <v>278</v>
      </c>
      <c r="G1993" t="s">
        <v>16</v>
      </c>
      <c r="H1993" t="s">
        <v>2116</v>
      </c>
      <c r="I1993">
        <v>2.2967</v>
      </c>
      <c r="J1993">
        <v>117366.91</v>
      </c>
      <c r="K1993">
        <v>51102.412156572471</v>
      </c>
    </row>
    <row r="1994" spans="1:11" x14ac:dyDescent="0.25">
      <c r="A1994" t="s">
        <v>470</v>
      </c>
      <c r="B1994" t="s">
        <v>2117</v>
      </c>
      <c r="C1994" s="1">
        <v>41894</v>
      </c>
      <c r="D1994" s="1">
        <v>41909</v>
      </c>
      <c r="E1994">
        <v>19755</v>
      </c>
      <c r="F1994" t="s">
        <v>311</v>
      </c>
      <c r="G1994" t="s">
        <v>16</v>
      </c>
      <c r="H1994" t="s">
        <v>2118</v>
      </c>
      <c r="I1994">
        <v>2.2879999999999998</v>
      </c>
      <c r="J1994">
        <v>8380.26</v>
      </c>
      <c r="K1994">
        <v>3662.701048951049</v>
      </c>
    </row>
    <row r="1995" spans="1:11" x14ac:dyDescent="0.25">
      <c r="A1995" t="s">
        <v>1072</v>
      </c>
      <c r="B1995" t="s">
        <v>1073</v>
      </c>
      <c r="C1995" s="1">
        <v>41906</v>
      </c>
      <c r="D1995" s="1">
        <v>41906</v>
      </c>
      <c r="E1995">
        <v>19972</v>
      </c>
      <c r="F1995" t="s">
        <v>368</v>
      </c>
      <c r="G1995" t="s">
        <v>16</v>
      </c>
      <c r="H1995" t="s">
        <v>5526</v>
      </c>
      <c r="I1995">
        <v>2.4026000000000001</v>
      </c>
      <c r="J1995">
        <v>23207.86</v>
      </c>
      <c r="K1995">
        <v>9659.4772329975858</v>
      </c>
    </row>
    <row r="1996" spans="1:11" x14ac:dyDescent="0.25">
      <c r="A1996" t="s">
        <v>1102</v>
      </c>
      <c r="B1996" t="s">
        <v>1103</v>
      </c>
      <c r="C1996" s="1">
        <v>41906</v>
      </c>
      <c r="D1996" s="1">
        <v>41911</v>
      </c>
      <c r="E1996">
        <v>19980</v>
      </c>
      <c r="F1996" t="s">
        <v>301</v>
      </c>
      <c r="G1996" t="s">
        <v>16</v>
      </c>
      <c r="H1996" t="s">
        <v>5527</v>
      </c>
      <c r="I1996">
        <v>2.4026000000000001</v>
      </c>
      <c r="J1996">
        <v>62370.01</v>
      </c>
      <c r="K1996">
        <v>25959.381503371347</v>
      </c>
    </row>
    <row r="1997" spans="1:11" x14ac:dyDescent="0.25">
      <c r="A1997" t="s">
        <v>1102</v>
      </c>
      <c r="B1997" t="s">
        <v>1103</v>
      </c>
      <c r="C1997" s="1">
        <v>41906</v>
      </c>
      <c r="D1997" s="1">
        <v>41911</v>
      </c>
      <c r="E1997">
        <v>19980</v>
      </c>
      <c r="F1997" t="s">
        <v>301</v>
      </c>
      <c r="G1997" t="s">
        <v>16</v>
      </c>
      <c r="H1997" t="s">
        <v>5528</v>
      </c>
      <c r="I1997">
        <v>2.4026000000000001</v>
      </c>
      <c r="J1997">
        <v>62370.01</v>
      </c>
      <c r="K1997">
        <v>25959.381503371347</v>
      </c>
    </row>
    <row r="1998" spans="1:11" x14ac:dyDescent="0.25">
      <c r="A1998" t="s">
        <v>361</v>
      </c>
      <c r="B1998" t="s">
        <v>2119</v>
      </c>
      <c r="C1998" s="1">
        <v>41907</v>
      </c>
      <c r="D1998" s="1">
        <v>41911</v>
      </c>
      <c r="E1998">
        <v>20126</v>
      </c>
      <c r="F1998" t="s">
        <v>278</v>
      </c>
      <c r="G1998" t="s">
        <v>16</v>
      </c>
      <c r="H1998" t="s">
        <v>5529</v>
      </c>
      <c r="I1998">
        <v>2.407</v>
      </c>
      <c r="J1998">
        <v>60720</v>
      </c>
      <c r="K1998">
        <v>25226.422933111757</v>
      </c>
    </row>
    <row r="1999" spans="1:11" x14ac:dyDescent="0.25">
      <c r="A1999" t="s">
        <v>361</v>
      </c>
      <c r="B1999" t="s">
        <v>2119</v>
      </c>
      <c r="C1999" s="1">
        <v>41906</v>
      </c>
      <c r="D1999" s="1">
        <v>41911</v>
      </c>
      <c r="E1999">
        <v>20126</v>
      </c>
      <c r="F1999" t="s">
        <v>278</v>
      </c>
      <c r="G1999" t="s">
        <v>16</v>
      </c>
      <c r="H1999" t="s">
        <v>2120</v>
      </c>
      <c r="I1999">
        <v>2.4026000000000001</v>
      </c>
      <c r="J1999">
        <v>556511.28</v>
      </c>
      <c r="K1999">
        <v>231628.76883376343</v>
      </c>
    </row>
    <row r="2000" spans="1:11" x14ac:dyDescent="0.25">
      <c r="A2000" t="s">
        <v>337</v>
      </c>
      <c r="B2000" t="s">
        <v>1105</v>
      </c>
      <c r="C2000" s="1">
        <v>41905</v>
      </c>
      <c r="D2000" s="1">
        <v>41919</v>
      </c>
      <c r="E2000">
        <v>20192</v>
      </c>
      <c r="F2000" t="s">
        <v>311</v>
      </c>
      <c r="G2000" t="s">
        <v>16</v>
      </c>
      <c r="H2000" t="s">
        <v>2121</v>
      </c>
      <c r="I2000">
        <v>2.387</v>
      </c>
      <c r="J2000">
        <v>562951.76</v>
      </c>
      <c r="K2000">
        <v>235840.70381231673</v>
      </c>
    </row>
    <row r="2001" spans="1:11" x14ac:dyDescent="0.25">
      <c r="A2001" t="s">
        <v>361</v>
      </c>
      <c r="B2001" t="s">
        <v>2119</v>
      </c>
      <c r="C2001" s="1">
        <v>41911</v>
      </c>
      <c r="D2001" s="1">
        <v>41919</v>
      </c>
      <c r="E2001">
        <v>20126</v>
      </c>
      <c r="F2001" t="s">
        <v>278</v>
      </c>
      <c r="G2001" t="s">
        <v>16</v>
      </c>
      <c r="H2001" t="s">
        <v>424</v>
      </c>
      <c r="I2001">
        <v>2.431</v>
      </c>
      <c r="J2001">
        <v>594001.19999999995</v>
      </c>
      <c r="K2001">
        <v>244344.38502673796</v>
      </c>
    </row>
    <row r="2002" spans="1:11" x14ac:dyDescent="0.25">
      <c r="A2002" t="s">
        <v>1072</v>
      </c>
      <c r="B2002" t="s">
        <v>1073</v>
      </c>
      <c r="C2002" s="1">
        <v>41919</v>
      </c>
      <c r="D2002" s="1">
        <v>41919</v>
      </c>
      <c r="E2002">
        <v>19972</v>
      </c>
      <c r="F2002" t="s">
        <v>368</v>
      </c>
      <c r="G2002" t="s">
        <v>16</v>
      </c>
      <c r="H2002" t="s">
        <v>5530</v>
      </c>
      <c r="I2002">
        <v>2.4098000000000002</v>
      </c>
      <c r="J2002">
        <v>32853.589999999997</v>
      </c>
      <c r="K2002">
        <v>13633.326417130053</v>
      </c>
    </row>
    <row r="2003" spans="1:11" x14ac:dyDescent="0.25">
      <c r="A2003" t="s">
        <v>1072</v>
      </c>
      <c r="B2003" t="s">
        <v>1073</v>
      </c>
      <c r="C2003" s="1">
        <v>41919</v>
      </c>
      <c r="D2003" s="1">
        <v>41919</v>
      </c>
      <c r="E2003">
        <v>19972</v>
      </c>
      <c r="F2003" t="s">
        <v>368</v>
      </c>
      <c r="G2003" t="s">
        <v>16</v>
      </c>
      <c r="H2003" t="s">
        <v>5531</v>
      </c>
      <c r="I2003">
        <v>2.4098000000000002</v>
      </c>
      <c r="J2003">
        <v>31413.37</v>
      </c>
      <c r="K2003">
        <v>13035.675159764296</v>
      </c>
    </row>
    <row r="2004" spans="1:11" x14ac:dyDescent="0.25">
      <c r="A2004" t="s">
        <v>337</v>
      </c>
      <c r="B2004" t="s">
        <v>1105</v>
      </c>
      <c r="C2004" s="1">
        <v>41905</v>
      </c>
      <c r="D2004" s="1">
        <v>41913</v>
      </c>
      <c r="E2004">
        <v>20192</v>
      </c>
      <c r="F2004" t="s">
        <v>311</v>
      </c>
      <c r="G2004" t="s">
        <v>16</v>
      </c>
      <c r="H2004" t="s">
        <v>5532</v>
      </c>
      <c r="I2004">
        <v>2.387</v>
      </c>
      <c r="J2004">
        <v>514698.75</v>
      </c>
      <c r="K2004">
        <v>215625.78550481776</v>
      </c>
    </row>
    <row r="2005" spans="1:11" x14ac:dyDescent="0.25">
      <c r="A2005" t="s">
        <v>2122</v>
      </c>
      <c r="C2005" s="1">
        <v>41886</v>
      </c>
      <c r="D2005" s="1">
        <v>41886</v>
      </c>
      <c r="E2005">
        <v>19132</v>
      </c>
      <c r="F2005" t="s">
        <v>519</v>
      </c>
      <c r="G2005" t="s">
        <v>16</v>
      </c>
      <c r="H2005" t="s">
        <v>2123</v>
      </c>
      <c r="I2005">
        <v>2.2319</v>
      </c>
      <c r="J2005">
        <v>32.35</v>
      </c>
      <c r="K2005">
        <v>14.494376988216318</v>
      </c>
    </row>
    <row r="2006" spans="1:11" x14ac:dyDescent="0.25">
      <c r="A2006" t="s">
        <v>1107</v>
      </c>
      <c r="B2006" t="s">
        <v>1108</v>
      </c>
      <c r="C2006" s="1">
        <v>41870</v>
      </c>
      <c r="D2006" s="1">
        <v>41878</v>
      </c>
      <c r="E2006">
        <v>2</v>
      </c>
      <c r="F2006" t="s">
        <v>368</v>
      </c>
      <c r="G2006" t="s">
        <v>16</v>
      </c>
      <c r="H2006" t="s">
        <v>2124</v>
      </c>
      <c r="I2006">
        <v>2.2595000000000001</v>
      </c>
      <c r="J2006">
        <v>28342.639999999999</v>
      </c>
      <c r="K2006">
        <v>12543.766319982296</v>
      </c>
    </row>
    <row r="2007" spans="1:11" x14ac:dyDescent="0.25">
      <c r="A2007" t="s">
        <v>524</v>
      </c>
      <c r="B2007" t="s">
        <v>2125</v>
      </c>
      <c r="C2007" s="1">
        <v>41908</v>
      </c>
      <c r="D2007" s="1">
        <v>41920</v>
      </c>
      <c r="E2007">
        <v>4</v>
      </c>
      <c r="F2007" t="s">
        <v>278</v>
      </c>
      <c r="G2007" t="s">
        <v>16</v>
      </c>
      <c r="H2007" t="s">
        <v>2126</v>
      </c>
      <c r="I2007">
        <v>2.4085000000000001</v>
      </c>
      <c r="J2007">
        <v>57819.199999999997</v>
      </c>
      <c r="K2007">
        <v>24006.310981938965</v>
      </c>
    </row>
    <row r="2008" spans="1:11" x14ac:dyDescent="0.25">
      <c r="A2008" t="s">
        <v>524</v>
      </c>
      <c r="B2008" t="s">
        <v>2125</v>
      </c>
      <c r="C2008" s="1">
        <v>41908</v>
      </c>
      <c r="D2008" s="1">
        <v>41920</v>
      </c>
      <c r="E2008">
        <v>4</v>
      </c>
      <c r="F2008" t="s">
        <v>278</v>
      </c>
      <c r="G2008" t="s">
        <v>16</v>
      </c>
      <c r="H2008" t="s">
        <v>5533</v>
      </c>
      <c r="I2008">
        <v>2.4085000000000001</v>
      </c>
      <c r="J2008">
        <v>10476</v>
      </c>
      <c r="K2008">
        <v>4349.5951837243101</v>
      </c>
    </row>
    <row r="2009" spans="1:11" x14ac:dyDescent="0.25">
      <c r="A2009" t="s">
        <v>619</v>
      </c>
      <c r="B2009" t="s">
        <v>2127</v>
      </c>
      <c r="C2009" s="1">
        <v>41893</v>
      </c>
      <c r="D2009" s="1">
        <v>41904</v>
      </c>
      <c r="E2009">
        <v>6</v>
      </c>
      <c r="F2009" t="s">
        <v>278</v>
      </c>
      <c r="G2009" t="s">
        <v>16</v>
      </c>
      <c r="H2009" t="s">
        <v>2128</v>
      </c>
      <c r="I2009">
        <v>2.2967</v>
      </c>
      <c r="J2009">
        <v>42656.6</v>
      </c>
      <c r="K2009">
        <v>18572.996037793357</v>
      </c>
    </row>
    <row r="2010" spans="1:11" x14ac:dyDescent="0.25">
      <c r="A2010" t="s">
        <v>5534</v>
      </c>
      <c r="C2010" s="1">
        <v>41879</v>
      </c>
      <c r="D2010" s="1">
        <v>41879</v>
      </c>
      <c r="E2010">
        <v>238</v>
      </c>
      <c r="F2010" t="s">
        <v>519</v>
      </c>
      <c r="G2010" t="s">
        <v>16</v>
      </c>
      <c r="H2010" t="s">
        <v>5535</v>
      </c>
      <c r="I2010">
        <v>2.2591000000000001</v>
      </c>
      <c r="J2010">
        <v>112.98</v>
      </c>
      <c r="K2010">
        <v>50.011066353857728</v>
      </c>
    </row>
    <row r="2011" spans="1:11" x14ac:dyDescent="0.25">
      <c r="A2011" t="s">
        <v>2129</v>
      </c>
      <c r="C2011" s="1">
        <v>41906</v>
      </c>
      <c r="D2011" s="1">
        <v>41906</v>
      </c>
      <c r="E2011">
        <v>258</v>
      </c>
      <c r="F2011" t="s">
        <v>519</v>
      </c>
      <c r="G2011" t="s">
        <v>16</v>
      </c>
      <c r="H2011" t="s">
        <v>579</v>
      </c>
      <c r="I2011">
        <v>2.4026000000000001</v>
      </c>
      <c r="J2011">
        <v>105.03</v>
      </c>
      <c r="K2011">
        <v>43.715141929576291</v>
      </c>
    </row>
    <row r="2012" spans="1:11" x14ac:dyDescent="0.25">
      <c r="A2012" t="s">
        <v>1072</v>
      </c>
      <c r="B2012" t="s">
        <v>1073</v>
      </c>
      <c r="C2012" s="1">
        <v>41884</v>
      </c>
      <c r="D2012" s="1">
        <v>41884</v>
      </c>
      <c r="E2012">
        <v>19972</v>
      </c>
      <c r="F2012" t="s">
        <v>368</v>
      </c>
      <c r="G2012" t="s">
        <v>16</v>
      </c>
      <c r="H2012" t="s">
        <v>5536</v>
      </c>
      <c r="I2012">
        <v>2.2364000000000002</v>
      </c>
      <c r="J2012">
        <v>22879.39</v>
      </c>
      <c r="K2012">
        <v>10230.455195850474</v>
      </c>
    </row>
    <row r="2013" spans="1:11" x14ac:dyDescent="0.25">
      <c r="A2013" t="s">
        <v>483</v>
      </c>
      <c r="B2013" t="s">
        <v>2130</v>
      </c>
      <c r="C2013" s="1">
        <v>41899</v>
      </c>
      <c r="D2013" s="1">
        <v>41900</v>
      </c>
      <c r="E2013">
        <v>5</v>
      </c>
      <c r="F2013" t="s">
        <v>280</v>
      </c>
      <c r="G2013" t="s">
        <v>16</v>
      </c>
      <c r="H2013" t="s">
        <v>2131</v>
      </c>
      <c r="I2013">
        <v>2.3351000000000002</v>
      </c>
      <c r="J2013">
        <v>6313.68</v>
      </c>
      <c r="K2013">
        <v>2703.8156824118882</v>
      </c>
    </row>
    <row r="2014" spans="1:11" x14ac:dyDescent="0.25">
      <c r="A2014" t="s">
        <v>1072</v>
      </c>
      <c r="B2014" t="s">
        <v>1073</v>
      </c>
      <c r="C2014" s="1">
        <v>41871</v>
      </c>
      <c r="D2014" s="1">
        <v>41876</v>
      </c>
      <c r="E2014">
        <v>19972</v>
      </c>
      <c r="F2014" t="s">
        <v>368</v>
      </c>
      <c r="G2014" t="s">
        <v>16</v>
      </c>
      <c r="H2014" t="s">
        <v>2132</v>
      </c>
      <c r="I2014">
        <v>2.2587000000000002</v>
      </c>
      <c r="J2014">
        <v>24721.89</v>
      </c>
      <c r="K2014">
        <v>10945.185283570196</v>
      </c>
    </row>
    <row r="2015" spans="1:11" x14ac:dyDescent="0.25">
      <c r="A2015" t="s">
        <v>497</v>
      </c>
      <c r="B2015" t="s">
        <v>5537</v>
      </c>
      <c r="C2015" s="1">
        <v>41908</v>
      </c>
      <c r="D2015" s="1">
        <v>41913</v>
      </c>
      <c r="E2015">
        <v>4</v>
      </c>
      <c r="F2015" t="s">
        <v>278</v>
      </c>
      <c r="G2015" t="s">
        <v>16</v>
      </c>
      <c r="H2015" t="s">
        <v>5538</v>
      </c>
      <c r="I2015">
        <v>2.4085000000000001</v>
      </c>
      <c r="J2015">
        <v>44232</v>
      </c>
      <c r="K2015">
        <v>18364.957442391529</v>
      </c>
    </row>
    <row r="2016" spans="1:11" x14ac:dyDescent="0.25">
      <c r="A2016" t="s">
        <v>563</v>
      </c>
      <c r="B2016" t="s">
        <v>2603</v>
      </c>
      <c r="C2016" s="1">
        <v>41925</v>
      </c>
      <c r="D2016" s="1">
        <v>41939</v>
      </c>
      <c r="E2016">
        <v>7</v>
      </c>
      <c r="F2016" t="s">
        <v>311</v>
      </c>
      <c r="G2016" t="s">
        <v>16</v>
      </c>
      <c r="H2016" t="s">
        <v>5539</v>
      </c>
      <c r="I2016">
        <v>2.4102999999999999</v>
      </c>
      <c r="J2016">
        <v>34698.339999999997</v>
      </c>
      <c r="K2016">
        <v>14395.859436584658</v>
      </c>
    </row>
    <row r="2017" spans="1:11" x14ac:dyDescent="0.25">
      <c r="A2017" t="s">
        <v>1111</v>
      </c>
      <c r="B2017" t="s">
        <v>458</v>
      </c>
      <c r="C2017" s="1">
        <v>41939</v>
      </c>
      <c r="D2017" s="1">
        <v>41962</v>
      </c>
      <c r="E2017">
        <v>20492</v>
      </c>
      <c r="F2017" t="s">
        <v>301</v>
      </c>
      <c r="G2017" t="s">
        <v>16</v>
      </c>
      <c r="H2017" t="s">
        <v>5540</v>
      </c>
      <c r="I2017">
        <v>2.4805000000000001</v>
      </c>
      <c r="J2017">
        <v>149385.01</v>
      </c>
      <c r="K2017">
        <v>60223.749244104009</v>
      </c>
    </row>
    <row r="2018" spans="1:11" x14ac:dyDescent="0.25">
      <c r="A2018" t="s">
        <v>517</v>
      </c>
      <c r="B2018" t="s">
        <v>2184</v>
      </c>
      <c r="C2018" s="1">
        <v>41921</v>
      </c>
      <c r="D2018" s="1">
        <v>41929</v>
      </c>
      <c r="E2018">
        <v>7</v>
      </c>
      <c r="F2018" t="s">
        <v>311</v>
      </c>
      <c r="G2018" t="s">
        <v>16</v>
      </c>
      <c r="H2018" t="s">
        <v>5541</v>
      </c>
      <c r="I2018">
        <v>2.4072</v>
      </c>
      <c r="J2018">
        <v>55868.22</v>
      </c>
      <c r="K2018">
        <v>23208.798604187439</v>
      </c>
    </row>
    <row r="2019" spans="1:11" x14ac:dyDescent="0.25">
      <c r="A2019" t="s">
        <v>1123</v>
      </c>
      <c r="B2019" t="s">
        <v>1124</v>
      </c>
      <c r="C2019" s="1">
        <v>41962</v>
      </c>
      <c r="D2019" s="1">
        <v>41964</v>
      </c>
      <c r="E2019">
        <v>21159</v>
      </c>
      <c r="F2019" t="s">
        <v>368</v>
      </c>
      <c r="G2019" t="s">
        <v>16</v>
      </c>
      <c r="H2019" t="s">
        <v>2133</v>
      </c>
      <c r="I2019">
        <v>2.5966999999999998</v>
      </c>
      <c r="J2019">
        <v>62343.38</v>
      </c>
      <c r="K2019">
        <v>24008.695652173912</v>
      </c>
    </row>
    <row r="2020" spans="1:11" x14ac:dyDescent="0.25">
      <c r="A2020" t="s">
        <v>5542</v>
      </c>
      <c r="B2020" t="s">
        <v>5543</v>
      </c>
      <c r="C2020" s="1">
        <v>41962</v>
      </c>
      <c r="D2020" s="1">
        <v>41968</v>
      </c>
      <c r="E2020">
        <v>21161</v>
      </c>
      <c r="F2020" t="s">
        <v>301</v>
      </c>
      <c r="G2020" t="s">
        <v>16</v>
      </c>
      <c r="H2020" t="s">
        <v>5544</v>
      </c>
      <c r="I2020">
        <v>2.5966999999999998</v>
      </c>
      <c r="J2020">
        <v>98609.99</v>
      </c>
      <c r="K2020">
        <v>37975.118419532482</v>
      </c>
    </row>
    <row r="2021" spans="1:11" x14ac:dyDescent="0.25">
      <c r="A2021" t="s">
        <v>1102</v>
      </c>
      <c r="B2021" t="s">
        <v>1103</v>
      </c>
      <c r="C2021" s="1">
        <v>41921</v>
      </c>
      <c r="D2021" s="1">
        <v>41932</v>
      </c>
      <c r="E2021">
        <v>19980</v>
      </c>
      <c r="F2021" t="s">
        <v>301</v>
      </c>
      <c r="G2021" t="s">
        <v>16</v>
      </c>
      <c r="H2021" t="s">
        <v>5545</v>
      </c>
      <c r="I2021">
        <v>2.4072</v>
      </c>
      <c r="J2021">
        <v>62414.99</v>
      </c>
      <c r="K2021">
        <v>25928.4604519774</v>
      </c>
    </row>
    <row r="2022" spans="1:11" x14ac:dyDescent="0.25">
      <c r="A2022" t="s">
        <v>2134</v>
      </c>
      <c r="B2022" t="s">
        <v>2135</v>
      </c>
      <c r="C2022" s="1">
        <v>41984</v>
      </c>
      <c r="D2022" s="1">
        <v>42024</v>
      </c>
      <c r="E2022">
        <v>21</v>
      </c>
      <c r="F2022" t="s">
        <v>301</v>
      </c>
      <c r="G2022" t="s">
        <v>16</v>
      </c>
      <c r="H2022" t="s">
        <v>2136</v>
      </c>
      <c r="I2022">
        <v>2.5931000000000002</v>
      </c>
      <c r="J2022">
        <v>9957.61</v>
      </c>
      <c r="K2022">
        <v>3840.0408777139332</v>
      </c>
    </row>
    <row r="2023" spans="1:11" x14ac:dyDescent="0.25">
      <c r="A2023" t="s">
        <v>1116</v>
      </c>
      <c r="B2023" t="s">
        <v>1117</v>
      </c>
      <c r="C2023" s="1">
        <v>42017</v>
      </c>
      <c r="D2023" s="1">
        <v>42018</v>
      </c>
      <c r="E2023">
        <v>21004</v>
      </c>
      <c r="F2023" t="s">
        <v>368</v>
      </c>
      <c r="G2023" t="s">
        <v>16</v>
      </c>
      <c r="H2023" t="s">
        <v>2137</v>
      </c>
      <c r="I2023">
        <v>2.6575000000000002</v>
      </c>
      <c r="J2023">
        <v>34524.199999999997</v>
      </c>
      <c r="K2023">
        <v>12991.232361241769</v>
      </c>
    </row>
    <row r="2024" spans="1:11" x14ac:dyDescent="0.25">
      <c r="A2024" t="s">
        <v>5546</v>
      </c>
      <c r="B2024" t="s">
        <v>5547</v>
      </c>
      <c r="C2024" s="1">
        <v>41984</v>
      </c>
      <c r="D2024" s="1">
        <v>41991</v>
      </c>
      <c r="E2024">
        <v>21527</v>
      </c>
      <c r="F2024" t="s">
        <v>301</v>
      </c>
      <c r="G2024" t="s">
        <v>16</v>
      </c>
      <c r="H2024" t="s">
        <v>5548</v>
      </c>
      <c r="I2024">
        <v>2.5931000000000002</v>
      </c>
      <c r="J2024">
        <v>7779.79</v>
      </c>
      <c r="K2024">
        <v>3000.1889630172382</v>
      </c>
    </row>
    <row r="2025" spans="1:11" x14ac:dyDescent="0.25">
      <c r="A2025" t="s">
        <v>1102</v>
      </c>
      <c r="B2025" t="s">
        <v>1103</v>
      </c>
      <c r="C2025" s="1">
        <v>41985</v>
      </c>
      <c r="D2025" s="1">
        <v>41991</v>
      </c>
      <c r="E2025">
        <v>19980</v>
      </c>
      <c r="F2025" t="s">
        <v>301</v>
      </c>
      <c r="G2025" t="s">
        <v>16</v>
      </c>
      <c r="H2025" t="s">
        <v>5549</v>
      </c>
      <c r="I2025">
        <v>2.6271</v>
      </c>
      <c r="J2025">
        <v>68085</v>
      </c>
      <c r="K2025">
        <v>25916.40972935937</v>
      </c>
    </row>
    <row r="2026" spans="1:11" x14ac:dyDescent="0.25">
      <c r="A2026" t="s">
        <v>1102</v>
      </c>
      <c r="B2026" t="s">
        <v>1103</v>
      </c>
      <c r="C2026" s="1">
        <v>41985</v>
      </c>
      <c r="D2026" s="1">
        <v>41991</v>
      </c>
      <c r="E2026">
        <v>19980</v>
      </c>
      <c r="F2026" t="s">
        <v>301</v>
      </c>
      <c r="G2026" t="s">
        <v>16</v>
      </c>
      <c r="H2026" t="s">
        <v>5550</v>
      </c>
      <c r="I2026">
        <v>2.6271</v>
      </c>
      <c r="J2026">
        <v>68085</v>
      </c>
      <c r="K2026">
        <v>25916.40972935937</v>
      </c>
    </row>
    <row r="2027" spans="1:11" x14ac:dyDescent="0.25">
      <c r="A2027" t="s">
        <v>1102</v>
      </c>
      <c r="B2027" t="s">
        <v>1103</v>
      </c>
      <c r="C2027" s="1">
        <v>41970</v>
      </c>
      <c r="D2027" s="1">
        <v>41984</v>
      </c>
      <c r="E2027">
        <v>19980</v>
      </c>
      <c r="F2027" t="s">
        <v>301</v>
      </c>
      <c r="G2027" t="s">
        <v>16</v>
      </c>
      <c r="H2027" t="s">
        <v>5551</v>
      </c>
      <c r="I2027">
        <v>2.5103</v>
      </c>
      <c r="J2027">
        <v>21719.99</v>
      </c>
      <c r="K2027">
        <v>8652.3483249014062</v>
      </c>
    </row>
    <row r="2028" spans="1:11" x14ac:dyDescent="0.25">
      <c r="A2028" t="s">
        <v>1102</v>
      </c>
      <c r="B2028" t="s">
        <v>1103</v>
      </c>
      <c r="C2028" s="1">
        <v>41970</v>
      </c>
      <c r="D2028" s="1">
        <v>41982</v>
      </c>
      <c r="E2028">
        <v>19980</v>
      </c>
      <c r="F2028" t="s">
        <v>301</v>
      </c>
      <c r="G2028" t="s">
        <v>16</v>
      </c>
      <c r="H2028" t="s">
        <v>5552</v>
      </c>
      <c r="I2028">
        <v>2.5103</v>
      </c>
      <c r="J2028">
        <v>65160.01</v>
      </c>
      <c r="K2028">
        <v>25957.060909054693</v>
      </c>
    </row>
    <row r="2029" spans="1:11" x14ac:dyDescent="0.25">
      <c r="A2029" t="s">
        <v>1102</v>
      </c>
      <c r="B2029" t="s">
        <v>1103</v>
      </c>
      <c r="C2029" s="1">
        <v>41970</v>
      </c>
      <c r="D2029" s="1">
        <v>41982</v>
      </c>
      <c r="E2029">
        <v>19980</v>
      </c>
      <c r="F2029" t="s">
        <v>301</v>
      </c>
      <c r="G2029" t="s">
        <v>16</v>
      </c>
      <c r="H2029" t="s">
        <v>2138</v>
      </c>
      <c r="I2029">
        <v>2.5103</v>
      </c>
      <c r="J2029">
        <v>65160.01</v>
      </c>
      <c r="K2029">
        <v>25957.060909054693</v>
      </c>
    </row>
    <row r="2030" spans="1:11" x14ac:dyDescent="0.25">
      <c r="A2030" t="s">
        <v>2139</v>
      </c>
      <c r="B2030" t="s">
        <v>2140</v>
      </c>
      <c r="C2030" s="1">
        <v>41964</v>
      </c>
      <c r="D2030" s="1">
        <v>41978</v>
      </c>
      <c r="E2030">
        <v>20117</v>
      </c>
      <c r="F2030" t="s">
        <v>370</v>
      </c>
      <c r="G2030" t="s">
        <v>16</v>
      </c>
      <c r="H2030" t="s">
        <v>2141</v>
      </c>
      <c r="I2030">
        <v>2.5449999999999999</v>
      </c>
      <c r="J2030">
        <v>250428</v>
      </c>
      <c r="K2030">
        <v>98400</v>
      </c>
    </row>
    <row r="2031" spans="1:11" x14ac:dyDescent="0.25">
      <c r="A2031" t="s">
        <v>1131</v>
      </c>
      <c r="B2031" t="s">
        <v>1132</v>
      </c>
      <c r="C2031" s="1">
        <v>42011</v>
      </c>
      <c r="D2031" s="1">
        <v>42022</v>
      </c>
      <c r="E2031">
        <v>20276</v>
      </c>
      <c r="F2031" t="s">
        <v>368</v>
      </c>
      <c r="G2031" t="s">
        <v>16</v>
      </c>
      <c r="H2031" t="s">
        <v>5553</v>
      </c>
      <c r="I2031">
        <v>2.7023000000000001</v>
      </c>
      <c r="J2031">
        <v>66199</v>
      </c>
      <c r="K2031">
        <v>24497.280094734117</v>
      </c>
    </row>
    <row r="2032" spans="1:11" x14ac:dyDescent="0.25">
      <c r="A2032" t="s">
        <v>1072</v>
      </c>
      <c r="B2032" t="s">
        <v>1073</v>
      </c>
      <c r="C2032" s="1">
        <v>41992</v>
      </c>
      <c r="D2032" s="1">
        <v>42024</v>
      </c>
      <c r="E2032">
        <v>19972</v>
      </c>
      <c r="F2032" t="s">
        <v>368</v>
      </c>
      <c r="G2032" t="s">
        <v>16</v>
      </c>
      <c r="H2032" t="s">
        <v>5554</v>
      </c>
      <c r="I2032">
        <v>2.6676000000000002</v>
      </c>
      <c r="J2032">
        <v>30048.04</v>
      </c>
      <c r="K2032">
        <v>11264.072574598891</v>
      </c>
    </row>
    <row r="2033" spans="1:11" x14ac:dyDescent="0.25">
      <c r="A2033" t="s">
        <v>2142</v>
      </c>
      <c r="B2033" t="s">
        <v>592</v>
      </c>
      <c r="C2033" s="1">
        <v>41984</v>
      </c>
      <c r="D2033" s="1">
        <v>42011</v>
      </c>
      <c r="E2033">
        <v>14</v>
      </c>
      <c r="F2033" t="s">
        <v>301</v>
      </c>
      <c r="G2033" t="s">
        <v>16</v>
      </c>
      <c r="H2033" t="s">
        <v>5555</v>
      </c>
      <c r="I2033">
        <v>2.5931000000000002</v>
      </c>
      <c r="J2033">
        <v>14515.99</v>
      </c>
      <c r="K2033">
        <v>5597.9291195865953</v>
      </c>
    </row>
    <row r="2034" spans="1:11" x14ac:dyDescent="0.25">
      <c r="A2034" t="s">
        <v>2142</v>
      </c>
      <c r="B2034" t="s">
        <v>592</v>
      </c>
      <c r="C2034" s="1">
        <v>41984</v>
      </c>
      <c r="D2034" s="1">
        <v>42011</v>
      </c>
      <c r="E2034">
        <v>14</v>
      </c>
      <c r="F2034" t="s">
        <v>301</v>
      </c>
      <c r="G2034" t="s">
        <v>16</v>
      </c>
      <c r="H2034" t="s">
        <v>2143</v>
      </c>
      <c r="I2034">
        <v>2.5931000000000002</v>
      </c>
      <c r="J2034">
        <v>6393.6</v>
      </c>
      <c r="K2034">
        <v>2465.6203000269948</v>
      </c>
    </row>
    <row r="2035" spans="1:11" x14ac:dyDescent="0.25">
      <c r="A2035" t="s">
        <v>1116</v>
      </c>
      <c r="B2035" t="s">
        <v>1117</v>
      </c>
      <c r="C2035" s="1">
        <v>42023</v>
      </c>
      <c r="D2035" s="1">
        <v>42024</v>
      </c>
      <c r="E2035">
        <v>21004</v>
      </c>
      <c r="F2035" t="s">
        <v>368</v>
      </c>
      <c r="G2035" t="s">
        <v>16</v>
      </c>
      <c r="H2035" t="s">
        <v>5556</v>
      </c>
      <c r="I2035">
        <v>2.6193</v>
      </c>
      <c r="J2035">
        <v>46325.26</v>
      </c>
      <c r="K2035">
        <v>17686.122246401712</v>
      </c>
    </row>
    <row r="2036" spans="1:11" x14ac:dyDescent="0.25">
      <c r="A2036" t="s">
        <v>1088</v>
      </c>
      <c r="B2036" t="s">
        <v>1089</v>
      </c>
      <c r="C2036" s="1">
        <v>41992</v>
      </c>
      <c r="D2036" s="1">
        <v>42016</v>
      </c>
      <c r="E2036">
        <v>2</v>
      </c>
      <c r="F2036" t="s">
        <v>368</v>
      </c>
      <c r="G2036" t="s">
        <v>16</v>
      </c>
      <c r="H2036" t="s">
        <v>1142</v>
      </c>
      <c r="I2036">
        <v>2.6676000000000002</v>
      </c>
      <c r="J2036">
        <v>15756.89</v>
      </c>
      <c r="K2036">
        <v>5906.7663817663815</v>
      </c>
    </row>
    <row r="2037" spans="1:11" x14ac:dyDescent="0.25">
      <c r="A2037" t="s">
        <v>1072</v>
      </c>
      <c r="B2037" t="s">
        <v>1073</v>
      </c>
      <c r="C2037" s="1">
        <v>41992</v>
      </c>
      <c r="D2037" s="1">
        <v>42016</v>
      </c>
      <c r="E2037">
        <v>19972</v>
      </c>
      <c r="F2037" t="s">
        <v>368</v>
      </c>
      <c r="G2037" t="s">
        <v>16</v>
      </c>
      <c r="H2037" t="s">
        <v>2144</v>
      </c>
      <c r="I2037">
        <v>2.6676000000000002</v>
      </c>
      <c r="J2037">
        <v>30271.8</v>
      </c>
      <c r="K2037">
        <v>11347.95321637427</v>
      </c>
    </row>
    <row r="2038" spans="1:11" x14ac:dyDescent="0.25">
      <c r="A2038" t="s">
        <v>2134</v>
      </c>
      <c r="B2038" t="s">
        <v>2135</v>
      </c>
      <c r="C2038" s="1">
        <v>41975</v>
      </c>
      <c r="D2038" s="1">
        <v>41975</v>
      </c>
      <c r="E2038">
        <v>21</v>
      </c>
      <c r="F2038" t="s">
        <v>301</v>
      </c>
      <c r="G2038" t="s">
        <v>16</v>
      </c>
      <c r="H2038" t="s">
        <v>5557</v>
      </c>
      <c r="I2038">
        <v>2.5623999999999998</v>
      </c>
      <c r="J2038">
        <v>13824</v>
      </c>
      <c r="K2038">
        <v>5394.9422416484549</v>
      </c>
    </row>
    <row r="2039" spans="1:11" x14ac:dyDescent="0.25">
      <c r="A2039" t="s">
        <v>2145</v>
      </c>
      <c r="C2039" s="1">
        <v>41954</v>
      </c>
      <c r="D2039" s="1">
        <v>41976</v>
      </c>
      <c r="E2039">
        <v>149</v>
      </c>
      <c r="F2039" t="s">
        <v>522</v>
      </c>
      <c r="G2039" t="s">
        <v>16</v>
      </c>
      <c r="H2039" t="s">
        <v>2146</v>
      </c>
      <c r="I2039">
        <v>2.5390000000000001</v>
      </c>
      <c r="J2039">
        <v>732.9</v>
      </c>
      <c r="K2039">
        <v>288.65695155573059</v>
      </c>
    </row>
    <row r="2040" spans="1:11" x14ac:dyDescent="0.25">
      <c r="A2040" t="s">
        <v>1123</v>
      </c>
      <c r="B2040" t="s">
        <v>1124</v>
      </c>
      <c r="C2040" s="1">
        <v>41993</v>
      </c>
      <c r="D2040" s="1">
        <v>41996</v>
      </c>
      <c r="E2040">
        <v>21159</v>
      </c>
      <c r="F2040" t="s">
        <v>368</v>
      </c>
      <c r="G2040" t="s">
        <v>16</v>
      </c>
      <c r="H2040" t="s">
        <v>5558</v>
      </c>
      <c r="I2040">
        <v>2.6486000000000001</v>
      </c>
      <c r="J2040">
        <v>65272.65</v>
      </c>
      <c r="K2040">
        <v>24644.208260968058</v>
      </c>
    </row>
    <row r="2041" spans="1:11" x14ac:dyDescent="0.25">
      <c r="A2041" t="s">
        <v>1116</v>
      </c>
      <c r="B2041" t="s">
        <v>1117</v>
      </c>
      <c r="C2041" s="1">
        <v>42023</v>
      </c>
      <c r="D2041" s="1">
        <v>42024</v>
      </c>
      <c r="E2041">
        <v>21004</v>
      </c>
      <c r="F2041" t="s">
        <v>368</v>
      </c>
      <c r="G2041" t="s">
        <v>16</v>
      </c>
      <c r="H2041" t="s">
        <v>5559</v>
      </c>
      <c r="I2041">
        <v>2.6193</v>
      </c>
      <c r="J2041">
        <v>33883.31</v>
      </c>
      <c r="K2041">
        <v>12936.017256518917</v>
      </c>
    </row>
    <row r="2042" spans="1:11" x14ac:dyDescent="0.25">
      <c r="A2042" t="s">
        <v>1116</v>
      </c>
      <c r="B2042" t="s">
        <v>1117</v>
      </c>
      <c r="C2042" s="1">
        <v>42023</v>
      </c>
      <c r="D2042" s="1">
        <v>42024</v>
      </c>
      <c r="E2042">
        <v>21004</v>
      </c>
      <c r="F2042" t="s">
        <v>368</v>
      </c>
      <c r="G2042" t="s">
        <v>16</v>
      </c>
      <c r="H2042" t="s">
        <v>5560</v>
      </c>
      <c r="I2042">
        <v>2.6193</v>
      </c>
      <c r="J2042">
        <v>33314.07</v>
      </c>
      <c r="K2042">
        <v>12718.692016951094</v>
      </c>
    </row>
    <row r="2043" spans="1:11" x14ac:dyDescent="0.25">
      <c r="A2043" t="s">
        <v>1102</v>
      </c>
      <c r="B2043" t="s">
        <v>1103</v>
      </c>
      <c r="C2043" s="1">
        <v>41985</v>
      </c>
      <c r="D2043" s="1">
        <v>41990</v>
      </c>
      <c r="E2043">
        <v>19980</v>
      </c>
      <c r="F2043" t="s">
        <v>301</v>
      </c>
      <c r="G2043" t="s">
        <v>16</v>
      </c>
      <c r="H2043" t="s">
        <v>2147</v>
      </c>
      <c r="I2043">
        <v>2.6271</v>
      </c>
      <c r="J2043">
        <v>68085</v>
      </c>
      <c r="K2043">
        <v>25916.40972935937</v>
      </c>
    </row>
    <row r="2044" spans="1:11" x14ac:dyDescent="0.25">
      <c r="A2044" t="s">
        <v>1145</v>
      </c>
      <c r="B2044" t="s">
        <v>1146</v>
      </c>
      <c r="C2044" s="1">
        <v>42041</v>
      </c>
      <c r="D2044" s="1">
        <v>42043</v>
      </c>
      <c r="E2044">
        <v>21007</v>
      </c>
      <c r="F2044" t="s">
        <v>368</v>
      </c>
      <c r="G2044" t="s">
        <v>16</v>
      </c>
      <c r="H2044" t="s">
        <v>5561</v>
      </c>
      <c r="I2044">
        <v>2.7385999999999999</v>
      </c>
      <c r="J2044">
        <v>43413.56</v>
      </c>
      <c r="K2044">
        <v>15852.4647630176</v>
      </c>
    </row>
    <row r="2045" spans="1:11" x14ac:dyDescent="0.25">
      <c r="A2045" t="s">
        <v>5562</v>
      </c>
      <c r="C2045" s="1">
        <v>42033</v>
      </c>
      <c r="D2045" s="1">
        <v>42043</v>
      </c>
      <c r="E2045">
        <v>787</v>
      </c>
      <c r="F2045" t="s">
        <v>600</v>
      </c>
      <c r="G2045" t="s">
        <v>16</v>
      </c>
      <c r="H2045" t="s">
        <v>5563</v>
      </c>
      <c r="I2045">
        <v>2.5796999999999999</v>
      </c>
      <c r="J2045">
        <v>290</v>
      </c>
      <c r="K2045">
        <v>112.41617242314997</v>
      </c>
    </row>
    <row r="2046" spans="1:11" x14ac:dyDescent="0.25">
      <c r="A2046" t="s">
        <v>2148</v>
      </c>
      <c r="C2046" s="1">
        <v>42024</v>
      </c>
      <c r="D2046" s="1">
        <v>42043</v>
      </c>
      <c r="E2046">
        <v>783</v>
      </c>
      <c r="F2046" t="s">
        <v>334</v>
      </c>
      <c r="G2046" t="s">
        <v>16</v>
      </c>
      <c r="H2046" t="s">
        <v>2149</v>
      </c>
      <c r="I2046">
        <v>2.6242999999999999</v>
      </c>
      <c r="J2046">
        <v>1676</v>
      </c>
      <c r="K2046">
        <v>638.64649620851276</v>
      </c>
    </row>
    <row r="2047" spans="1:11" x14ac:dyDescent="0.25">
      <c r="A2047" t="s">
        <v>1145</v>
      </c>
      <c r="B2047" t="s">
        <v>1146</v>
      </c>
      <c r="C2047" s="1">
        <v>42045</v>
      </c>
      <c r="D2047" s="1">
        <v>42047</v>
      </c>
      <c r="E2047">
        <v>21007</v>
      </c>
      <c r="F2047" t="s">
        <v>368</v>
      </c>
      <c r="G2047" t="s">
        <v>16</v>
      </c>
      <c r="H2047" t="s">
        <v>2150</v>
      </c>
      <c r="I2047">
        <v>2.7873000000000001</v>
      </c>
      <c r="J2047">
        <v>34861.47</v>
      </c>
      <c r="K2047">
        <v>12507.254332149392</v>
      </c>
    </row>
    <row r="2048" spans="1:11" x14ac:dyDescent="0.25">
      <c r="A2048" t="s">
        <v>5564</v>
      </c>
      <c r="C2048" s="1">
        <v>42024</v>
      </c>
      <c r="D2048" s="1">
        <v>42043</v>
      </c>
      <c r="E2048">
        <v>782</v>
      </c>
      <c r="F2048" t="s">
        <v>334</v>
      </c>
      <c r="G2048" t="s">
        <v>16</v>
      </c>
      <c r="H2048" t="s">
        <v>5565</v>
      </c>
      <c r="I2048">
        <v>2.6242999999999999</v>
      </c>
      <c r="J2048">
        <v>685.01</v>
      </c>
      <c r="K2048">
        <v>261.02579735548528</v>
      </c>
    </row>
    <row r="2049" spans="1:11" x14ac:dyDescent="0.25">
      <c r="A2049" t="s">
        <v>445</v>
      </c>
      <c r="B2049" t="s">
        <v>1685</v>
      </c>
      <c r="C2049" s="1">
        <v>42054</v>
      </c>
      <c r="D2049" s="1">
        <v>42059</v>
      </c>
      <c r="E2049">
        <v>22321</v>
      </c>
      <c r="F2049" t="s">
        <v>309</v>
      </c>
      <c r="G2049" t="s">
        <v>16</v>
      </c>
      <c r="H2049" t="s">
        <v>5566</v>
      </c>
      <c r="I2049">
        <v>2.843</v>
      </c>
      <c r="J2049">
        <v>25194.47</v>
      </c>
      <c r="K2049">
        <v>8861.9310587407672</v>
      </c>
    </row>
    <row r="2050" spans="1:11" x14ac:dyDescent="0.25">
      <c r="A2050" t="s">
        <v>445</v>
      </c>
      <c r="B2050" t="s">
        <v>1685</v>
      </c>
      <c r="C2050" s="1">
        <v>42056</v>
      </c>
      <c r="D2050" s="1">
        <v>42059</v>
      </c>
      <c r="E2050">
        <v>22321</v>
      </c>
      <c r="F2050" t="s">
        <v>309</v>
      </c>
      <c r="G2050" t="s">
        <v>16</v>
      </c>
      <c r="H2050" t="s">
        <v>5567</v>
      </c>
      <c r="I2050">
        <v>2.8700999999999999</v>
      </c>
      <c r="J2050">
        <v>24406.46</v>
      </c>
      <c r="K2050">
        <v>8503.6967353053897</v>
      </c>
    </row>
    <row r="2051" spans="1:11" x14ac:dyDescent="0.25">
      <c r="A2051" t="s">
        <v>445</v>
      </c>
      <c r="B2051" t="s">
        <v>1685</v>
      </c>
      <c r="C2051" s="1">
        <v>42054</v>
      </c>
      <c r="D2051" s="1">
        <v>42059</v>
      </c>
      <c r="E2051">
        <v>22321</v>
      </c>
      <c r="F2051" t="s">
        <v>309</v>
      </c>
      <c r="G2051" t="s">
        <v>16</v>
      </c>
      <c r="H2051" t="s">
        <v>5568</v>
      </c>
      <c r="I2051">
        <v>2.843</v>
      </c>
      <c r="J2051">
        <v>26201.37</v>
      </c>
      <c r="K2051">
        <v>9216.0991909954282</v>
      </c>
    </row>
    <row r="2052" spans="1:11" x14ac:dyDescent="0.25">
      <c r="A2052" t="s">
        <v>423</v>
      </c>
      <c r="B2052" t="s">
        <v>1160</v>
      </c>
      <c r="C2052" s="1">
        <v>42057</v>
      </c>
      <c r="D2052" s="1">
        <v>42059</v>
      </c>
      <c r="E2052">
        <v>22776</v>
      </c>
      <c r="F2052" t="s">
        <v>368</v>
      </c>
      <c r="G2052" t="s">
        <v>16</v>
      </c>
      <c r="H2052" t="s">
        <v>5569</v>
      </c>
      <c r="I2052">
        <v>2.8700999999999999</v>
      </c>
      <c r="J2052">
        <v>36103.15</v>
      </c>
      <c r="K2052">
        <v>12579.056478868331</v>
      </c>
    </row>
    <row r="2053" spans="1:11" x14ac:dyDescent="0.25">
      <c r="A2053" t="s">
        <v>5570</v>
      </c>
      <c r="C2053" s="1">
        <v>42010</v>
      </c>
      <c r="D2053" s="1">
        <v>42026</v>
      </c>
      <c r="E2053">
        <v>22299</v>
      </c>
      <c r="F2053" t="s">
        <v>298</v>
      </c>
      <c r="G2053" t="s">
        <v>16</v>
      </c>
      <c r="H2053" t="s">
        <v>5571</v>
      </c>
      <c r="I2053">
        <v>2.7107000000000001</v>
      </c>
      <c r="J2053">
        <v>29.32</v>
      </c>
      <c r="K2053">
        <v>10.816394289297968</v>
      </c>
    </row>
    <row r="2054" spans="1:11" x14ac:dyDescent="0.25">
      <c r="A2054" t="s">
        <v>1116</v>
      </c>
      <c r="B2054" t="s">
        <v>1117</v>
      </c>
      <c r="C2054" s="1">
        <v>42037</v>
      </c>
      <c r="D2054" s="1">
        <v>42039</v>
      </c>
      <c r="E2054">
        <v>21004</v>
      </c>
      <c r="F2054" t="s">
        <v>368</v>
      </c>
      <c r="G2054" t="s">
        <v>16</v>
      </c>
      <c r="H2054" t="s">
        <v>5572</v>
      </c>
      <c r="I2054">
        <v>2.6623000000000001</v>
      </c>
      <c r="J2054">
        <v>34577.379999999997</v>
      </c>
      <c r="K2054">
        <v>12987.784997934117</v>
      </c>
    </row>
    <row r="2055" spans="1:11" x14ac:dyDescent="0.25">
      <c r="A2055" t="s">
        <v>2151</v>
      </c>
      <c r="C2055" s="1">
        <v>42026</v>
      </c>
      <c r="D2055" s="1">
        <v>42028</v>
      </c>
      <c r="E2055">
        <v>22318</v>
      </c>
      <c r="F2055" t="s">
        <v>296</v>
      </c>
      <c r="G2055" t="s">
        <v>16</v>
      </c>
      <c r="H2055" t="s">
        <v>2152</v>
      </c>
      <c r="I2055">
        <v>2.5968</v>
      </c>
      <c r="J2055">
        <v>228.46</v>
      </c>
      <c r="K2055">
        <v>87.97751078250154</v>
      </c>
    </row>
    <row r="2056" spans="1:11" x14ac:dyDescent="0.25">
      <c r="A2056" t="s">
        <v>1116</v>
      </c>
      <c r="B2056" t="s">
        <v>1117</v>
      </c>
      <c r="C2056" s="1">
        <v>42027</v>
      </c>
      <c r="D2056" s="1">
        <v>42030</v>
      </c>
      <c r="E2056">
        <v>21004</v>
      </c>
      <c r="F2056" t="s">
        <v>368</v>
      </c>
      <c r="G2056" t="s">
        <v>16</v>
      </c>
      <c r="H2056" t="s">
        <v>2153</v>
      </c>
      <c r="I2056">
        <v>2.5754000000000001</v>
      </c>
      <c r="J2056">
        <v>45140.09</v>
      </c>
      <c r="K2056">
        <v>17527.409334472315</v>
      </c>
    </row>
    <row r="2057" spans="1:11" x14ac:dyDescent="0.25">
      <c r="A2057" t="s">
        <v>1116</v>
      </c>
      <c r="B2057" t="s">
        <v>1117</v>
      </c>
      <c r="C2057" s="1">
        <v>42030</v>
      </c>
      <c r="D2057" s="1">
        <v>42031</v>
      </c>
      <c r="E2057">
        <v>21004</v>
      </c>
      <c r="F2057" t="s">
        <v>368</v>
      </c>
      <c r="G2057" t="s">
        <v>16</v>
      </c>
      <c r="H2057" t="s">
        <v>2154</v>
      </c>
      <c r="I2057">
        <v>2.5855999999999999</v>
      </c>
      <c r="J2057">
        <v>41519.269999999997</v>
      </c>
      <c r="K2057">
        <v>16057.885983910892</v>
      </c>
    </row>
    <row r="2058" spans="1:11" x14ac:dyDescent="0.25">
      <c r="A2058" t="s">
        <v>423</v>
      </c>
      <c r="B2058" t="s">
        <v>1160</v>
      </c>
      <c r="C2058" s="1">
        <v>42048</v>
      </c>
      <c r="D2058" s="1">
        <v>42050</v>
      </c>
      <c r="E2058">
        <v>22776</v>
      </c>
      <c r="F2058" t="s">
        <v>368</v>
      </c>
      <c r="G2058" t="s">
        <v>16</v>
      </c>
      <c r="H2058" t="s">
        <v>5573</v>
      </c>
      <c r="I2058">
        <v>2.8624999999999998</v>
      </c>
      <c r="J2058">
        <v>45369.5</v>
      </c>
      <c r="K2058">
        <v>15849.606986899564</v>
      </c>
    </row>
    <row r="2059" spans="1:11" x14ac:dyDescent="0.25">
      <c r="A2059" t="s">
        <v>369</v>
      </c>
      <c r="B2059" t="s">
        <v>1153</v>
      </c>
      <c r="C2059" s="1">
        <v>42049</v>
      </c>
      <c r="D2059" s="1">
        <v>42051</v>
      </c>
      <c r="E2059">
        <v>22709</v>
      </c>
      <c r="F2059" t="s">
        <v>368</v>
      </c>
      <c r="G2059" t="s">
        <v>16</v>
      </c>
      <c r="H2059" t="s">
        <v>2155</v>
      </c>
      <c r="I2059">
        <v>2.8391999999999999</v>
      </c>
      <c r="J2059">
        <v>49069.82</v>
      </c>
      <c r="K2059">
        <v>17282.974077204846</v>
      </c>
    </row>
    <row r="2060" spans="1:11" x14ac:dyDescent="0.25">
      <c r="A2060" t="s">
        <v>369</v>
      </c>
      <c r="B2060" t="s">
        <v>1153</v>
      </c>
      <c r="C2060" s="1">
        <v>42053</v>
      </c>
      <c r="D2060" s="1">
        <v>42055</v>
      </c>
      <c r="E2060">
        <v>22709</v>
      </c>
      <c r="F2060" t="s">
        <v>368</v>
      </c>
      <c r="G2060" t="s">
        <v>16</v>
      </c>
      <c r="H2060" t="s">
        <v>5574</v>
      </c>
      <c r="I2060">
        <v>2.8391999999999999</v>
      </c>
      <c r="J2060">
        <v>66621.03</v>
      </c>
      <c r="K2060">
        <v>23464.718934911241</v>
      </c>
    </row>
    <row r="2061" spans="1:11" x14ac:dyDescent="0.25">
      <c r="A2061" t="s">
        <v>369</v>
      </c>
      <c r="B2061" t="s">
        <v>1153</v>
      </c>
      <c r="C2061" s="1">
        <v>42052</v>
      </c>
      <c r="D2061" s="1">
        <v>42056</v>
      </c>
      <c r="E2061">
        <v>22709</v>
      </c>
      <c r="F2061" t="s">
        <v>368</v>
      </c>
      <c r="G2061" t="s">
        <v>16</v>
      </c>
      <c r="H2061" t="s">
        <v>5575</v>
      </c>
      <c r="I2061">
        <v>2.8391999999999999</v>
      </c>
      <c r="J2061">
        <v>49873.8</v>
      </c>
      <c r="K2061">
        <v>17566.145393068469</v>
      </c>
    </row>
    <row r="2062" spans="1:11" x14ac:dyDescent="0.25">
      <c r="A2062" t="s">
        <v>5576</v>
      </c>
      <c r="C2062" s="1">
        <v>42025</v>
      </c>
      <c r="D2062" s="1">
        <v>42040</v>
      </c>
      <c r="E2062">
        <v>22608</v>
      </c>
      <c r="F2062" t="s">
        <v>285</v>
      </c>
      <c r="G2062" t="s">
        <v>16</v>
      </c>
      <c r="H2062" t="s">
        <v>5577</v>
      </c>
      <c r="I2062">
        <v>2.6246999999999998</v>
      </c>
      <c r="J2062">
        <v>800</v>
      </c>
      <c r="K2062">
        <v>304.79673867489618</v>
      </c>
    </row>
    <row r="2063" spans="1:11" x14ac:dyDescent="0.25">
      <c r="A2063" t="s">
        <v>1145</v>
      </c>
      <c r="B2063" t="s">
        <v>1146</v>
      </c>
      <c r="C2063" s="1">
        <v>42043</v>
      </c>
      <c r="D2063" s="1">
        <v>42046</v>
      </c>
      <c r="E2063">
        <v>21007</v>
      </c>
      <c r="F2063" t="s">
        <v>368</v>
      </c>
      <c r="G2063" t="s">
        <v>16</v>
      </c>
      <c r="H2063" t="s">
        <v>5578</v>
      </c>
      <c r="I2063">
        <v>2.7641</v>
      </c>
      <c r="J2063">
        <v>46533.55</v>
      </c>
      <c r="K2063">
        <v>16834.973409066242</v>
      </c>
    </row>
    <row r="2064" spans="1:11" x14ac:dyDescent="0.25">
      <c r="A2064" t="s">
        <v>1145</v>
      </c>
      <c r="B2064" t="s">
        <v>1146</v>
      </c>
      <c r="C2064" s="1">
        <v>42044</v>
      </c>
      <c r="D2064" s="1">
        <v>42046</v>
      </c>
      <c r="E2064">
        <v>21007</v>
      </c>
      <c r="F2064" t="s">
        <v>368</v>
      </c>
      <c r="G2064" t="s">
        <v>16</v>
      </c>
      <c r="H2064" t="s">
        <v>5579</v>
      </c>
      <c r="I2064">
        <v>2.7641</v>
      </c>
      <c r="J2064">
        <v>34740.410000000003</v>
      </c>
      <c r="K2064">
        <v>12568.4345718317</v>
      </c>
    </row>
    <row r="2065" spans="1:11" x14ac:dyDescent="0.25">
      <c r="A2065" t="s">
        <v>1116</v>
      </c>
      <c r="B2065" t="s">
        <v>1117</v>
      </c>
      <c r="C2065" s="1">
        <v>42033</v>
      </c>
      <c r="D2065" s="1">
        <v>42035</v>
      </c>
      <c r="E2065">
        <v>21004</v>
      </c>
      <c r="F2065" t="s">
        <v>368</v>
      </c>
      <c r="G2065" t="s">
        <v>16</v>
      </c>
      <c r="H2065" t="s">
        <v>2156</v>
      </c>
      <c r="I2065">
        <v>2.5796999999999999</v>
      </c>
      <c r="J2065">
        <v>32774.76</v>
      </c>
      <c r="K2065">
        <v>12704.872659611583</v>
      </c>
    </row>
    <row r="2066" spans="1:11" x14ac:dyDescent="0.25">
      <c r="A2066" t="s">
        <v>1145</v>
      </c>
      <c r="B2066" t="s">
        <v>1146</v>
      </c>
      <c r="C2066" s="1">
        <v>42041</v>
      </c>
      <c r="D2066" s="1">
        <v>42045</v>
      </c>
      <c r="E2066">
        <v>21007</v>
      </c>
      <c r="F2066" t="s">
        <v>368</v>
      </c>
      <c r="G2066" t="s">
        <v>16</v>
      </c>
      <c r="H2066" t="s">
        <v>2157</v>
      </c>
      <c r="I2066">
        <v>2.7385999999999999</v>
      </c>
      <c r="J2066">
        <v>45582.84</v>
      </c>
      <c r="K2066">
        <v>16644.57752136128</v>
      </c>
    </row>
    <row r="2067" spans="1:11" x14ac:dyDescent="0.25">
      <c r="A2067" t="s">
        <v>1116</v>
      </c>
      <c r="B2067" t="s">
        <v>1117</v>
      </c>
      <c r="C2067" s="1">
        <v>42026</v>
      </c>
      <c r="D2067" s="1">
        <v>42028</v>
      </c>
      <c r="E2067">
        <v>21004</v>
      </c>
      <c r="F2067" t="s">
        <v>368</v>
      </c>
      <c r="G2067" t="s">
        <v>16</v>
      </c>
      <c r="H2067" t="s">
        <v>5580</v>
      </c>
      <c r="I2067">
        <v>2.5968</v>
      </c>
      <c r="J2067">
        <v>34505.93</v>
      </c>
      <c r="K2067">
        <v>13287.86583487369</v>
      </c>
    </row>
    <row r="2068" spans="1:11" x14ac:dyDescent="0.25">
      <c r="A2068" t="s">
        <v>1116</v>
      </c>
      <c r="B2068" t="s">
        <v>1117</v>
      </c>
      <c r="C2068" s="1">
        <v>42033</v>
      </c>
      <c r="D2068" s="1">
        <v>42035</v>
      </c>
      <c r="E2068">
        <v>21004</v>
      </c>
      <c r="F2068" t="s">
        <v>368</v>
      </c>
      <c r="G2068" t="s">
        <v>16</v>
      </c>
      <c r="H2068" t="s">
        <v>5581</v>
      </c>
      <c r="I2068">
        <v>2.5796999999999999</v>
      </c>
      <c r="J2068">
        <v>34483.35</v>
      </c>
      <c r="K2068">
        <v>13367.193859751134</v>
      </c>
    </row>
    <row r="2069" spans="1:11" x14ac:dyDescent="0.25">
      <c r="A2069" t="s">
        <v>308</v>
      </c>
      <c r="B2069" t="s">
        <v>5132</v>
      </c>
      <c r="C2069" s="1">
        <v>42072</v>
      </c>
      <c r="D2069" s="1">
        <v>42080</v>
      </c>
      <c r="E2069">
        <v>23228</v>
      </c>
      <c r="F2069" t="s">
        <v>301</v>
      </c>
      <c r="G2069" t="s">
        <v>16</v>
      </c>
      <c r="H2069" t="s">
        <v>5582</v>
      </c>
      <c r="I2069">
        <v>3.0366</v>
      </c>
      <c r="J2069">
        <v>95710.6</v>
      </c>
      <c r="K2069">
        <v>31519.001514852138</v>
      </c>
    </row>
    <row r="2070" spans="1:11" x14ac:dyDescent="0.25">
      <c r="A2070" t="s">
        <v>342</v>
      </c>
      <c r="B2070" t="s">
        <v>1169</v>
      </c>
      <c r="C2070" s="1">
        <v>42090</v>
      </c>
      <c r="D2070" s="1">
        <v>42095</v>
      </c>
      <c r="E2070">
        <v>2</v>
      </c>
      <c r="F2070" t="s">
        <v>301</v>
      </c>
      <c r="G2070" t="s">
        <v>16</v>
      </c>
      <c r="H2070" t="s">
        <v>5583</v>
      </c>
      <c r="I2070">
        <v>3.1915</v>
      </c>
      <c r="J2070">
        <v>79830.009999999995</v>
      </c>
      <c r="K2070">
        <v>25013.319755600816</v>
      </c>
    </row>
    <row r="2071" spans="1:11" x14ac:dyDescent="0.25">
      <c r="A2071" t="s">
        <v>369</v>
      </c>
      <c r="B2071" t="s">
        <v>1153</v>
      </c>
      <c r="C2071" s="1">
        <v>42069</v>
      </c>
      <c r="D2071" s="1">
        <v>42073</v>
      </c>
      <c r="E2071">
        <v>22709</v>
      </c>
      <c r="F2071" t="s">
        <v>368</v>
      </c>
      <c r="G2071" t="s">
        <v>16</v>
      </c>
      <c r="H2071" t="s">
        <v>5584</v>
      </c>
      <c r="I2071">
        <v>2.9931000000000001</v>
      </c>
      <c r="J2071">
        <v>66497.62</v>
      </c>
      <c r="K2071">
        <v>22216.972369783834</v>
      </c>
    </row>
    <row r="2072" spans="1:11" x14ac:dyDescent="0.25">
      <c r="A2072" t="s">
        <v>1175</v>
      </c>
      <c r="B2072" t="s">
        <v>1176</v>
      </c>
      <c r="C2072" s="1">
        <v>42082</v>
      </c>
      <c r="D2072" s="1">
        <v>42087</v>
      </c>
      <c r="E2072">
        <v>20066</v>
      </c>
      <c r="F2072" t="s">
        <v>368</v>
      </c>
      <c r="G2072" t="s">
        <v>16</v>
      </c>
      <c r="H2072" t="s">
        <v>2158</v>
      </c>
      <c r="I2072">
        <v>3.2517999999999998</v>
      </c>
      <c r="J2072">
        <v>40903.870000000003</v>
      </c>
      <c r="K2072">
        <v>12578.83941201796</v>
      </c>
    </row>
    <row r="2073" spans="1:11" x14ac:dyDescent="0.25">
      <c r="A2073" t="s">
        <v>366</v>
      </c>
      <c r="B2073" t="s">
        <v>1697</v>
      </c>
      <c r="C2073" s="1">
        <v>42055</v>
      </c>
      <c r="D2073" s="1">
        <v>42065</v>
      </c>
      <c r="E2073">
        <v>23069</v>
      </c>
      <c r="F2073" t="s">
        <v>318</v>
      </c>
      <c r="G2073" t="s">
        <v>16</v>
      </c>
      <c r="H2073" t="s">
        <v>2159</v>
      </c>
      <c r="I2073">
        <v>2.8544999999999998</v>
      </c>
      <c r="J2073">
        <v>170483.94</v>
      </c>
      <c r="K2073">
        <v>59724.624277456649</v>
      </c>
    </row>
    <row r="2074" spans="1:11" x14ac:dyDescent="0.25">
      <c r="A2074" t="s">
        <v>552</v>
      </c>
      <c r="B2074" t="s">
        <v>3976</v>
      </c>
      <c r="C2074" s="1">
        <v>42090</v>
      </c>
      <c r="D2074" s="1">
        <v>42107</v>
      </c>
      <c r="E2074">
        <v>2</v>
      </c>
      <c r="F2074" t="s">
        <v>301</v>
      </c>
      <c r="G2074" t="s">
        <v>16</v>
      </c>
      <c r="H2074" t="s">
        <v>5585</v>
      </c>
      <c r="I2074">
        <v>3.1915</v>
      </c>
      <c r="J2074">
        <v>80010.009999999995</v>
      </c>
      <c r="K2074">
        <v>25069.719567601442</v>
      </c>
    </row>
    <row r="2075" spans="1:11" x14ac:dyDescent="0.25">
      <c r="A2075" t="s">
        <v>463</v>
      </c>
      <c r="B2075" t="s">
        <v>1185</v>
      </c>
      <c r="C2075" s="1">
        <v>42090</v>
      </c>
      <c r="D2075" s="1">
        <v>42101</v>
      </c>
      <c r="E2075">
        <v>2</v>
      </c>
      <c r="F2075" t="s">
        <v>301</v>
      </c>
      <c r="G2075" t="s">
        <v>16</v>
      </c>
      <c r="H2075" t="s">
        <v>5586</v>
      </c>
      <c r="I2075">
        <v>3.1915</v>
      </c>
      <c r="J2075">
        <v>79830.009999999995</v>
      </c>
      <c r="K2075">
        <v>25013.319755600816</v>
      </c>
    </row>
    <row r="2076" spans="1:11" x14ac:dyDescent="0.25">
      <c r="A2076" t="s">
        <v>1175</v>
      </c>
      <c r="B2076" t="s">
        <v>1176</v>
      </c>
      <c r="C2076" s="1">
        <v>42082</v>
      </c>
      <c r="D2076" s="1">
        <v>42101</v>
      </c>
      <c r="E2076">
        <v>20066</v>
      </c>
      <c r="F2076" t="s">
        <v>368</v>
      </c>
      <c r="G2076" t="s">
        <v>16</v>
      </c>
      <c r="H2076" t="s">
        <v>1878</v>
      </c>
      <c r="I2076">
        <v>3.2517999999999998</v>
      </c>
      <c r="J2076">
        <v>40903.870000000003</v>
      </c>
      <c r="K2076">
        <v>12578.83941201796</v>
      </c>
    </row>
    <row r="2077" spans="1:11" x14ac:dyDescent="0.25">
      <c r="A2077" t="s">
        <v>2160</v>
      </c>
      <c r="C2077" s="1">
        <v>42124</v>
      </c>
      <c r="D2077" s="1">
        <v>42137</v>
      </c>
      <c r="E2077">
        <v>22550</v>
      </c>
      <c r="F2077" t="s">
        <v>519</v>
      </c>
      <c r="G2077" t="s">
        <v>16</v>
      </c>
      <c r="H2077" t="s">
        <v>2161</v>
      </c>
      <c r="I2077">
        <v>2.9375</v>
      </c>
      <c r="J2077">
        <v>227.1</v>
      </c>
      <c r="K2077">
        <v>77.310638297872345</v>
      </c>
    </row>
    <row r="2078" spans="1:11" x14ac:dyDescent="0.25">
      <c r="A2078" t="s">
        <v>626</v>
      </c>
      <c r="B2078" t="s">
        <v>2162</v>
      </c>
      <c r="C2078" s="1">
        <v>42136</v>
      </c>
      <c r="D2078" s="1">
        <v>42144</v>
      </c>
      <c r="E2078">
        <v>2</v>
      </c>
      <c r="F2078" t="s">
        <v>301</v>
      </c>
      <c r="G2078" t="s">
        <v>16</v>
      </c>
      <c r="H2078" t="s">
        <v>2163</v>
      </c>
      <c r="I2078">
        <v>3.0175000000000001</v>
      </c>
      <c r="J2078">
        <v>75779.990000000005</v>
      </c>
      <c r="K2078">
        <v>25113.501242750623</v>
      </c>
    </row>
    <row r="2079" spans="1:11" x14ac:dyDescent="0.25">
      <c r="A2079" t="s">
        <v>611</v>
      </c>
      <c r="B2079" t="s">
        <v>2164</v>
      </c>
      <c r="C2079" s="1">
        <v>42145</v>
      </c>
      <c r="D2079" s="1">
        <v>42166</v>
      </c>
      <c r="E2079">
        <v>3</v>
      </c>
      <c r="F2079" t="s">
        <v>301</v>
      </c>
      <c r="G2079" t="s">
        <v>16</v>
      </c>
      <c r="H2079" t="s">
        <v>2165</v>
      </c>
      <c r="I2079">
        <v>3.0347</v>
      </c>
      <c r="J2079">
        <v>74565.009999999995</v>
      </c>
      <c r="K2079">
        <v>24570.801067650838</v>
      </c>
    </row>
    <row r="2080" spans="1:11" x14ac:dyDescent="0.25">
      <c r="A2080" t="s">
        <v>405</v>
      </c>
      <c r="B2080" t="s">
        <v>1703</v>
      </c>
      <c r="C2080" s="1">
        <v>42179</v>
      </c>
      <c r="D2080" s="1">
        <v>42180</v>
      </c>
      <c r="E2080">
        <v>4</v>
      </c>
      <c r="F2080" t="s">
        <v>368</v>
      </c>
      <c r="G2080" t="s">
        <v>16</v>
      </c>
      <c r="H2080" t="s">
        <v>2166</v>
      </c>
      <c r="I2080">
        <v>3.1042000000000001</v>
      </c>
      <c r="J2080">
        <v>33727.910000000003</v>
      </c>
      <c r="K2080">
        <v>10865.250306036982</v>
      </c>
    </row>
    <row r="2081" spans="1:11" x14ac:dyDescent="0.25">
      <c r="A2081" t="s">
        <v>485</v>
      </c>
      <c r="B2081" t="s">
        <v>1188</v>
      </c>
      <c r="C2081" s="1">
        <v>42177</v>
      </c>
      <c r="D2081" s="1">
        <v>42185</v>
      </c>
      <c r="E2081">
        <v>3</v>
      </c>
      <c r="F2081" t="s">
        <v>368</v>
      </c>
      <c r="G2081" t="s">
        <v>16</v>
      </c>
      <c r="H2081" t="s">
        <v>2167</v>
      </c>
      <c r="I2081">
        <v>3.0788000000000002</v>
      </c>
      <c r="J2081">
        <v>33469.760000000002</v>
      </c>
      <c r="K2081">
        <v>10871.040665194232</v>
      </c>
    </row>
    <row r="2082" spans="1:11" x14ac:dyDescent="0.25">
      <c r="A2082" t="s">
        <v>2168</v>
      </c>
      <c r="C2082" s="1">
        <v>42172</v>
      </c>
      <c r="D2082" s="1">
        <v>42173</v>
      </c>
      <c r="E2082">
        <v>1091</v>
      </c>
      <c r="F2082" t="s">
        <v>519</v>
      </c>
      <c r="G2082" t="s">
        <v>16</v>
      </c>
      <c r="H2082" t="s">
        <v>2169</v>
      </c>
      <c r="I2082">
        <v>3.1082000000000001</v>
      </c>
      <c r="J2082">
        <v>55.87</v>
      </c>
      <c r="K2082">
        <v>17.975033781609934</v>
      </c>
    </row>
    <row r="2083" spans="1:11" x14ac:dyDescent="0.25">
      <c r="A2083" t="s">
        <v>405</v>
      </c>
      <c r="B2083" t="s">
        <v>1703</v>
      </c>
      <c r="C2083" s="1">
        <v>42178</v>
      </c>
      <c r="D2083" s="1">
        <v>42181</v>
      </c>
      <c r="E2083">
        <v>4</v>
      </c>
      <c r="F2083" t="s">
        <v>368</v>
      </c>
      <c r="G2083" t="s">
        <v>16</v>
      </c>
      <c r="H2083" t="s">
        <v>5587</v>
      </c>
      <c r="I2083">
        <v>3.0756999999999999</v>
      </c>
      <c r="J2083">
        <v>23705.8</v>
      </c>
      <c r="K2083">
        <v>7707.4487108625681</v>
      </c>
    </row>
    <row r="2084" spans="1:11" x14ac:dyDescent="0.25">
      <c r="A2084" t="s">
        <v>405</v>
      </c>
      <c r="B2084" t="s">
        <v>1703</v>
      </c>
      <c r="C2084" s="1">
        <v>42177</v>
      </c>
      <c r="D2084" s="1">
        <v>42180</v>
      </c>
      <c r="E2084">
        <v>4</v>
      </c>
      <c r="F2084" t="s">
        <v>368</v>
      </c>
      <c r="G2084" t="s">
        <v>16</v>
      </c>
      <c r="H2084" t="s">
        <v>2170</v>
      </c>
      <c r="I2084">
        <v>3.0788000000000002</v>
      </c>
      <c r="J2084">
        <v>45709.57</v>
      </c>
      <c r="K2084">
        <v>14846.553852150188</v>
      </c>
    </row>
    <row r="2085" spans="1:11" x14ac:dyDescent="0.25">
      <c r="A2085" t="s">
        <v>429</v>
      </c>
      <c r="B2085" t="s">
        <v>1216</v>
      </c>
      <c r="C2085" s="1">
        <v>42213</v>
      </c>
      <c r="D2085" s="1">
        <v>42216</v>
      </c>
      <c r="E2085">
        <v>5</v>
      </c>
      <c r="F2085" t="s">
        <v>301</v>
      </c>
      <c r="G2085" t="s">
        <v>16</v>
      </c>
      <c r="H2085" t="s">
        <v>5588</v>
      </c>
      <c r="I2085">
        <v>3.3557000000000001</v>
      </c>
      <c r="J2085">
        <v>135135.95000000001</v>
      </c>
      <c r="K2085">
        <v>40270.569478797268</v>
      </c>
    </row>
    <row r="2086" spans="1:11" x14ac:dyDescent="0.25">
      <c r="A2086" t="s">
        <v>610</v>
      </c>
      <c r="B2086" t="s">
        <v>1192</v>
      </c>
      <c r="C2086" s="1">
        <v>42178</v>
      </c>
      <c r="D2086" s="1">
        <v>42192</v>
      </c>
      <c r="E2086">
        <v>5</v>
      </c>
      <c r="F2086" t="s">
        <v>368</v>
      </c>
      <c r="G2086" t="s">
        <v>16</v>
      </c>
      <c r="H2086" t="s">
        <v>5589</v>
      </c>
      <c r="I2086">
        <v>3.0756999999999999</v>
      </c>
      <c r="J2086">
        <v>35567.620000000003</v>
      </c>
      <c r="K2086">
        <v>11564.073219104594</v>
      </c>
    </row>
    <row r="2087" spans="1:11" x14ac:dyDescent="0.25">
      <c r="A2087" t="s">
        <v>610</v>
      </c>
      <c r="B2087" t="s">
        <v>1192</v>
      </c>
      <c r="C2087" s="1">
        <v>42186</v>
      </c>
      <c r="D2087" s="1">
        <v>42192</v>
      </c>
      <c r="E2087">
        <v>5</v>
      </c>
      <c r="F2087" t="s">
        <v>368</v>
      </c>
      <c r="G2087" t="s">
        <v>16</v>
      </c>
      <c r="H2087" t="s">
        <v>2171</v>
      </c>
      <c r="I2087">
        <v>3.1025999999999998</v>
      </c>
      <c r="J2087">
        <v>33332.660000000003</v>
      </c>
      <c r="K2087">
        <v>10743.460323599562</v>
      </c>
    </row>
    <row r="2088" spans="1:11" x14ac:dyDescent="0.25">
      <c r="A2088" t="s">
        <v>610</v>
      </c>
      <c r="B2088" t="s">
        <v>1192</v>
      </c>
      <c r="C2088" s="1">
        <v>42180</v>
      </c>
      <c r="D2088" s="1">
        <v>42192</v>
      </c>
      <c r="E2088">
        <v>5</v>
      </c>
      <c r="F2088" t="s">
        <v>368</v>
      </c>
      <c r="G2088" t="s">
        <v>16</v>
      </c>
      <c r="H2088" t="s">
        <v>5590</v>
      </c>
      <c r="I2088">
        <v>3.0851999999999999</v>
      </c>
      <c r="J2088">
        <v>44042.19</v>
      </c>
      <c r="K2088">
        <v>14275.311162971606</v>
      </c>
    </row>
    <row r="2089" spans="1:11" x14ac:dyDescent="0.25">
      <c r="A2089" t="s">
        <v>413</v>
      </c>
      <c r="B2089" t="s">
        <v>1196</v>
      </c>
      <c r="C2089" s="1">
        <v>42216</v>
      </c>
      <c r="D2089" s="1">
        <v>42218</v>
      </c>
      <c r="E2089">
        <v>1</v>
      </c>
      <c r="F2089" t="s">
        <v>368</v>
      </c>
      <c r="G2089" t="s">
        <v>16</v>
      </c>
      <c r="H2089" t="s">
        <v>2172</v>
      </c>
      <c r="I2089">
        <v>3.3652000000000002</v>
      </c>
      <c r="J2089">
        <v>81067.839999999997</v>
      </c>
      <c r="K2089">
        <v>24090.051111375251</v>
      </c>
    </row>
    <row r="2090" spans="1:11" x14ac:dyDescent="0.25">
      <c r="A2090" t="s">
        <v>625</v>
      </c>
      <c r="B2090" t="s">
        <v>1711</v>
      </c>
      <c r="C2090" s="1">
        <v>42207</v>
      </c>
      <c r="D2090" s="1">
        <v>42210</v>
      </c>
      <c r="E2090">
        <v>1</v>
      </c>
      <c r="F2090" t="s">
        <v>368</v>
      </c>
      <c r="G2090" t="s">
        <v>16</v>
      </c>
      <c r="H2090" t="s">
        <v>5591</v>
      </c>
      <c r="I2090">
        <v>3.1812999999999998</v>
      </c>
      <c r="J2090">
        <v>76177</v>
      </c>
      <c r="K2090">
        <v>23945.242510923206</v>
      </c>
    </row>
    <row r="2091" spans="1:11" x14ac:dyDescent="0.25">
      <c r="A2091" t="s">
        <v>610</v>
      </c>
      <c r="B2091" t="s">
        <v>1192</v>
      </c>
      <c r="C2091" s="1">
        <v>42189</v>
      </c>
      <c r="D2091" s="1">
        <v>42196</v>
      </c>
      <c r="E2091">
        <v>5</v>
      </c>
      <c r="F2091" t="s">
        <v>368</v>
      </c>
      <c r="G2091" t="s">
        <v>16</v>
      </c>
      <c r="H2091" t="s">
        <v>5592</v>
      </c>
      <c r="I2091">
        <v>3.1271</v>
      </c>
      <c r="J2091">
        <v>34221.58</v>
      </c>
      <c r="K2091">
        <v>10943.551533369575</v>
      </c>
    </row>
    <row r="2092" spans="1:11" x14ac:dyDescent="0.25">
      <c r="A2092" t="s">
        <v>413</v>
      </c>
      <c r="B2092" t="s">
        <v>1196</v>
      </c>
      <c r="C2092" s="1">
        <v>42216</v>
      </c>
      <c r="D2092" s="1">
        <v>42219</v>
      </c>
      <c r="E2092">
        <v>1</v>
      </c>
      <c r="F2092" t="s">
        <v>368</v>
      </c>
      <c r="G2092" t="s">
        <v>16</v>
      </c>
      <c r="H2092" t="s">
        <v>5593</v>
      </c>
      <c r="I2092">
        <v>3.3652000000000002</v>
      </c>
      <c r="J2092">
        <v>81099.47</v>
      </c>
      <c r="K2092">
        <v>24099.450255556876</v>
      </c>
    </row>
    <row r="2093" spans="1:11" x14ac:dyDescent="0.25">
      <c r="A2093" t="s">
        <v>413</v>
      </c>
      <c r="B2093" t="s">
        <v>1196</v>
      </c>
      <c r="C2093" s="1">
        <v>42216</v>
      </c>
      <c r="D2093" s="1">
        <v>42220</v>
      </c>
      <c r="E2093">
        <v>1</v>
      </c>
      <c r="F2093" t="s">
        <v>368</v>
      </c>
      <c r="G2093" t="s">
        <v>16</v>
      </c>
      <c r="H2093" t="s">
        <v>2173</v>
      </c>
      <c r="I2093">
        <v>3.3652000000000002</v>
      </c>
      <c r="J2093">
        <v>58689.58</v>
      </c>
      <c r="K2093">
        <v>17440.146202305954</v>
      </c>
    </row>
    <row r="2094" spans="1:11" x14ac:dyDescent="0.25">
      <c r="A2094" t="s">
        <v>571</v>
      </c>
      <c r="B2094" t="s">
        <v>1198</v>
      </c>
      <c r="C2094" s="1">
        <v>42188</v>
      </c>
      <c r="D2094" s="1">
        <v>42195</v>
      </c>
      <c r="E2094">
        <v>3</v>
      </c>
      <c r="F2094" t="s">
        <v>368</v>
      </c>
      <c r="G2094" t="s">
        <v>16</v>
      </c>
      <c r="H2094" t="s">
        <v>2174</v>
      </c>
      <c r="I2094">
        <v>3.1173000000000002</v>
      </c>
      <c r="J2094">
        <v>46326.41</v>
      </c>
      <c r="K2094">
        <v>14861.068873704809</v>
      </c>
    </row>
    <row r="2095" spans="1:11" x14ac:dyDescent="0.25">
      <c r="A2095" t="s">
        <v>569</v>
      </c>
      <c r="B2095" t="s">
        <v>2175</v>
      </c>
      <c r="C2095" s="1">
        <v>42215</v>
      </c>
      <c r="D2095" s="1">
        <v>42220</v>
      </c>
      <c r="E2095">
        <v>1</v>
      </c>
      <c r="F2095" t="s">
        <v>368</v>
      </c>
      <c r="G2095" t="s">
        <v>16</v>
      </c>
      <c r="H2095" t="s">
        <v>2176</v>
      </c>
      <c r="I2095">
        <v>3.3418999999999999</v>
      </c>
      <c r="J2095">
        <v>79363</v>
      </c>
      <c r="K2095">
        <v>23747.867979293216</v>
      </c>
    </row>
    <row r="2096" spans="1:11" x14ac:dyDescent="0.25">
      <c r="A2096" t="s">
        <v>569</v>
      </c>
      <c r="B2096" t="s">
        <v>2175</v>
      </c>
      <c r="C2096" s="1">
        <v>42215</v>
      </c>
      <c r="D2096" s="1">
        <v>42220</v>
      </c>
      <c r="E2096">
        <v>1</v>
      </c>
      <c r="F2096" t="s">
        <v>368</v>
      </c>
      <c r="G2096" t="s">
        <v>16</v>
      </c>
      <c r="H2096" t="s">
        <v>2177</v>
      </c>
      <c r="I2096">
        <v>3.3418999999999999</v>
      </c>
      <c r="J2096">
        <v>52379.58</v>
      </c>
      <c r="K2096">
        <v>15673.592866333523</v>
      </c>
    </row>
    <row r="2097" spans="1:11" x14ac:dyDescent="0.25">
      <c r="A2097" t="s">
        <v>5594</v>
      </c>
      <c r="C2097" s="1">
        <v>42234</v>
      </c>
      <c r="D2097" s="1">
        <v>42256</v>
      </c>
      <c r="E2097">
        <v>27884</v>
      </c>
      <c r="F2097" t="s">
        <v>284</v>
      </c>
      <c r="G2097" t="s">
        <v>16</v>
      </c>
      <c r="H2097" t="s">
        <v>5595</v>
      </c>
      <c r="I2097">
        <v>3.4746000000000001</v>
      </c>
      <c r="J2097">
        <v>29881.9</v>
      </c>
      <c r="K2097">
        <v>8600.0978529902732</v>
      </c>
    </row>
    <row r="2098" spans="1:11" x14ac:dyDescent="0.25">
      <c r="A2098" t="s">
        <v>468</v>
      </c>
      <c r="B2098" t="s">
        <v>1203</v>
      </c>
      <c r="C2098" s="1">
        <v>42220</v>
      </c>
      <c r="D2098" s="1">
        <v>42223</v>
      </c>
      <c r="E2098">
        <v>1</v>
      </c>
      <c r="F2098" t="s">
        <v>368</v>
      </c>
      <c r="G2098" t="s">
        <v>16</v>
      </c>
      <c r="H2098" t="s">
        <v>5596</v>
      </c>
      <c r="I2098">
        <v>3.4424999999999999</v>
      </c>
      <c r="J2098">
        <v>80929.19</v>
      </c>
      <c r="K2098">
        <v>23508.842411038491</v>
      </c>
    </row>
    <row r="2099" spans="1:11" x14ac:dyDescent="0.25">
      <c r="A2099" t="s">
        <v>468</v>
      </c>
      <c r="B2099" t="s">
        <v>1203</v>
      </c>
      <c r="C2099" s="1">
        <v>42220</v>
      </c>
      <c r="D2099" s="1">
        <v>42223</v>
      </c>
      <c r="E2099">
        <v>1</v>
      </c>
      <c r="F2099" t="s">
        <v>368</v>
      </c>
      <c r="G2099" t="s">
        <v>16</v>
      </c>
      <c r="H2099" t="s">
        <v>2178</v>
      </c>
      <c r="I2099">
        <v>3.4424999999999999</v>
      </c>
      <c r="J2099">
        <v>59024.72</v>
      </c>
      <c r="K2099">
        <v>17145.888162672476</v>
      </c>
    </row>
    <row r="2100" spans="1:11" x14ac:dyDescent="0.25">
      <c r="A2100" t="s">
        <v>429</v>
      </c>
      <c r="B2100" t="s">
        <v>1216</v>
      </c>
      <c r="C2100" s="1">
        <v>42235</v>
      </c>
      <c r="D2100" s="1">
        <v>42247</v>
      </c>
      <c r="E2100">
        <v>5</v>
      </c>
      <c r="F2100" t="s">
        <v>301</v>
      </c>
      <c r="G2100" t="s">
        <v>16</v>
      </c>
      <c r="H2100" t="s">
        <v>2179</v>
      </c>
      <c r="I2100">
        <v>3.4811000000000001</v>
      </c>
      <c r="J2100">
        <v>148673.99</v>
      </c>
      <c r="K2100">
        <v>42708.9109764155</v>
      </c>
    </row>
    <row r="2101" spans="1:11" x14ac:dyDescent="0.25">
      <c r="A2101" t="s">
        <v>342</v>
      </c>
      <c r="B2101" t="s">
        <v>1169</v>
      </c>
      <c r="C2101" s="1">
        <v>42300</v>
      </c>
      <c r="D2101" s="1">
        <v>42304</v>
      </c>
      <c r="E2101">
        <v>2</v>
      </c>
      <c r="F2101" t="s">
        <v>675</v>
      </c>
      <c r="G2101" t="s">
        <v>16</v>
      </c>
      <c r="H2101" t="s">
        <v>2180</v>
      </c>
      <c r="I2101">
        <v>3.9359999999999999</v>
      </c>
      <c r="J2101">
        <v>79830</v>
      </c>
      <c r="K2101">
        <v>20282.012195121952</v>
      </c>
    </row>
    <row r="2102" spans="1:11" x14ac:dyDescent="0.25">
      <c r="A2102" t="s">
        <v>2181</v>
      </c>
      <c r="B2102" t="s">
        <v>2182</v>
      </c>
      <c r="C2102" s="1">
        <v>42256</v>
      </c>
      <c r="D2102" s="1">
        <v>42275</v>
      </c>
      <c r="E2102">
        <v>7</v>
      </c>
      <c r="F2102" t="s">
        <v>278</v>
      </c>
      <c r="G2102" t="s">
        <v>16</v>
      </c>
      <c r="H2102" t="s">
        <v>2183</v>
      </c>
      <c r="I2102">
        <v>3.8028</v>
      </c>
      <c r="J2102">
        <v>18750</v>
      </c>
      <c r="K2102">
        <v>4930.577469233197</v>
      </c>
    </row>
    <row r="2103" spans="1:11" x14ac:dyDescent="0.25">
      <c r="A2103" t="s">
        <v>2181</v>
      </c>
      <c r="B2103" t="s">
        <v>2182</v>
      </c>
      <c r="C2103" s="1">
        <v>42256</v>
      </c>
      <c r="D2103" s="1">
        <v>42275</v>
      </c>
      <c r="E2103">
        <v>7</v>
      </c>
      <c r="F2103" t="s">
        <v>278</v>
      </c>
      <c r="G2103" t="s">
        <v>16</v>
      </c>
      <c r="H2103" t="s">
        <v>5597</v>
      </c>
      <c r="I2103">
        <v>3.8028</v>
      </c>
      <c r="J2103">
        <v>40900.800000000003</v>
      </c>
      <c r="K2103">
        <v>10755.443357526034</v>
      </c>
    </row>
    <row r="2104" spans="1:11" x14ac:dyDescent="0.25">
      <c r="A2104" t="s">
        <v>456</v>
      </c>
      <c r="B2104" t="s">
        <v>2184</v>
      </c>
      <c r="C2104" s="1">
        <v>42259</v>
      </c>
      <c r="D2104" s="1">
        <v>42275</v>
      </c>
      <c r="E2104">
        <v>36</v>
      </c>
      <c r="F2104" t="s">
        <v>311</v>
      </c>
      <c r="G2104" t="s">
        <v>16</v>
      </c>
      <c r="H2104" t="s">
        <v>2185</v>
      </c>
      <c r="I2104">
        <v>3.8698000000000001</v>
      </c>
      <c r="J2104">
        <v>12222.49</v>
      </c>
      <c r="K2104">
        <v>3158.4293761951521</v>
      </c>
    </row>
    <row r="2105" spans="1:11" x14ac:dyDescent="0.25">
      <c r="A2105" t="s">
        <v>467</v>
      </c>
      <c r="B2105" t="s">
        <v>3122</v>
      </c>
      <c r="C2105" s="1">
        <v>42275</v>
      </c>
      <c r="D2105" s="1">
        <v>42283</v>
      </c>
      <c r="E2105">
        <v>5</v>
      </c>
      <c r="F2105" t="s">
        <v>675</v>
      </c>
      <c r="G2105" t="s">
        <v>16</v>
      </c>
      <c r="H2105" t="s">
        <v>2905</v>
      </c>
      <c r="I2105">
        <v>3.9479000000000002</v>
      </c>
      <c r="J2105">
        <v>243930</v>
      </c>
      <c r="K2105">
        <v>61787.27931305251</v>
      </c>
    </row>
    <row r="2106" spans="1:11" x14ac:dyDescent="0.25">
      <c r="A2106" t="s">
        <v>555</v>
      </c>
      <c r="B2106" t="s">
        <v>2199</v>
      </c>
      <c r="C2106" s="1">
        <v>42258</v>
      </c>
      <c r="D2106" s="1">
        <v>42297</v>
      </c>
      <c r="E2106">
        <v>3</v>
      </c>
      <c r="F2106" t="s">
        <v>301</v>
      </c>
      <c r="G2106" t="s">
        <v>16</v>
      </c>
      <c r="H2106" t="s">
        <v>5598</v>
      </c>
      <c r="I2106">
        <v>3.8698000000000001</v>
      </c>
      <c r="J2106">
        <v>5000.01</v>
      </c>
      <c r="K2106">
        <v>1292.0590211380434</v>
      </c>
    </row>
    <row r="2107" spans="1:11" x14ac:dyDescent="0.25">
      <c r="A2107" t="s">
        <v>350</v>
      </c>
      <c r="B2107" t="s">
        <v>1733</v>
      </c>
      <c r="C2107" s="1">
        <v>42296</v>
      </c>
      <c r="D2107" s="1">
        <v>42301</v>
      </c>
      <c r="E2107">
        <v>21</v>
      </c>
      <c r="F2107" t="s">
        <v>331</v>
      </c>
      <c r="G2107" t="s">
        <v>16</v>
      </c>
      <c r="H2107" t="s">
        <v>2186</v>
      </c>
      <c r="I2107">
        <v>3.8437999999999999</v>
      </c>
      <c r="J2107">
        <v>88868.45</v>
      </c>
      <c r="K2107">
        <v>23119.946407201209</v>
      </c>
    </row>
    <row r="2108" spans="1:11" x14ac:dyDescent="0.25">
      <c r="A2108" t="s">
        <v>342</v>
      </c>
      <c r="B2108" t="s">
        <v>1169</v>
      </c>
      <c r="C2108" s="1">
        <v>42260</v>
      </c>
      <c r="D2108" s="1">
        <v>42268</v>
      </c>
      <c r="E2108">
        <v>2</v>
      </c>
      <c r="F2108" t="s">
        <v>675</v>
      </c>
      <c r="G2108" t="s">
        <v>16</v>
      </c>
      <c r="H2108" t="s">
        <v>5599</v>
      </c>
      <c r="I2108">
        <v>3.8698000000000001</v>
      </c>
      <c r="J2108">
        <v>79830</v>
      </c>
      <c r="K2108">
        <v>20628.973073543853</v>
      </c>
    </row>
    <row r="2109" spans="1:11" x14ac:dyDescent="0.25">
      <c r="A2109" t="s">
        <v>4425</v>
      </c>
      <c r="B2109" t="s">
        <v>4426</v>
      </c>
      <c r="C2109" s="1">
        <v>42268</v>
      </c>
      <c r="D2109" s="1">
        <v>42276</v>
      </c>
      <c r="E2109">
        <v>15</v>
      </c>
      <c r="F2109" t="s">
        <v>318</v>
      </c>
      <c r="G2109" t="s">
        <v>16</v>
      </c>
      <c r="H2109" t="s">
        <v>5600</v>
      </c>
      <c r="I2109">
        <v>3.9020999999999999</v>
      </c>
      <c r="J2109">
        <v>395405.81</v>
      </c>
      <c r="K2109">
        <v>101331.5419902104</v>
      </c>
    </row>
    <row r="2110" spans="1:11" x14ac:dyDescent="0.25">
      <c r="A2110" t="s">
        <v>351</v>
      </c>
      <c r="B2110" t="s">
        <v>1214</v>
      </c>
      <c r="C2110" s="1">
        <v>42268</v>
      </c>
      <c r="D2110" s="1">
        <v>42277</v>
      </c>
      <c r="E2110">
        <v>17</v>
      </c>
      <c r="F2110" t="s">
        <v>311</v>
      </c>
      <c r="G2110" t="s">
        <v>16</v>
      </c>
      <c r="H2110" t="s">
        <v>5601</v>
      </c>
      <c r="I2110">
        <v>3.9020999999999999</v>
      </c>
      <c r="J2110">
        <v>228237.75</v>
      </c>
      <c r="K2110">
        <v>58491.004843545787</v>
      </c>
    </row>
    <row r="2111" spans="1:11" x14ac:dyDescent="0.25">
      <c r="A2111" t="s">
        <v>496</v>
      </c>
      <c r="B2111" t="s">
        <v>2187</v>
      </c>
      <c r="C2111" s="1">
        <v>42300</v>
      </c>
      <c r="D2111" s="1">
        <v>42304</v>
      </c>
      <c r="E2111">
        <v>32</v>
      </c>
      <c r="F2111" t="s">
        <v>278</v>
      </c>
      <c r="G2111" t="s">
        <v>16</v>
      </c>
      <c r="H2111" t="s">
        <v>2188</v>
      </c>
      <c r="I2111">
        <v>3.9359999999999999</v>
      </c>
      <c r="J2111">
        <v>13750</v>
      </c>
      <c r="K2111">
        <v>3493.3943089430895</v>
      </c>
    </row>
    <row r="2112" spans="1:11" x14ac:dyDescent="0.25">
      <c r="A2112" t="s">
        <v>484</v>
      </c>
      <c r="B2112" t="s">
        <v>1218</v>
      </c>
      <c r="C2112" s="1">
        <v>42268</v>
      </c>
      <c r="D2112" s="1">
        <v>42290</v>
      </c>
      <c r="E2112">
        <v>44</v>
      </c>
      <c r="F2112" t="s">
        <v>311</v>
      </c>
      <c r="G2112" t="s">
        <v>16</v>
      </c>
      <c r="H2112" t="s">
        <v>2189</v>
      </c>
      <c r="I2112">
        <v>3.9020999999999999</v>
      </c>
      <c r="J2112">
        <v>549916.43000000005</v>
      </c>
      <c r="K2112">
        <v>140928.32833602419</v>
      </c>
    </row>
    <row r="2113" spans="1:11" x14ac:dyDescent="0.25">
      <c r="A2113" t="s">
        <v>350</v>
      </c>
      <c r="B2113" t="s">
        <v>1733</v>
      </c>
      <c r="C2113" s="1">
        <v>42301</v>
      </c>
      <c r="D2113" s="1">
        <v>42304</v>
      </c>
      <c r="E2113">
        <v>21</v>
      </c>
      <c r="F2113" t="s">
        <v>331</v>
      </c>
      <c r="G2113" t="s">
        <v>16</v>
      </c>
      <c r="H2113" t="s">
        <v>5602</v>
      </c>
      <c r="I2113">
        <v>3.8988</v>
      </c>
      <c r="J2113">
        <v>93942.27</v>
      </c>
      <c r="K2113">
        <v>24095.175438596492</v>
      </c>
    </row>
    <row r="2114" spans="1:11" x14ac:dyDescent="0.25">
      <c r="A2114" t="s">
        <v>616</v>
      </c>
      <c r="B2114" t="s">
        <v>5603</v>
      </c>
      <c r="C2114" s="1">
        <v>42258</v>
      </c>
      <c r="D2114" s="1">
        <v>42271</v>
      </c>
      <c r="E2114">
        <v>265</v>
      </c>
      <c r="F2114" t="s">
        <v>311</v>
      </c>
      <c r="G2114" t="s">
        <v>16</v>
      </c>
      <c r="H2114" t="s">
        <v>5604</v>
      </c>
      <c r="I2114">
        <v>3.8698000000000001</v>
      </c>
      <c r="J2114">
        <v>41055.019999999997</v>
      </c>
      <c r="K2114">
        <v>10609.080572639414</v>
      </c>
    </row>
    <row r="2115" spans="1:11" x14ac:dyDescent="0.25">
      <c r="A2115" t="s">
        <v>2190</v>
      </c>
      <c r="B2115" t="s">
        <v>2191</v>
      </c>
      <c r="C2115" s="1">
        <v>42299</v>
      </c>
      <c r="D2115" s="1">
        <v>42305</v>
      </c>
      <c r="E2115">
        <v>15</v>
      </c>
      <c r="F2115" t="s">
        <v>278</v>
      </c>
      <c r="G2115" t="s">
        <v>16</v>
      </c>
      <c r="H2115" t="s">
        <v>2192</v>
      </c>
      <c r="I2115">
        <v>3.9386000000000001</v>
      </c>
      <c r="J2115">
        <v>75519</v>
      </c>
      <c r="K2115">
        <v>19174.072005281065</v>
      </c>
    </row>
    <row r="2116" spans="1:11" x14ac:dyDescent="0.25">
      <c r="A2116" t="s">
        <v>5605</v>
      </c>
      <c r="B2116" t="s">
        <v>5606</v>
      </c>
      <c r="C2116" s="1">
        <v>42269</v>
      </c>
      <c r="D2116" s="1">
        <v>42287</v>
      </c>
      <c r="E2116">
        <v>20</v>
      </c>
      <c r="F2116" t="s">
        <v>318</v>
      </c>
      <c r="G2116" t="s">
        <v>16</v>
      </c>
      <c r="H2116" t="s">
        <v>5607</v>
      </c>
      <c r="I2116">
        <v>3.9821</v>
      </c>
      <c r="J2116">
        <v>27078.28</v>
      </c>
      <c r="K2116">
        <v>6800</v>
      </c>
    </row>
    <row r="2117" spans="1:11" x14ac:dyDescent="0.25">
      <c r="A2117" t="s">
        <v>623</v>
      </c>
      <c r="B2117" t="s">
        <v>2193</v>
      </c>
      <c r="C2117" s="1">
        <v>42268</v>
      </c>
      <c r="D2117" s="1">
        <v>42287</v>
      </c>
      <c r="E2117">
        <v>266</v>
      </c>
      <c r="F2117" t="s">
        <v>311</v>
      </c>
      <c r="G2117" t="s">
        <v>16</v>
      </c>
      <c r="H2117" t="s">
        <v>2194</v>
      </c>
      <c r="I2117">
        <v>3.9020999999999999</v>
      </c>
      <c r="J2117">
        <v>17639.240000000002</v>
      </c>
      <c r="K2117">
        <v>4520.4479639168649</v>
      </c>
    </row>
    <row r="2118" spans="1:11" x14ac:dyDescent="0.25">
      <c r="A2118" t="s">
        <v>562</v>
      </c>
      <c r="B2118" t="s">
        <v>1223</v>
      </c>
      <c r="C2118" s="1">
        <v>42268</v>
      </c>
      <c r="D2118" s="1">
        <v>42279</v>
      </c>
      <c r="E2118">
        <v>8</v>
      </c>
      <c r="F2118" t="s">
        <v>311</v>
      </c>
      <c r="G2118" t="s">
        <v>16</v>
      </c>
      <c r="H2118" t="s">
        <v>5608</v>
      </c>
      <c r="I2118">
        <v>3.9020999999999999</v>
      </c>
      <c r="J2118">
        <v>157291.47</v>
      </c>
      <c r="K2118">
        <v>40309.441070192974</v>
      </c>
    </row>
    <row r="2119" spans="1:11" x14ac:dyDescent="0.25">
      <c r="A2119" t="s">
        <v>350</v>
      </c>
      <c r="B2119" t="s">
        <v>1733</v>
      </c>
      <c r="C2119" s="1">
        <v>42301</v>
      </c>
      <c r="D2119" s="1">
        <v>42307</v>
      </c>
      <c r="E2119">
        <v>21</v>
      </c>
      <c r="F2119" t="s">
        <v>331</v>
      </c>
      <c r="G2119" t="s">
        <v>16</v>
      </c>
      <c r="H2119" t="s">
        <v>5609</v>
      </c>
      <c r="I2119">
        <v>3.8988</v>
      </c>
      <c r="J2119">
        <v>93311.78</v>
      </c>
      <c r="K2119">
        <v>23933.461577921411</v>
      </c>
    </row>
    <row r="2120" spans="1:11" x14ac:dyDescent="0.25">
      <c r="A2120" t="s">
        <v>463</v>
      </c>
      <c r="B2120" t="s">
        <v>1185</v>
      </c>
      <c r="C2120" s="1">
        <v>42300</v>
      </c>
      <c r="D2120" s="1">
        <v>42305</v>
      </c>
      <c r="E2120">
        <v>2</v>
      </c>
      <c r="F2120" t="s">
        <v>675</v>
      </c>
      <c r="G2120" t="s">
        <v>16</v>
      </c>
      <c r="H2120" t="s">
        <v>5610</v>
      </c>
      <c r="I2120">
        <v>3.9359999999999999</v>
      </c>
      <c r="J2120">
        <v>79830</v>
      </c>
      <c r="K2120">
        <v>20282.012195121952</v>
      </c>
    </row>
    <row r="2121" spans="1:11" x14ac:dyDescent="0.25">
      <c r="A2121" t="s">
        <v>350</v>
      </c>
      <c r="B2121" t="s">
        <v>1733</v>
      </c>
      <c r="C2121" s="1">
        <v>42301</v>
      </c>
      <c r="D2121" s="1">
        <v>42307</v>
      </c>
      <c r="E2121">
        <v>21</v>
      </c>
      <c r="F2121" t="s">
        <v>331</v>
      </c>
      <c r="G2121" t="s">
        <v>16</v>
      </c>
      <c r="H2121" t="s">
        <v>2195</v>
      </c>
      <c r="I2121">
        <v>3.8988</v>
      </c>
      <c r="J2121">
        <v>118606.84</v>
      </c>
      <c r="K2121">
        <v>30421.370678157382</v>
      </c>
    </row>
    <row r="2122" spans="1:11" x14ac:dyDescent="0.25">
      <c r="A2122" t="s">
        <v>350</v>
      </c>
      <c r="B2122" t="s">
        <v>1733</v>
      </c>
      <c r="C2122" s="1">
        <v>42301</v>
      </c>
      <c r="D2122" s="1">
        <v>42308</v>
      </c>
      <c r="E2122">
        <v>21</v>
      </c>
      <c r="F2122" t="s">
        <v>331</v>
      </c>
      <c r="G2122" t="s">
        <v>16</v>
      </c>
      <c r="H2122" t="s">
        <v>5611</v>
      </c>
      <c r="I2122">
        <v>3.8988</v>
      </c>
      <c r="J2122">
        <v>91117.69</v>
      </c>
      <c r="K2122">
        <v>23370.701241407613</v>
      </c>
    </row>
    <row r="2123" spans="1:11" x14ac:dyDescent="0.25">
      <c r="A2123" t="s">
        <v>351</v>
      </c>
      <c r="B2123" t="s">
        <v>1214</v>
      </c>
      <c r="C2123" s="1">
        <v>42268</v>
      </c>
      <c r="D2123" s="1">
        <v>42290</v>
      </c>
      <c r="E2123">
        <v>17</v>
      </c>
      <c r="F2123" t="s">
        <v>311</v>
      </c>
      <c r="G2123" t="s">
        <v>16</v>
      </c>
      <c r="H2123" t="s">
        <v>2196</v>
      </c>
      <c r="I2123">
        <v>3.9020999999999999</v>
      </c>
      <c r="J2123">
        <v>126798.75</v>
      </c>
      <c r="K2123">
        <v>32495.002690858768</v>
      </c>
    </row>
    <row r="2124" spans="1:11" x14ac:dyDescent="0.25">
      <c r="A2124" t="s">
        <v>439</v>
      </c>
      <c r="B2124" t="s">
        <v>2197</v>
      </c>
      <c r="C2124" s="1">
        <v>42301</v>
      </c>
      <c r="D2124" s="1">
        <v>42305</v>
      </c>
      <c r="E2124">
        <v>19</v>
      </c>
      <c r="F2124" t="s">
        <v>331</v>
      </c>
      <c r="G2124" t="s">
        <v>16</v>
      </c>
      <c r="H2124" t="s">
        <v>2198</v>
      </c>
      <c r="I2124">
        <v>3.8988</v>
      </c>
      <c r="J2124">
        <v>94043.14</v>
      </c>
      <c r="K2124">
        <v>24121.047501795423</v>
      </c>
    </row>
    <row r="2125" spans="1:11" x14ac:dyDescent="0.25">
      <c r="A2125" t="s">
        <v>555</v>
      </c>
      <c r="B2125" t="s">
        <v>2199</v>
      </c>
      <c r="C2125" s="1">
        <v>42257</v>
      </c>
      <c r="D2125" s="1">
        <v>42278</v>
      </c>
      <c r="E2125">
        <v>3</v>
      </c>
      <c r="F2125" t="s">
        <v>301</v>
      </c>
      <c r="G2125" t="s">
        <v>16</v>
      </c>
      <c r="H2125" t="s">
        <v>2200</v>
      </c>
      <c r="I2125">
        <v>3.7869999999999999</v>
      </c>
      <c r="J2125">
        <v>8785.01</v>
      </c>
      <c r="K2125">
        <v>2319.7808291523634</v>
      </c>
    </row>
    <row r="2126" spans="1:11" x14ac:dyDescent="0.25">
      <c r="A2126" t="s">
        <v>351</v>
      </c>
      <c r="B2126" t="s">
        <v>1214</v>
      </c>
      <c r="C2126" s="1">
        <v>42268</v>
      </c>
      <c r="D2126" s="1">
        <v>42280</v>
      </c>
      <c r="E2126">
        <v>17</v>
      </c>
      <c r="F2126" t="s">
        <v>311</v>
      </c>
      <c r="G2126" t="s">
        <v>16</v>
      </c>
      <c r="H2126" t="s">
        <v>2201</v>
      </c>
      <c r="I2126">
        <v>3.9020999999999999</v>
      </c>
      <c r="J2126">
        <v>404507.52</v>
      </c>
      <c r="K2126">
        <v>103664.05781502268</v>
      </c>
    </row>
    <row r="2127" spans="1:11" x14ac:dyDescent="0.25">
      <c r="A2127" t="s">
        <v>351</v>
      </c>
      <c r="B2127" t="s">
        <v>1214</v>
      </c>
      <c r="C2127" s="1">
        <v>42268</v>
      </c>
      <c r="D2127" s="1">
        <v>42280</v>
      </c>
      <c r="E2127">
        <v>17</v>
      </c>
      <c r="F2127" t="s">
        <v>311</v>
      </c>
      <c r="G2127" t="s">
        <v>16</v>
      </c>
      <c r="H2127" t="s">
        <v>5612</v>
      </c>
      <c r="I2127">
        <v>3.9020999999999999</v>
      </c>
      <c r="J2127">
        <v>338775.05</v>
      </c>
      <c r="K2127">
        <v>86818.64893262602</v>
      </c>
    </row>
    <row r="2128" spans="1:11" x14ac:dyDescent="0.25">
      <c r="A2128" t="s">
        <v>350</v>
      </c>
      <c r="B2128" t="s">
        <v>1733</v>
      </c>
      <c r="C2128" s="1">
        <v>42301</v>
      </c>
      <c r="D2128" s="1">
        <v>42306</v>
      </c>
      <c r="E2128">
        <v>21</v>
      </c>
      <c r="F2128" t="s">
        <v>331</v>
      </c>
      <c r="G2128" t="s">
        <v>16</v>
      </c>
      <c r="H2128" t="s">
        <v>5613</v>
      </c>
      <c r="I2128">
        <v>3.8988</v>
      </c>
      <c r="J2128">
        <v>95833.72</v>
      </c>
      <c r="K2128">
        <v>24580.311890838206</v>
      </c>
    </row>
    <row r="2129" spans="1:11" x14ac:dyDescent="0.25">
      <c r="A2129" t="s">
        <v>2202</v>
      </c>
      <c r="B2129" t="s">
        <v>1776</v>
      </c>
      <c r="C2129" s="1">
        <v>42333</v>
      </c>
      <c r="D2129" s="1">
        <v>42347</v>
      </c>
      <c r="E2129">
        <v>1284</v>
      </c>
      <c r="F2129" t="s">
        <v>2203</v>
      </c>
      <c r="G2129" t="s">
        <v>16</v>
      </c>
      <c r="H2129" t="s">
        <v>2204</v>
      </c>
      <c r="I2129">
        <v>3.7081</v>
      </c>
      <c r="J2129">
        <v>614633.24</v>
      </c>
      <c r="K2129">
        <v>165754.22453547639</v>
      </c>
    </row>
    <row r="2130" spans="1:11" x14ac:dyDescent="0.25">
      <c r="A2130" t="s">
        <v>387</v>
      </c>
      <c r="B2130" t="s">
        <v>2205</v>
      </c>
      <c r="C2130" s="1">
        <v>42340</v>
      </c>
      <c r="D2130" s="1">
        <v>42347</v>
      </c>
      <c r="E2130">
        <v>204</v>
      </c>
      <c r="F2130" t="s">
        <v>370</v>
      </c>
      <c r="G2130" t="s">
        <v>16</v>
      </c>
      <c r="H2130" t="s">
        <v>2206</v>
      </c>
      <c r="I2130">
        <v>3.8744999999999998</v>
      </c>
      <c r="J2130">
        <v>24021.9</v>
      </c>
      <c r="K2130">
        <v>6200</v>
      </c>
    </row>
    <row r="2131" spans="1:11" x14ac:dyDescent="0.25">
      <c r="A2131" t="s">
        <v>342</v>
      </c>
      <c r="B2131" t="s">
        <v>1169</v>
      </c>
      <c r="C2131" s="1">
        <v>42350</v>
      </c>
      <c r="D2131" s="1">
        <v>42355</v>
      </c>
      <c r="E2131">
        <v>2</v>
      </c>
      <c r="F2131" t="s">
        <v>675</v>
      </c>
      <c r="G2131" t="s">
        <v>16</v>
      </c>
      <c r="H2131" t="s">
        <v>5614</v>
      </c>
      <c r="I2131">
        <v>3.8548</v>
      </c>
      <c r="J2131">
        <v>79830</v>
      </c>
      <c r="K2131">
        <v>20709.245615855558</v>
      </c>
    </row>
    <row r="2132" spans="1:11" x14ac:dyDescent="0.25">
      <c r="A2132" t="s">
        <v>474</v>
      </c>
      <c r="B2132" t="s">
        <v>2692</v>
      </c>
      <c r="C2132" s="1">
        <v>42319</v>
      </c>
      <c r="D2132" s="1">
        <v>42326</v>
      </c>
      <c r="E2132">
        <v>32</v>
      </c>
      <c r="F2132" t="s">
        <v>311</v>
      </c>
      <c r="G2132" t="s">
        <v>16</v>
      </c>
      <c r="H2132" t="s">
        <v>5615</v>
      </c>
      <c r="I2132">
        <v>3.7980999999999998</v>
      </c>
      <c r="J2132">
        <v>45570</v>
      </c>
      <c r="K2132">
        <v>11998.104315315553</v>
      </c>
    </row>
    <row r="2133" spans="1:11" x14ac:dyDescent="0.25">
      <c r="A2133" t="s">
        <v>2207</v>
      </c>
      <c r="B2133" t="s">
        <v>2208</v>
      </c>
      <c r="C2133" s="1">
        <v>42319</v>
      </c>
      <c r="D2133" s="1">
        <v>42327</v>
      </c>
      <c r="E2133">
        <v>370</v>
      </c>
      <c r="F2133" t="s">
        <v>278</v>
      </c>
      <c r="G2133" t="s">
        <v>16</v>
      </c>
      <c r="H2133" t="s">
        <v>2209</v>
      </c>
      <c r="I2133">
        <v>3.7980999999999998</v>
      </c>
      <c r="J2133">
        <v>88150</v>
      </c>
      <c r="K2133">
        <v>23208.972907506384</v>
      </c>
    </row>
    <row r="2134" spans="1:11" x14ac:dyDescent="0.25">
      <c r="A2134" t="s">
        <v>5616</v>
      </c>
      <c r="B2134" t="s">
        <v>5617</v>
      </c>
      <c r="C2134" s="1">
        <v>42269</v>
      </c>
      <c r="D2134" s="1">
        <v>42309</v>
      </c>
      <c r="E2134">
        <v>11</v>
      </c>
      <c r="F2134" t="s">
        <v>318</v>
      </c>
      <c r="G2134" t="s">
        <v>16</v>
      </c>
      <c r="H2134" t="s">
        <v>5618</v>
      </c>
      <c r="I2134">
        <v>3.9821</v>
      </c>
      <c r="J2134">
        <v>90260.94</v>
      </c>
      <c r="K2134">
        <v>22666.668340825192</v>
      </c>
    </row>
    <row r="2135" spans="1:11" x14ac:dyDescent="0.25">
      <c r="A2135" t="s">
        <v>1220</v>
      </c>
      <c r="B2135" t="s">
        <v>1221</v>
      </c>
      <c r="C2135" s="1">
        <v>42334</v>
      </c>
      <c r="D2135" s="1">
        <v>42348</v>
      </c>
      <c r="E2135">
        <v>20</v>
      </c>
      <c r="F2135" t="s">
        <v>331</v>
      </c>
      <c r="G2135" t="s">
        <v>16</v>
      </c>
      <c r="H2135" t="s">
        <v>5619</v>
      </c>
      <c r="I2135">
        <v>3.7688000000000001</v>
      </c>
      <c r="J2135">
        <v>60418.58</v>
      </c>
      <c r="K2135">
        <v>16031.251326682233</v>
      </c>
    </row>
    <row r="2136" spans="1:11" x14ac:dyDescent="0.25">
      <c r="A2136" t="s">
        <v>2210</v>
      </c>
      <c r="C2136" s="1">
        <v>42313</v>
      </c>
      <c r="D2136" s="1">
        <v>42342</v>
      </c>
      <c r="E2136">
        <v>766</v>
      </c>
      <c r="F2136" t="s">
        <v>487</v>
      </c>
      <c r="G2136" t="s">
        <v>16</v>
      </c>
      <c r="H2136" t="s">
        <v>2211</v>
      </c>
      <c r="I2136">
        <v>3.7686999999999999</v>
      </c>
      <c r="J2136">
        <v>28.9</v>
      </c>
      <c r="K2136">
        <v>7.6684267784647222</v>
      </c>
    </row>
    <row r="2137" spans="1:11" x14ac:dyDescent="0.25">
      <c r="A2137" t="s">
        <v>5620</v>
      </c>
      <c r="C2137" s="1">
        <v>42342</v>
      </c>
      <c r="D2137" s="1">
        <v>42342</v>
      </c>
      <c r="E2137">
        <v>768</v>
      </c>
      <c r="F2137" t="s">
        <v>291</v>
      </c>
      <c r="G2137" t="s">
        <v>16</v>
      </c>
      <c r="H2137" t="s">
        <v>5621</v>
      </c>
      <c r="I2137">
        <v>3.7970000000000002</v>
      </c>
      <c r="J2137">
        <v>86.36</v>
      </c>
      <c r="K2137">
        <v>22.7442717935212</v>
      </c>
    </row>
    <row r="2138" spans="1:11" x14ac:dyDescent="0.25">
      <c r="A2138" t="s">
        <v>622</v>
      </c>
      <c r="B2138" t="s">
        <v>5622</v>
      </c>
      <c r="C2138" s="1">
        <v>42300</v>
      </c>
      <c r="D2138" s="1">
        <v>42322</v>
      </c>
      <c r="E2138">
        <v>927</v>
      </c>
      <c r="F2138" t="s">
        <v>278</v>
      </c>
      <c r="G2138" t="s">
        <v>16</v>
      </c>
      <c r="H2138" t="s">
        <v>5623</v>
      </c>
      <c r="I2138">
        <v>3.9359999999999999</v>
      </c>
      <c r="J2138">
        <v>34650</v>
      </c>
      <c r="K2138">
        <v>8803.3536585365855</v>
      </c>
    </row>
    <row r="2139" spans="1:11" x14ac:dyDescent="0.25">
      <c r="A2139" t="s">
        <v>1220</v>
      </c>
      <c r="B2139" t="s">
        <v>1221</v>
      </c>
      <c r="C2139" s="1">
        <v>42333</v>
      </c>
      <c r="D2139" s="1">
        <v>42342</v>
      </c>
      <c r="E2139">
        <v>20</v>
      </c>
      <c r="F2139" t="s">
        <v>331</v>
      </c>
      <c r="G2139" t="s">
        <v>16</v>
      </c>
      <c r="H2139" t="s">
        <v>2212</v>
      </c>
      <c r="I2139">
        <v>3.7081</v>
      </c>
      <c r="J2139">
        <v>60629.38</v>
      </c>
      <c r="K2139">
        <v>16350.524527385993</v>
      </c>
    </row>
    <row r="2140" spans="1:11" x14ac:dyDescent="0.25">
      <c r="A2140" t="s">
        <v>1220</v>
      </c>
      <c r="B2140" t="s">
        <v>1221</v>
      </c>
      <c r="C2140" s="1">
        <v>42336</v>
      </c>
      <c r="D2140" s="1">
        <v>42342</v>
      </c>
      <c r="E2140">
        <v>20</v>
      </c>
      <c r="F2140" t="s">
        <v>331</v>
      </c>
      <c r="G2140" t="s">
        <v>16</v>
      </c>
      <c r="H2140" t="s">
        <v>2213</v>
      </c>
      <c r="I2140">
        <v>3.7399</v>
      </c>
      <c r="J2140">
        <v>59348.36</v>
      </c>
      <c r="K2140">
        <v>15868.969758549694</v>
      </c>
    </row>
    <row r="2141" spans="1:11" x14ac:dyDescent="0.25">
      <c r="A2141" t="s">
        <v>350</v>
      </c>
      <c r="B2141" t="s">
        <v>1733</v>
      </c>
      <c r="C2141" s="1">
        <v>42301</v>
      </c>
      <c r="D2141" s="1">
        <v>42311</v>
      </c>
      <c r="E2141">
        <v>21</v>
      </c>
      <c r="F2141" t="s">
        <v>331</v>
      </c>
      <c r="G2141" t="s">
        <v>16</v>
      </c>
      <c r="H2141" t="s">
        <v>5624</v>
      </c>
      <c r="I2141">
        <v>3.8988</v>
      </c>
      <c r="J2141">
        <v>90310.67</v>
      </c>
      <c r="K2141">
        <v>23163.709346465581</v>
      </c>
    </row>
    <row r="2142" spans="1:11" x14ac:dyDescent="0.25">
      <c r="A2142" t="s">
        <v>350</v>
      </c>
      <c r="B2142" t="s">
        <v>1733</v>
      </c>
      <c r="C2142" s="1">
        <v>42305</v>
      </c>
      <c r="D2142" s="1">
        <v>42311</v>
      </c>
      <c r="E2142">
        <v>21</v>
      </c>
      <c r="F2142" t="s">
        <v>331</v>
      </c>
      <c r="G2142" t="s">
        <v>16</v>
      </c>
      <c r="H2142" t="s">
        <v>2214</v>
      </c>
      <c r="I2142">
        <v>3.9114</v>
      </c>
      <c r="J2142">
        <v>53641.66</v>
      </c>
      <c r="K2142">
        <v>13714.184179577645</v>
      </c>
    </row>
    <row r="2143" spans="1:11" x14ac:dyDescent="0.25">
      <c r="A2143" t="s">
        <v>1220</v>
      </c>
      <c r="B2143" t="s">
        <v>1221</v>
      </c>
      <c r="C2143" s="1">
        <v>42335</v>
      </c>
      <c r="D2143" s="1">
        <v>42341</v>
      </c>
      <c r="E2143">
        <v>20</v>
      </c>
      <c r="F2143" t="s">
        <v>331</v>
      </c>
      <c r="G2143" t="s">
        <v>16</v>
      </c>
      <c r="H2143" t="s">
        <v>2215</v>
      </c>
      <c r="I2143">
        <v>3.7606000000000002</v>
      </c>
      <c r="J2143">
        <v>60661.81</v>
      </c>
      <c r="K2143">
        <v>16130.886028825187</v>
      </c>
    </row>
    <row r="2144" spans="1:11" x14ac:dyDescent="0.25">
      <c r="A2144" t="s">
        <v>428</v>
      </c>
      <c r="B2144" t="s">
        <v>1231</v>
      </c>
      <c r="C2144" s="1">
        <v>42360</v>
      </c>
      <c r="D2144" s="1">
        <v>42375</v>
      </c>
      <c r="E2144">
        <v>22</v>
      </c>
      <c r="F2144" t="s">
        <v>331</v>
      </c>
      <c r="G2144" t="s">
        <v>16</v>
      </c>
      <c r="H2144" t="s">
        <v>2216</v>
      </c>
      <c r="I2144">
        <v>3.9830999999999999</v>
      </c>
      <c r="J2144">
        <v>46403.199999999997</v>
      </c>
      <c r="K2144">
        <v>11650.021340162186</v>
      </c>
    </row>
    <row r="2145" spans="1:11" x14ac:dyDescent="0.25">
      <c r="A2145" t="s">
        <v>387</v>
      </c>
      <c r="B2145" t="s">
        <v>2205</v>
      </c>
      <c r="C2145" s="1">
        <v>42313</v>
      </c>
      <c r="D2145" s="1">
        <v>42320</v>
      </c>
      <c r="E2145">
        <v>204</v>
      </c>
      <c r="F2145" t="s">
        <v>370</v>
      </c>
      <c r="G2145" t="s">
        <v>16</v>
      </c>
      <c r="H2145" t="s">
        <v>5625</v>
      </c>
      <c r="I2145">
        <v>3.7686999999999999</v>
      </c>
      <c r="J2145">
        <v>1227.58</v>
      </c>
      <c r="K2145">
        <v>325.73035794836414</v>
      </c>
    </row>
    <row r="2146" spans="1:11" x14ac:dyDescent="0.25">
      <c r="A2146" t="s">
        <v>629</v>
      </c>
      <c r="B2146" t="s">
        <v>1281</v>
      </c>
      <c r="C2146" s="1">
        <v>42304</v>
      </c>
      <c r="D2146" s="1">
        <v>42358</v>
      </c>
      <c r="E2146">
        <v>19</v>
      </c>
      <c r="F2146" t="s">
        <v>311</v>
      </c>
      <c r="G2146" t="s">
        <v>16</v>
      </c>
      <c r="H2146" t="s">
        <v>5626</v>
      </c>
      <c r="I2146">
        <v>3.8582000000000001</v>
      </c>
      <c r="J2146">
        <v>3086</v>
      </c>
      <c r="K2146">
        <v>799.85485459540723</v>
      </c>
    </row>
    <row r="2147" spans="1:11" x14ac:dyDescent="0.25">
      <c r="A2147" t="s">
        <v>537</v>
      </c>
      <c r="B2147" t="s">
        <v>2217</v>
      </c>
      <c r="C2147" s="1">
        <v>42300</v>
      </c>
      <c r="D2147" s="1">
        <v>42333</v>
      </c>
      <c r="E2147">
        <v>6</v>
      </c>
      <c r="F2147" t="s">
        <v>278</v>
      </c>
      <c r="G2147" t="s">
        <v>16</v>
      </c>
      <c r="H2147" t="s">
        <v>2218</v>
      </c>
      <c r="I2147">
        <v>3.9359999999999999</v>
      </c>
      <c r="J2147">
        <v>41250</v>
      </c>
      <c r="K2147">
        <v>10480.182926829268</v>
      </c>
    </row>
    <row r="2148" spans="1:11" x14ac:dyDescent="0.25">
      <c r="A2148" t="s">
        <v>429</v>
      </c>
      <c r="B2148" t="s">
        <v>1216</v>
      </c>
      <c r="C2148" s="1">
        <v>42307</v>
      </c>
      <c r="D2148" s="1">
        <v>42311</v>
      </c>
      <c r="E2148">
        <v>5</v>
      </c>
      <c r="F2148" t="s">
        <v>675</v>
      </c>
      <c r="G2148" t="s">
        <v>16</v>
      </c>
      <c r="H2148" t="s">
        <v>2219</v>
      </c>
      <c r="I2148">
        <v>3.9327999999999999</v>
      </c>
      <c r="J2148">
        <v>137560.54999999999</v>
      </c>
      <c r="K2148">
        <v>34977.763934092756</v>
      </c>
    </row>
    <row r="2149" spans="1:11" x14ac:dyDescent="0.25">
      <c r="A2149" t="s">
        <v>429</v>
      </c>
      <c r="B2149" t="s">
        <v>1216</v>
      </c>
      <c r="C2149" s="1">
        <v>42307</v>
      </c>
      <c r="D2149" s="1">
        <v>42311</v>
      </c>
      <c r="E2149">
        <v>5</v>
      </c>
      <c r="F2149" t="s">
        <v>675</v>
      </c>
      <c r="G2149" t="s">
        <v>16</v>
      </c>
      <c r="H2149" t="s">
        <v>2220</v>
      </c>
      <c r="I2149">
        <v>3.9327999999999999</v>
      </c>
      <c r="J2149">
        <v>753871</v>
      </c>
      <c r="K2149">
        <v>191688.11025223759</v>
      </c>
    </row>
    <row r="2150" spans="1:11" x14ac:dyDescent="0.25">
      <c r="A2150" t="s">
        <v>429</v>
      </c>
      <c r="B2150" t="s">
        <v>1216</v>
      </c>
      <c r="C2150" s="1">
        <v>42306</v>
      </c>
      <c r="D2150" s="1">
        <v>42311</v>
      </c>
      <c r="E2150">
        <v>5</v>
      </c>
      <c r="F2150" t="s">
        <v>675</v>
      </c>
      <c r="G2150" t="s">
        <v>16</v>
      </c>
      <c r="H2150" t="s">
        <v>5627</v>
      </c>
      <c r="I2150">
        <v>3.8797000000000001</v>
      </c>
      <c r="J2150">
        <v>479940</v>
      </c>
      <c r="K2150">
        <v>123705.44114235637</v>
      </c>
    </row>
    <row r="2151" spans="1:11" x14ac:dyDescent="0.25">
      <c r="A2151" t="s">
        <v>429</v>
      </c>
      <c r="B2151" t="s">
        <v>1216</v>
      </c>
      <c r="C2151" s="1">
        <v>42306</v>
      </c>
      <c r="D2151" s="1">
        <v>42311</v>
      </c>
      <c r="E2151">
        <v>5</v>
      </c>
      <c r="F2151" t="s">
        <v>675</v>
      </c>
      <c r="G2151" t="s">
        <v>16</v>
      </c>
      <c r="H2151" t="s">
        <v>2221</v>
      </c>
      <c r="I2151">
        <v>3.8797000000000001</v>
      </c>
      <c r="J2151">
        <v>378779.76</v>
      </c>
      <c r="K2151">
        <v>97631.198288527463</v>
      </c>
    </row>
    <row r="2152" spans="1:11" x14ac:dyDescent="0.25">
      <c r="A2152" t="s">
        <v>540</v>
      </c>
      <c r="B2152" t="s">
        <v>2222</v>
      </c>
      <c r="C2152" s="1">
        <v>42304</v>
      </c>
      <c r="D2152" s="1">
        <v>42313</v>
      </c>
      <c r="E2152">
        <v>8</v>
      </c>
      <c r="F2152" t="s">
        <v>311</v>
      </c>
      <c r="G2152" t="s">
        <v>16</v>
      </c>
      <c r="H2152" t="s">
        <v>2223</v>
      </c>
      <c r="I2152">
        <v>3.8582000000000001</v>
      </c>
      <c r="J2152">
        <v>9258</v>
      </c>
      <c r="K2152">
        <v>2399.5645637862217</v>
      </c>
    </row>
    <row r="2153" spans="1:11" x14ac:dyDescent="0.25">
      <c r="A2153" t="s">
        <v>428</v>
      </c>
      <c r="B2153" t="s">
        <v>1231</v>
      </c>
      <c r="C2153" s="1">
        <v>42360</v>
      </c>
      <c r="D2153" s="1">
        <v>42373</v>
      </c>
      <c r="E2153">
        <v>22</v>
      </c>
      <c r="F2153" t="s">
        <v>331</v>
      </c>
      <c r="G2153" t="s">
        <v>16</v>
      </c>
      <c r="H2153" t="s">
        <v>5628</v>
      </c>
      <c r="I2153">
        <v>3.9830999999999999</v>
      </c>
      <c r="J2153">
        <v>48292.45</v>
      </c>
      <c r="K2153">
        <v>12124.337827320429</v>
      </c>
    </row>
    <row r="2154" spans="1:11" x14ac:dyDescent="0.25">
      <c r="A2154" t="s">
        <v>428</v>
      </c>
      <c r="B2154" t="s">
        <v>1231</v>
      </c>
      <c r="C2154" s="1">
        <v>42357</v>
      </c>
      <c r="D2154" s="1">
        <v>42361</v>
      </c>
      <c r="E2154">
        <v>22</v>
      </c>
      <c r="F2154" t="s">
        <v>331</v>
      </c>
      <c r="G2154" t="s">
        <v>16</v>
      </c>
      <c r="H2154" t="s">
        <v>5629</v>
      </c>
      <c r="I2154">
        <v>3.9062000000000001</v>
      </c>
      <c r="J2154">
        <v>47438.41</v>
      </c>
      <c r="K2154">
        <v>12144.388408171624</v>
      </c>
    </row>
    <row r="2155" spans="1:11" x14ac:dyDescent="0.25">
      <c r="A2155" t="s">
        <v>374</v>
      </c>
      <c r="B2155" t="s">
        <v>1511</v>
      </c>
      <c r="C2155" s="1">
        <v>42353</v>
      </c>
      <c r="D2155" s="1">
        <v>42377</v>
      </c>
      <c r="E2155">
        <v>1770</v>
      </c>
      <c r="F2155" t="s">
        <v>311</v>
      </c>
      <c r="G2155" t="s">
        <v>16</v>
      </c>
      <c r="H2155" t="s">
        <v>2224</v>
      </c>
      <c r="I2155">
        <v>3.9022999999999999</v>
      </c>
      <c r="J2155">
        <v>1121738.75</v>
      </c>
      <c r="K2155">
        <v>287455.79530020757</v>
      </c>
    </row>
    <row r="2156" spans="1:11" x14ac:dyDescent="0.25">
      <c r="A2156" t="s">
        <v>428</v>
      </c>
      <c r="B2156" t="s">
        <v>1231</v>
      </c>
      <c r="C2156" s="1">
        <v>42356</v>
      </c>
      <c r="D2156" s="1">
        <v>42376</v>
      </c>
      <c r="E2156">
        <v>22</v>
      </c>
      <c r="F2156" t="s">
        <v>331</v>
      </c>
      <c r="G2156" t="s">
        <v>16</v>
      </c>
      <c r="H2156" t="s">
        <v>5630</v>
      </c>
      <c r="I2156">
        <v>3.8929</v>
      </c>
      <c r="J2156">
        <v>33230.18</v>
      </c>
      <c r="K2156">
        <v>8536.0990521205276</v>
      </c>
    </row>
    <row r="2157" spans="1:11" x14ac:dyDescent="0.25">
      <c r="A2157" t="s">
        <v>428</v>
      </c>
      <c r="B2157" t="s">
        <v>1231</v>
      </c>
      <c r="C2157" s="1">
        <v>42355</v>
      </c>
      <c r="D2157" s="1">
        <v>42359</v>
      </c>
      <c r="E2157">
        <v>22</v>
      </c>
      <c r="F2157" t="s">
        <v>331</v>
      </c>
      <c r="G2157" t="s">
        <v>16</v>
      </c>
      <c r="H2157" t="s">
        <v>5631</v>
      </c>
      <c r="I2157">
        <v>3.9357000000000002</v>
      </c>
      <c r="J2157">
        <v>48486.55</v>
      </c>
      <c r="K2157">
        <v>12319.676296465686</v>
      </c>
    </row>
    <row r="2158" spans="1:11" x14ac:dyDescent="0.25">
      <c r="A2158" t="s">
        <v>428</v>
      </c>
      <c r="B2158" t="s">
        <v>1231</v>
      </c>
      <c r="C2158" s="1">
        <v>42355</v>
      </c>
      <c r="D2158" s="1">
        <v>42387</v>
      </c>
      <c r="E2158">
        <v>22</v>
      </c>
      <c r="F2158" t="s">
        <v>331</v>
      </c>
      <c r="G2158" t="s">
        <v>16</v>
      </c>
      <c r="H2158" t="s">
        <v>5632</v>
      </c>
      <c r="I2158">
        <v>3.9357000000000002</v>
      </c>
      <c r="J2158">
        <v>49185.32</v>
      </c>
      <c r="K2158">
        <v>12497.222857433238</v>
      </c>
    </row>
    <row r="2159" spans="1:11" x14ac:dyDescent="0.25">
      <c r="A2159" t="s">
        <v>428</v>
      </c>
      <c r="B2159" t="s">
        <v>1231</v>
      </c>
      <c r="C2159" s="1">
        <v>42357</v>
      </c>
      <c r="D2159" s="1">
        <v>42377</v>
      </c>
      <c r="E2159">
        <v>22</v>
      </c>
      <c r="F2159" t="s">
        <v>331</v>
      </c>
      <c r="G2159" t="s">
        <v>16</v>
      </c>
      <c r="H2159" t="s">
        <v>5633</v>
      </c>
      <c r="I2159">
        <v>3.9062000000000001</v>
      </c>
      <c r="J2159">
        <v>47994.83</v>
      </c>
      <c r="K2159">
        <v>12286.833751472019</v>
      </c>
    </row>
    <row r="2160" spans="1:11" x14ac:dyDescent="0.25">
      <c r="A2160" t="s">
        <v>428</v>
      </c>
      <c r="B2160" t="s">
        <v>1231</v>
      </c>
      <c r="C2160" s="1">
        <v>42357</v>
      </c>
      <c r="D2160" s="1">
        <v>42367</v>
      </c>
      <c r="E2160">
        <v>22</v>
      </c>
      <c r="F2160" t="s">
        <v>331</v>
      </c>
      <c r="G2160" t="s">
        <v>16</v>
      </c>
      <c r="H2160" t="s">
        <v>5634</v>
      </c>
      <c r="I2160">
        <v>3.9062000000000001</v>
      </c>
      <c r="J2160">
        <v>41602.42</v>
      </c>
      <c r="K2160">
        <v>10650.35584455481</v>
      </c>
    </row>
    <row r="2161" spans="1:11" x14ac:dyDescent="0.25">
      <c r="A2161" t="s">
        <v>428</v>
      </c>
      <c r="B2161" t="s">
        <v>1231</v>
      </c>
      <c r="C2161" s="1">
        <v>42361</v>
      </c>
      <c r="D2161" s="1">
        <v>42367</v>
      </c>
      <c r="E2161">
        <v>22</v>
      </c>
      <c r="F2161" t="s">
        <v>331</v>
      </c>
      <c r="G2161" t="s">
        <v>16</v>
      </c>
      <c r="H2161" t="s">
        <v>5635</v>
      </c>
      <c r="I2161">
        <v>3.9769999999999999</v>
      </c>
      <c r="J2161">
        <v>38600.32</v>
      </c>
      <c r="K2161">
        <v>9705.8888609504647</v>
      </c>
    </row>
    <row r="2162" spans="1:11" x14ac:dyDescent="0.25">
      <c r="A2162" t="s">
        <v>351</v>
      </c>
      <c r="B2162" t="s">
        <v>1214</v>
      </c>
      <c r="C2162" s="1">
        <v>42356</v>
      </c>
      <c r="D2162" s="1">
        <v>42366</v>
      </c>
      <c r="E2162">
        <v>17</v>
      </c>
      <c r="F2162" t="s">
        <v>1255</v>
      </c>
      <c r="G2162" t="s">
        <v>16</v>
      </c>
      <c r="H2162" t="s">
        <v>5636</v>
      </c>
      <c r="I2162">
        <v>3.8929</v>
      </c>
      <c r="J2162">
        <v>638776</v>
      </c>
      <c r="K2162">
        <v>164087.44123917902</v>
      </c>
    </row>
    <row r="2163" spans="1:11" x14ac:dyDescent="0.25">
      <c r="A2163" t="s">
        <v>342</v>
      </c>
      <c r="B2163" t="s">
        <v>1169</v>
      </c>
      <c r="C2163" s="1">
        <v>42364</v>
      </c>
      <c r="D2163" s="1">
        <v>42367</v>
      </c>
      <c r="E2163">
        <v>2</v>
      </c>
      <c r="F2163" t="s">
        <v>675</v>
      </c>
      <c r="G2163" t="s">
        <v>16</v>
      </c>
      <c r="H2163" t="s">
        <v>5637</v>
      </c>
      <c r="I2163">
        <v>3.9523999999999999</v>
      </c>
      <c r="J2163">
        <v>79830</v>
      </c>
      <c r="K2163">
        <v>20197.854468171237</v>
      </c>
    </row>
    <row r="2164" spans="1:11" x14ac:dyDescent="0.25">
      <c r="A2164" t="s">
        <v>428</v>
      </c>
      <c r="B2164" t="s">
        <v>1231</v>
      </c>
      <c r="C2164" s="1">
        <v>42359</v>
      </c>
      <c r="D2164" s="1">
        <v>42374</v>
      </c>
      <c r="E2164">
        <v>22</v>
      </c>
      <c r="F2164" t="s">
        <v>331</v>
      </c>
      <c r="G2164" t="s">
        <v>16</v>
      </c>
      <c r="H2164" t="s">
        <v>5638</v>
      </c>
      <c r="I2164">
        <v>3.9062000000000001</v>
      </c>
      <c r="J2164">
        <v>40010.79</v>
      </c>
      <c r="K2164">
        <v>10242.893349034868</v>
      </c>
    </row>
    <row r="2165" spans="1:11" x14ac:dyDescent="0.25">
      <c r="A2165" t="s">
        <v>428</v>
      </c>
      <c r="B2165" t="s">
        <v>1231</v>
      </c>
      <c r="C2165" s="1">
        <v>42357</v>
      </c>
      <c r="D2165" s="1">
        <v>42375</v>
      </c>
      <c r="E2165">
        <v>22</v>
      </c>
      <c r="F2165" t="s">
        <v>331</v>
      </c>
      <c r="G2165" t="s">
        <v>16</v>
      </c>
      <c r="H2165" t="s">
        <v>427</v>
      </c>
      <c r="I2165">
        <v>3.9062000000000001</v>
      </c>
      <c r="J2165">
        <v>46299.68</v>
      </c>
      <c r="K2165">
        <v>11852.869796733397</v>
      </c>
    </row>
    <row r="2166" spans="1:11" x14ac:dyDescent="0.25">
      <c r="A2166" t="s">
        <v>428</v>
      </c>
      <c r="B2166" t="s">
        <v>1231</v>
      </c>
      <c r="C2166" s="1">
        <v>42358</v>
      </c>
      <c r="D2166" s="1">
        <v>42375</v>
      </c>
      <c r="E2166">
        <v>22</v>
      </c>
      <c r="F2166" t="s">
        <v>331</v>
      </c>
      <c r="G2166" t="s">
        <v>16</v>
      </c>
      <c r="H2166" t="s">
        <v>2225</v>
      </c>
      <c r="I2166">
        <v>3.9062000000000001</v>
      </c>
      <c r="J2166">
        <v>32207.91</v>
      </c>
      <c r="K2166">
        <v>8245.3305002304023</v>
      </c>
    </row>
    <row r="2167" spans="1:11" x14ac:dyDescent="0.25">
      <c r="A2167" t="s">
        <v>428</v>
      </c>
      <c r="B2167" t="s">
        <v>1231</v>
      </c>
      <c r="C2167" s="1">
        <v>42357</v>
      </c>
      <c r="D2167" s="1">
        <v>42380</v>
      </c>
      <c r="E2167">
        <v>22</v>
      </c>
      <c r="F2167" t="s">
        <v>331</v>
      </c>
      <c r="G2167" t="s">
        <v>16</v>
      </c>
      <c r="H2167" t="s">
        <v>5639</v>
      </c>
      <c r="I2167">
        <v>3.9062000000000001</v>
      </c>
      <c r="J2167">
        <v>33010.199999999997</v>
      </c>
      <c r="K2167">
        <v>8450.7193692079254</v>
      </c>
    </row>
    <row r="2168" spans="1:11" x14ac:dyDescent="0.25">
      <c r="A2168" t="s">
        <v>62</v>
      </c>
      <c r="B2168" t="s">
        <v>63</v>
      </c>
      <c r="C2168" s="1">
        <v>42401</v>
      </c>
      <c r="D2168" s="1">
        <v>42410</v>
      </c>
      <c r="E2168">
        <v>1</v>
      </c>
      <c r="F2168" t="s">
        <v>368</v>
      </c>
      <c r="G2168" t="s">
        <v>16</v>
      </c>
      <c r="H2168" t="s">
        <v>5640</v>
      </c>
      <c r="I2168">
        <v>4.0427999999999997</v>
      </c>
      <c r="J2168">
        <v>51109.41</v>
      </c>
      <c r="K2168">
        <v>12642.082220243396</v>
      </c>
    </row>
    <row r="2169" spans="1:11" x14ac:dyDescent="0.25">
      <c r="A2169" t="s">
        <v>62</v>
      </c>
      <c r="B2169" t="s">
        <v>63</v>
      </c>
      <c r="C2169" s="1">
        <v>42398</v>
      </c>
      <c r="D2169" s="1">
        <v>42410</v>
      </c>
      <c r="E2169">
        <v>1</v>
      </c>
      <c r="F2169" t="s">
        <v>368</v>
      </c>
      <c r="G2169" t="s">
        <v>16</v>
      </c>
      <c r="H2169" t="s">
        <v>2226</v>
      </c>
      <c r="I2169">
        <v>4.0838000000000001</v>
      </c>
      <c r="J2169">
        <v>37495.35</v>
      </c>
      <c r="K2169">
        <v>9181.4853812625497</v>
      </c>
    </row>
    <row r="2170" spans="1:11" x14ac:dyDescent="0.25">
      <c r="A2170" t="s">
        <v>118</v>
      </c>
      <c r="B2170" t="s">
        <v>119</v>
      </c>
      <c r="C2170" s="1">
        <v>42423</v>
      </c>
      <c r="D2170" s="1">
        <v>42431</v>
      </c>
      <c r="E2170">
        <v>2</v>
      </c>
      <c r="F2170" t="s">
        <v>301</v>
      </c>
      <c r="G2170" t="s">
        <v>16</v>
      </c>
      <c r="H2170" t="s">
        <v>2227</v>
      </c>
      <c r="I2170">
        <v>3.9618000000000002</v>
      </c>
      <c r="J2170">
        <v>22410</v>
      </c>
      <c r="K2170">
        <v>5656.5197637437532</v>
      </c>
    </row>
    <row r="2171" spans="1:11" x14ac:dyDescent="0.25">
      <c r="A2171" t="s">
        <v>2238</v>
      </c>
      <c r="B2171" t="s">
        <v>2239</v>
      </c>
      <c r="C2171" s="1">
        <v>42417</v>
      </c>
      <c r="D2171" s="1">
        <v>42432</v>
      </c>
      <c r="E2171">
        <v>724</v>
      </c>
      <c r="F2171" t="s">
        <v>368</v>
      </c>
      <c r="G2171" t="s">
        <v>16</v>
      </c>
      <c r="H2171" t="s">
        <v>5641</v>
      </c>
      <c r="I2171">
        <v>4.0213000000000001</v>
      </c>
      <c r="J2171">
        <v>43960.99</v>
      </c>
      <c r="K2171">
        <v>10932.034416730909</v>
      </c>
    </row>
    <row r="2172" spans="1:11" x14ac:dyDescent="0.25">
      <c r="A2172" t="s">
        <v>410</v>
      </c>
      <c r="B2172" t="s">
        <v>1250</v>
      </c>
      <c r="C2172" s="1">
        <v>42425</v>
      </c>
      <c r="D2172" s="1">
        <v>42430</v>
      </c>
      <c r="E2172">
        <v>2108</v>
      </c>
      <c r="F2172" t="s">
        <v>409</v>
      </c>
      <c r="G2172" t="s">
        <v>16</v>
      </c>
      <c r="H2172" t="s">
        <v>2228</v>
      </c>
      <c r="I2172">
        <v>3.99</v>
      </c>
      <c r="J2172">
        <v>48758.97</v>
      </c>
      <c r="K2172">
        <v>12220.293233082706</v>
      </c>
    </row>
    <row r="2173" spans="1:11" x14ac:dyDescent="0.25">
      <c r="A2173" t="s">
        <v>410</v>
      </c>
      <c r="B2173" t="s">
        <v>1250</v>
      </c>
      <c r="C2173" s="1">
        <v>42426</v>
      </c>
      <c r="D2173" s="1">
        <v>42433</v>
      </c>
      <c r="E2173">
        <v>2108</v>
      </c>
      <c r="F2173" t="s">
        <v>409</v>
      </c>
      <c r="G2173" t="s">
        <v>16</v>
      </c>
      <c r="H2173" t="s">
        <v>5642</v>
      </c>
      <c r="I2173">
        <v>3.94</v>
      </c>
      <c r="J2173">
        <v>42169.919999999998</v>
      </c>
      <c r="K2173">
        <v>10703.02538071066</v>
      </c>
    </row>
    <row r="2174" spans="1:11" x14ac:dyDescent="0.25">
      <c r="A2174" t="s">
        <v>410</v>
      </c>
      <c r="B2174" t="s">
        <v>1250</v>
      </c>
      <c r="C2174" s="1">
        <v>42427</v>
      </c>
      <c r="D2174" s="1">
        <v>42434</v>
      </c>
      <c r="E2174">
        <v>2108</v>
      </c>
      <c r="F2174" t="s">
        <v>409</v>
      </c>
      <c r="G2174" t="s">
        <v>16</v>
      </c>
      <c r="H2174" t="s">
        <v>5643</v>
      </c>
      <c r="I2174">
        <v>3.9578000000000002</v>
      </c>
      <c r="J2174">
        <v>64572.69</v>
      </c>
      <c r="K2174">
        <v>16315.2989034312</v>
      </c>
    </row>
    <row r="2175" spans="1:11" x14ac:dyDescent="0.25">
      <c r="A2175" t="s">
        <v>5644</v>
      </c>
      <c r="B2175" t="s">
        <v>5645</v>
      </c>
      <c r="C2175" s="1">
        <v>42405</v>
      </c>
      <c r="D2175" s="1">
        <v>42417</v>
      </c>
      <c r="E2175">
        <v>1438</v>
      </c>
      <c r="F2175" t="s">
        <v>370</v>
      </c>
      <c r="G2175" t="s">
        <v>16</v>
      </c>
      <c r="H2175" t="s">
        <v>5646</v>
      </c>
      <c r="I2175">
        <v>3.8653</v>
      </c>
      <c r="J2175">
        <v>24428.73</v>
      </c>
      <c r="K2175">
        <v>6320.0087962124544</v>
      </c>
    </row>
    <row r="2176" spans="1:11" x14ac:dyDescent="0.25">
      <c r="A2176" t="s">
        <v>2229</v>
      </c>
      <c r="B2176" t="s">
        <v>2230</v>
      </c>
      <c r="C2176" s="1">
        <v>42402</v>
      </c>
      <c r="D2176" s="1">
        <v>42417</v>
      </c>
      <c r="E2176">
        <v>2326</v>
      </c>
      <c r="F2176" t="s">
        <v>370</v>
      </c>
      <c r="G2176" t="s">
        <v>16</v>
      </c>
      <c r="H2176" t="s">
        <v>2231</v>
      </c>
      <c r="I2176">
        <v>3.9986000000000002</v>
      </c>
      <c r="J2176">
        <v>26358.77</v>
      </c>
      <c r="K2176">
        <v>6591.9996998949637</v>
      </c>
    </row>
    <row r="2177" spans="1:11" x14ac:dyDescent="0.25">
      <c r="A2177" t="s">
        <v>2232</v>
      </c>
      <c r="B2177" t="s">
        <v>2233</v>
      </c>
      <c r="C2177" s="1">
        <v>42411</v>
      </c>
      <c r="D2177" s="1">
        <v>42417</v>
      </c>
      <c r="E2177">
        <v>2358</v>
      </c>
      <c r="F2177" t="s">
        <v>370</v>
      </c>
      <c r="G2177" t="s">
        <v>16</v>
      </c>
      <c r="H2177" t="s">
        <v>2234</v>
      </c>
      <c r="I2177">
        <v>3.9411999999999998</v>
      </c>
      <c r="J2177">
        <v>16777.689999999999</v>
      </c>
      <c r="K2177">
        <v>4257.0004059677258</v>
      </c>
    </row>
    <row r="2178" spans="1:11" x14ac:dyDescent="0.25">
      <c r="A2178" t="s">
        <v>410</v>
      </c>
      <c r="B2178" t="s">
        <v>1250</v>
      </c>
      <c r="C2178" s="1">
        <v>42429</v>
      </c>
      <c r="D2178" s="1">
        <v>42437</v>
      </c>
      <c r="E2178">
        <v>2108</v>
      </c>
      <c r="F2178" t="s">
        <v>409</v>
      </c>
      <c r="G2178" t="s">
        <v>16</v>
      </c>
      <c r="H2178" t="s">
        <v>2235</v>
      </c>
      <c r="I2178">
        <v>3.9578000000000002</v>
      </c>
      <c r="J2178">
        <v>48758.97</v>
      </c>
      <c r="K2178">
        <v>12319.715498509273</v>
      </c>
    </row>
    <row r="2179" spans="1:11" x14ac:dyDescent="0.25">
      <c r="A2179" t="s">
        <v>218</v>
      </c>
      <c r="B2179" t="s">
        <v>219</v>
      </c>
      <c r="C2179" s="1">
        <v>42423</v>
      </c>
      <c r="D2179" s="1">
        <v>42431</v>
      </c>
      <c r="E2179">
        <v>2</v>
      </c>
      <c r="F2179" t="s">
        <v>301</v>
      </c>
      <c r="G2179" t="s">
        <v>16</v>
      </c>
      <c r="H2179" t="s">
        <v>2236</v>
      </c>
      <c r="I2179">
        <v>3.9618000000000002</v>
      </c>
      <c r="J2179">
        <v>67230</v>
      </c>
      <c r="K2179">
        <v>16969.559291231257</v>
      </c>
    </row>
    <row r="2180" spans="1:11" x14ac:dyDescent="0.25">
      <c r="A2180" t="s">
        <v>218</v>
      </c>
      <c r="B2180" t="s">
        <v>219</v>
      </c>
      <c r="C2180" s="1">
        <v>42423</v>
      </c>
      <c r="D2180" s="1">
        <v>42431</v>
      </c>
      <c r="E2180">
        <v>2</v>
      </c>
      <c r="F2180" t="s">
        <v>301</v>
      </c>
      <c r="G2180" t="s">
        <v>16</v>
      </c>
      <c r="H2180" t="s">
        <v>5647</v>
      </c>
      <c r="I2180">
        <v>3.9618000000000002</v>
      </c>
      <c r="J2180">
        <v>67229.960000000006</v>
      </c>
      <c r="K2180">
        <v>16969.549194810439</v>
      </c>
    </row>
    <row r="2181" spans="1:11" x14ac:dyDescent="0.25">
      <c r="A2181" t="s">
        <v>218</v>
      </c>
      <c r="B2181" t="s">
        <v>219</v>
      </c>
      <c r="C2181" s="1">
        <v>42423</v>
      </c>
      <c r="D2181" s="1">
        <v>42431</v>
      </c>
      <c r="E2181">
        <v>2</v>
      </c>
      <c r="F2181" t="s">
        <v>301</v>
      </c>
      <c r="G2181" t="s">
        <v>16</v>
      </c>
      <c r="H2181" t="s">
        <v>2237</v>
      </c>
      <c r="I2181">
        <v>3.9618000000000002</v>
      </c>
      <c r="J2181">
        <v>67230</v>
      </c>
      <c r="K2181">
        <v>16969.559291231257</v>
      </c>
    </row>
    <row r="2182" spans="1:11" x14ac:dyDescent="0.25">
      <c r="A2182" t="s">
        <v>218</v>
      </c>
      <c r="B2182" t="s">
        <v>219</v>
      </c>
      <c r="C2182" s="1">
        <v>42423</v>
      </c>
      <c r="D2182" s="1">
        <v>42431</v>
      </c>
      <c r="E2182">
        <v>2</v>
      </c>
      <c r="F2182" t="s">
        <v>301</v>
      </c>
      <c r="G2182" t="s">
        <v>16</v>
      </c>
      <c r="H2182" t="s">
        <v>5648</v>
      </c>
      <c r="I2182">
        <v>3.9618000000000002</v>
      </c>
      <c r="J2182">
        <v>67230</v>
      </c>
      <c r="K2182">
        <v>16969.559291231257</v>
      </c>
    </row>
    <row r="2183" spans="1:11" x14ac:dyDescent="0.25">
      <c r="A2183" t="s">
        <v>218</v>
      </c>
      <c r="B2183" t="s">
        <v>219</v>
      </c>
      <c r="C2183" s="1">
        <v>42423</v>
      </c>
      <c r="D2183" s="1">
        <v>42431</v>
      </c>
      <c r="E2183">
        <v>2</v>
      </c>
      <c r="F2183" t="s">
        <v>301</v>
      </c>
      <c r="G2183" t="s">
        <v>16</v>
      </c>
      <c r="H2183" t="s">
        <v>5649</v>
      </c>
      <c r="I2183">
        <v>3.9618000000000002</v>
      </c>
      <c r="J2183">
        <v>67230</v>
      </c>
      <c r="K2183">
        <v>16969.559291231257</v>
      </c>
    </row>
    <row r="2184" spans="1:11" x14ac:dyDescent="0.25">
      <c r="A2184" t="s">
        <v>218</v>
      </c>
      <c r="B2184" t="s">
        <v>219</v>
      </c>
      <c r="C2184" s="1">
        <v>42423</v>
      </c>
      <c r="D2184" s="1">
        <v>42431</v>
      </c>
      <c r="E2184">
        <v>2</v>
      </c>
      <c r="F2184" t="s">
        <v>301</v>
      </c>
      <c r="G2184" t="s">
        <v>16</v>
      </c>
      <c r="H2184" t="s">
        <v>5650</v>
      </c>
      <c r="I2184">
        <v>3.9618000000000002</v>
      </c>
      <c r="J2184">
        <v>14939.99</v>
      </c>
      <c r="K2184">
        <v>3771.0106517239637</v>
      </c>
    </row>
    <row r="2185" spans="1:11" x14ac:dyDescent="0.25">
      <c r="A2185" t="s">
        <v>218</v>
      </c>
      <c r="B2185" t="s">
        <v>219</v>
      </c>
      <c r="C2185" s="1">
        <v>42423</v>
      </c>
      <c r="D2185" s="1">
        <v>42431</v>
      </c>
      <c r="E2185">
        <v>2</v>
      </c>
      <c r="F2185" t="s">
        <v>301</v>
      </c>
      <c r="G2185" t="s">
        <v>16</v>
      </c>
      <c r="H2185" t="s">
        <v>5651</v>
      </c>
      <c r="I2185">
        <v>3.9618000000000002</v>
      </c>
      <c r="J2185">
        <v>67230</v>
      </c>
      <c r="K2185">
        <v>16969.559291231257</v>
      </c>
    </row>
    <row r="2186" spans="1:11" x14ac:dyDescent="0.25">
      <c r="A2186" t="s">
        <v>2238</v>
      </c>
      <c r="B2186" t="s">
        <v>2239</v>
      </c>
      <c r="C2186" s="1">
        <v>42413</v>
      </c>
      <c r="D2186" s="1">
        <v>42417</v>
      </c>
      <c r="E2186">
        <v>724</v>
      </c>
      <c r="F2186" t="s">
        <v>368</v>
      </c>
      <c r="G2186" t="s">
        <v>16</v>
      </c>
      <c r="H2186" t="s">
        <v>2240</v>
      </c>
      <c r="I2186">
        <v>3.9891000000000001</v>
      </c>
      <c r="J2186">
        <v>43935.12</v>
      </c>
      <c r="K2186">
        <v>11013.792584793562</v>
      </c>
    </row>
    <row r="2187" spans="1:11" x14ac:dyDescent="0.25">
      <c r="A2187" t="s">
        <v>2238</v>
      </c>
      <c r="B2187" t="s">
        <v>2239</v>
      </c>
      <c r="C2187" s="1">
        <v>42413</v>
      </c>
      <c r="D2187" s="1">
        <v>42417</v>
      </c>
      <c r="E2187">
        <v>724</v>
      </c>
      <c r="F2187" t="s">
        <v>368</v>
      </c>
      <c r="G2187" t="s">
        <v>16</v>
      </c>
      <c r="H2187" t="s">
        <v>2241</v>
      </c>
      <c r="I2187">
        <v>3.9891000000000001</v>
      </c>
      <c r="J2187">
        <v>42024.88</v>
      </c>
      <c r="K2187">
        <v>10534.927677922338</v>
      </c>
    </row>
    <row r="2188" spans="1:11" x14ac:dyDescent="0.25">
      <c r="A2188" t="s">
        <v>473</v>
      </c>
      <c r="B2188" t="s">
        <v>1248</v>
      </c>
      <c r="C2188" s="1">
        <v>42409</v>
      </c>
      <c r="D2188" s="1">
        <v>42417</v>
      </c>
      <c r="E2188">
        <v>641</v>
      </c>
      <c r="F2188" t="s">
        <v>409</v>
      </c>
      <c r="G2188" t="s">
        <v>16</v>
      </c>
      <c r="H2188" t="s">
        <v>2242</v>
      </c>
      <c r="I2188">
        <v>3.8975</v>
      </c>
      <c r="J2188">
        <v>64222.080000000002</v>
      </c>
      <c r="K2188">
        <v>16477.762668377163</v>
      </c>
    </row>
    <row r="2189" spans="1:11" x14ac:dyDescent="0.25">
      <c r="A2189" t="s">
        <v>473</v>
      </c>
      <c r="B2189" t="s">
        <v>1248</v>
      </c>
      <c r="C2189" s="1">
        <v>42409</v>
      </c>
      <c r="D2189" s="1">
        <v>42417</v>
      </c>
      <c r="E2189">
        <v>641</v>
      </c>
      <c r="F2189" t="s">
        <v>409</v>
      </c>
      <c r="G2189" t="s">
        <v>16</v>
      </c>
      <c r="H2189" t="s">
        <v>2243</v>
      </c>
      <c r="I2189">
        <v>3.8975</v>
      </c>
      <c r="J2189">
        <v>64222.080000000002</v>
      </c>
      <c r="K2189">
        <v>16477.762668377163</v>
      </c>
    </row>
    <row r="2190" spans="1:11" x14ac:dyDescent="0.25">
      <c r="A2190" t="s">
        <v>473</v>
      </c>
      <c r="B2190" t="s">
        <v>1248</v>
      </c>
      <c r="C2190" s="1">
        <v>42410</v>
      </c>
      <c r="D2190" s="1">
        <v>42417</v>
      </c>
      <c r="E2190">
        <v>641</v>
      </c>
      <c r="F2190" t="s">
        <v>409</v>
      </c>
      <c r="G2190" t="s">
        <v>16</v>
      </c>
      <c r="H2190" t="s">
        <v>2244</v>
      </c>
      <c r="I2190">
        <v>3.8975</v>
      </c>
      <c r="J2190">
        <v>48166.559999999998</v>
      </c>
      <c r="K2190">
        <v>12358.322001282873</v>
      </c>
    </row>
    <row r="2191" spans="1:11" x14ac:dyDescent="0.25">
      <c r="A2191" t="s">
        <v>473</v>
      </c>
      <c r="B2191" t="s">
        <v>1248</v>
      </c>
      <c r="C2191" s="1">
        <v>42409</v>
      </c>
      <c r="D2191" s="1">
        <v>42418</v>
      </c>
      <c r="E2191">
        <v>641</v>
      </c>
      <c r="F2191" t="s">
        <v>409</v>
      </c>
      <c r="G2191" t="s">
        <v>16</v>
      </c>
      <c r="H2191" t="s">
        <v>2245</v>
      </c>
      <c r="I2191">
        <v>3.8975</v>
      </c>
      <c r="J2191">
        <v>64222.080000000002</v>
      </c>
      <c r="K2191">
        <v>16477.762668377163</v>
      </c>
    </row>
    <row r="2192" spans="1:11" x14ac:dyDescent="0.25">
      <c r="A2192" t="s">
        <v>473</v>
      </c>
      <c r="B2192" t="s">
        <v>1248</v>
      </c>
      <c r="C2192" s="1">
        <v>42409</v>
      </c>
      <c r="D2192" s="1">
        <v>42418</v>
      </c>
      <c r="E2192">
        <v>641</v>
      </c>
      <c r="F2192" t="s">
        <v>409</v>
      </c>
      <c r="G2192" t="s">
        <v>16</v>
      </c>
      <c r="H2192" t="s">
        <v>5652</v>
      </c>
      <c r="I2192">
        <v>3.8975</v>
      </c>
      <c r="J2192">
        <v>64222.080000000002</v>
      </c>
      <c r="K2192">
        <v>16477.762668377163</v>
      </c>
    </row>
    <row r="2193" spans="1:11" x14ac:dyDescent="0.25">
      <c r="A2193" t="s">
        <v>179</v>
      </c>
      <c r="B2193" t="s">
        <v>180</v>
      </c>
      <c r="C2193" s="1">
        <v>42397</v>
      </c>
      <c r="D2193" s="1">
        <v>42399</v>
      </c>
      <c r="E2193">
        <v>1</v>
      </c>
      <c r="F2193" t="s">
        <v>368</v>
      </c>
      <c r="G2193" t="s">
        <v>16</v>
      </c>
      <c r="H2193" t="s">
        <v>5653</v>
      </c>
      <c r="I2193">
        <v>4.0448000000000004</v>
      </c>
      <c r="J2193">
        <v>72292.399999999994</v>
      </c>
      <c r="K2193">
        <v>17872.923259493669</v>
      </c>
    </row>
    <row r="2194" spans="1:11" x14ac:dyDescent="0.25">
      <c r="A2194" t="s">
        <v>1243</v>
      </c>
      <c r="B2194" t="s">
        <v>1244</v>
      </c>
      <c r="C2194" s="1">
        <v>42408</v>
      </c>
      <c r="D2194" s="1">
        <v>42410</v>
      </c>
      <c r="E2194">
        <v>2461</v>
      </c>
      <c r="F2194" t="s">
        <v>368</v>
      </c>
      <c r="G2194" t="s">
        <v>16</v>
      </c>
      <c r="H2194" t="s">
        <v>5654</v>
      </c>
      <c r="I2194">
        <v>3.8975</v>
      </c>
      <c r="J2194">
        <v>37281.589999999997</v>
      </c>
      <c r="K2194">
        <v>9565.5137908915967</v>
      </c>
    </row>
    <row r="2195" spans="1:11" x14ac:dyDescent="0.25">
      <c r="A2195" t="s">
        <v>332</v>
      </c>
      <c r="B2195" t="s">
        <v>1241</v>
      </c>
      <c r="C2195" s="1">
        <v>42420</v>
      </c>
      <c r="D2195" s="1">
        <v>42427</v>
      </c>
      <c r="E2195">
        <v>2758</v>
      </c>
      <c r="F2195" t="s">
        <v>331</v>
      </c>
      <c r="G2195" t="s">
        <v>16</v>
      </c>
      <c r="H2195" t="s">
        <v>2246</v>
      </c>
      <c r="I2195">
        <v>4.0491999999999999</v>
      </c>
      <c r="J2195">
        <v>70125.119999999995</v>
      </c>
      <c r="K2195">
        <v>17318.26533636274</v>
      </c>
    </row>
    <row r="2196" spans="1:11" x14ac:dyDescent="0.25">
      <c r="A2196" t="s">
        <v>428</v>
      </c>
      <c r="B2196" t="s">
        <v>1231</v>
      </c>
      <c r="C2196" s="1">
        <v>42422</v>
      </c>
      <c r="D2196" s="1">
        <v>42429</v>
      </c>
      <c r="E2196">
        <v>22</v>
      </c>
      <c r="F2196" t="s">
        <v>331</v>
      </c>
      <c r="G2196" t="s">
        <v>16</v>
      </c>
      <c r="H2196" t="s">
        <v>5655</v>
      </c>
      <c r="I2196">
        <v>4.0491999999999999</v>
      </c>
      <c r="J2196">
        <v>47037.26</v>
      </c>
      <c r="K2196">
        <v>11616.432875629755</v>
      </c>
    </row>
    <row r="2197" spans="1:11" x14ac:dyDescent="0.25">
      <c r="A2197" t="s">
        <v>410</v>
      </c>
      <c r="B2197" t="s">
        <v>1250</v>
      </c>
      <c r="C2197" s="1">
        <v>42430</v>
      </c>
      <c r="D2197" s="1">
        <v>42436</v>
      </c>
      <c r="E2197">
        <v>2108</v>
      </c>
      <c r="F2197" t="s">
        <v>409</v>
      </c>
      <c r="G2197" t="s">
        <v>16</v>
      </c>
      <c r="H2197" t="s">
        <v>2247</v>
      </c>
      <c r="I2197">
        <v>3.9796</v>
      </c>
      <c r="J2197">
        <v>48679.9</v>
      </c>
      <c r="K2197">
        <v>12232.360036184542</v>
      </c>
    </row>
    <row r="2198" spans="1:11" x14ac:dyDescent="0.25">
      <c r="A2198" t="s">
        <v>1243</v>
      </c>
      <c r="B2198" t="s">
        <v>1244</v>
      </c>
      <c r="C2198" s="1">
        <v>42435</v>
      </c>
      <c r="D2198" s="1">
        <v>42437</v>
      </c>
      <c r="E2198">
        <v>2461</v>
      </c>
      <c r="F2198" t="s">
        <v>368</v>
      </c>
      <c r="G2198" t="s">
        <v>16</v>
      </c>
      <c r="H2198" t="s">
        <v>2248</v>
      </c>
      <c r="I2198">
        <v>3.7187999999999999</v>
      </c>
      <c r="J2198">
        <v>39958.89</v>
      </c>
      <c r="K2198">
        <v>10745.103259115844</v>
      </c>
    </row>
    <row r="2199" spans="1:11" x14ac:dyDescent="0.25">
      <c r="A2199" t="s">
        <v>523</v>
      </c>
      <c r="B2199" t="s">
        <v>2249</v>
      </c>
      <c r="C2199" s="1">
        <v>42447</v>
      </c>
      <c r="D2199" s="1">
        <v>42473</v>
      </c>
      <c r="E2199">
        <v>9</v>
      </c>
      <c r="F2199" t="s">
        <v>1255</v>
      </c>
      <c r="G2199" t="s">
        <v>16</v>
      </c>
      <c r="H2199" t="s">
        <v>2250</v>
      </c>
      <c r="I2199">
        <v>3.6444999999999999</v>
      </c>
      <c r="J2199">
        <v>31613.11</v>
      </c>
      <c r="K2199">
        <v>8674.1967348058715</v>
      </c>
    </row>
    <row r="2200" spans="1:11" x14ac:dyDescent="0.25">
      <c r="A2200" t="s">
        <v>410</v>
      </c>
      <c r="B2200" t="s">
        <v>1250</v>
      </c>
      <c r="C2200" s="1">
        <v>42426</v>
      </c>
      <c r="D2200" s="1">
        <v>42439</v>
      </c>
      <c r="E2200">
        <v>2108</v>
      </c>
      <c r="F2200" t="s">
        <v>409</v>
      </c>
      <c r="G2200" t="s">
        <v>16</v>
      </c>
      <c r="H2200" t="s">
        <v>5656</v>
      </c>
      <c r="I2200">
        <v>3.94</v>
      </c>
      <c r="J2200">
        <v>63254.879999999997</v>
      </c>
      <c r="K2200">
        <v>16054.53807106599</v>
      </c>
    </row>
    <row r="2201" spans="1:11" x14ac:dyDescent="0.25">
      <c r="A2201" t="s">
        <v>147</v>
      </c>
      <c r="B2201" t="s">
        <v>148</v>
      </c>
      <c r="C2201" s="1">
        <v>42458</v>
      </c>
      <c r="D2201" s="1">
        <v>42465</v>
      </c>
      <c r="E2201">
        <v>3</v>
      </c>
      <c r="F2201" t="s">
        <v>331</v>
      </c>
      <c r="G2201" t="s">
        <v>16</v>
      </c>
      <c r="H2201" t="s">
        <v>5657</v>
      </c>
      <c r="I2201">
        <v>3.6408</v>
      </c>
      <c r="J2201">
        <v>72384</v>
      </c>
      <c r="K2201">
        <v>19881.344759393542</v>
      </c>
    </row>
    <row r="2202" spans="1:11" x14ac:dyDescent="0.25">
      <c r="A2202" t="s">
        <v>1253</v>
      </c>
      <c r="B2202" t="s">
        <v>1254</v>
      </c>
      <c r="C2202" s="1">
        <v>42436</v>
      </c>
      <c r="D2202" s="1">
        <v>42440</v>
      </c>
      <c r="E2202">
        <v>2359</v>
      </c>
      <c r="F2202" t="s">
        <v>1255</v>
      </c>
      <c r="G2202" t="s">
        <v>16</v>
      </c>
      <c r="H2202" t="s">
        <v>5658</v>
      </c>
      <c r="I2202">
        <v>3.7187999999999999</v>
      </c>
      <c r="J2202">
        <v>586887.38</v>
      </c>
      <c r="K2202">
        <v>157816.33322577176</v>
      </c>
    </row>
    <row r="2203" spans="1:11" x14ac:dyDescent="0.25">
      <c r="A2203" t="s">
        <v>104</v>
      </c>
      <c r="B2203" t="s">
        <v>105</v>
      </c>
      <c r="C2203" s="1">
        <v>42453</v>
      </c>
      <c r="D2203" s="1">
        <v>42458</v>
      </c>
      <c r="E2203">
        <v>3</v>
      </c>
      <c r="F2203" t="s">
        <v>331</v>
      </c>
      <c r="G2203" t="s">
        <v>16</v>
      </c>
      <c r="H2203" t="s">
        <v>5659</v>
      </c>
      <c r="I2203">
        <v>3.6530999999999998</v>
      </c>
      <c r="J2203">
        <v>74565.27</v>
      </c>
      <c r="K2203">
        <v>20411.50529687115</v>
      </c>
    </row>
    <row r="2204" spans="1:11" x14ac:dyDescent="0.25">
      <c r="A2204" t="s">
        <v>104</v>
      </c>
      <c r="B2204" t="s">
        <v>105</v>
      </c>
      <c r="C2204" s="1">
        <v>42453</v>
      </c>
      <c r="D2204" s="1">
        <v>42458</v>
      </c>
      <c r="E2204">
        <v>3</v>
      </c>
      <c r="F2204" t="s">
        <v>331</v>
      </c>
      <c r="G2204" t="s">
        <v>16</v>
      </c>
      <c r="H2204" t="s">
        <v>2251</v>
      </c>
      <c r="I2204">
        <v>3.6530999999999998</v>
      </c>
      <c r="J2204">
        <v>72792.72</v>
      </c>
      <c r="K2204">
        <v>19926.287262872629</v>
      </c>
    </row>
    <row r="2205" spans="1:11" x14ac:dyDescent="0.25">
      <c r="A2205" t="s">
        <v>179</v>
      </c>
      <c r="B2205" t="s">
        <v>180</v>
      </c>
      <c r="C2205" s="1">
        <v>42453</v>
      </c>
      <c r="D2205" s="1">
        <v>42457</v>
      </c>
      <c r="E2205">
        <v>1</v>
      </c>
      <c r="F2205" t="s">
        <v>368</v>
      </c>
      <c r="G2205" t="s">
        <v>16</v>
      </c>
      <c r="H2205" t="s">
        <v>2252</v>
      </c>
      <c r="I2205">
        <v>3.6530999999999998</v>
      </c>
      <c r="J2205">
        <v>65718.990000000005</v>
      </c>
      <c r="K2205">
        <v>17989.923626508993</v>
      </c>
    </row>
    <row r="2206" spans="1:11" x14ac:dyDescent="0.25">
      <c r="A2206" t="s">
        <v>147</v>
      </c>
      <c r="B2206" t="s">
        <v>148</v>
      </c>
      <c r="C2206" s="1">
        <v>42451</v>
      </c>
      <c r="D2206" s="1">
        <v>42457</v>
      </c>
      <c r="E2206">
        <v>3</v>
      </c>
      <c r="F2206" t="s">
        <v>331</v>
      </c>
      <c r="G2206" t="s">
        <v>16</v>
      </c>
      <c r="H2206" t="s">
        <v>5660</v>
      </c>
      <c r="I2206">
        <v>3.6229</v>
      </c>
      <c r="J2206">
        <v>54717</v>
      </c>
      <c r="K2206">
        <v>15103.094206298822</v>
      </c>
    </row>
    <row r="2207" spans="1:11" x14ac:dyDescent="0.25">
      <c r="A2207" t="s">
        <v>179</v>
      </c>
      <c r="B2207" t="s">
        <v>180</v>
      </c>
      <c r="C2207" s="1">
        <v>42453</v>
      </c>
      <c r="D2207" s="1">
        <v>42457</v>
      </c>
      <c r="E2207">
        <v>1</v>
      </c>
      <c r="F2207" t="s">
        <v>368</v>
      </c>
      <c r="G2207" t="s">
        <v>16</v>
      </c>
      <c r="H2207" t="s">
        <v>5661</v>
      </c>
      <c r="I2207">
        <v>3.6530999999999998</v>
      </c>
      <c r="J2207">
        <v>63229.24</v>
      </c>
      <c r="K2207">
        <v>17308.37918480195</v>
      </c>
    </row>
    <row r="2208" spans="1:11" x14ac:dyDescent="0.25">
      <c r="A2208" t="s">
        <v>1265</v>
      </c>
      <c r="B2208" t="s">
        <v>1266</v>
      </c>
      <c r="C2208" s="1">
        <v>42467</v>
      </c>
      <c r="D2208" s="1">
        <v>42472</v>
      </c>
      <c r="E2208">
        <v>4070</v>
      </c>
      <c r="F2208" t="s">
        <v>331</v>
      </c>
      <c r="G2208" t="s">
        <v>16</v>
      </c>
      <c r="H2208" t="s">
        <v>5662</v>
      </c>
      <c r="I2208">
        <v>3.6749000000000001</v>
      </c>
      <c r="J2208">
        <v>40780.370000000003</v>
      </c>
      <c r="K2208">
        <v>11097.001278946365</v>
      </c>
    </row>
    <row r="2209" spans="1:11" x14ac:dyDescent="0.25">
      <c r="A2209" t="s">
        <v>1265</v>
      </c>
      <c r="B2209" t="s">
        <v>1266</v>
      </c>
      <c r="C2209" s="1">
        <v>42469</v>
      </c>
      <c r="D2209" s="1">
        <v>42474</v>
      </c>
      <c r="E2209">
        <v>4070</v>
      </c>
      <c r="F2209" t="s">
        <v>331</v>
      </c>
      <c r="G2209" t="s">
        <v>16</v>
      </c>
      <c r="H2209" t="s">
        <v>2253</v>
      </c>
      <c r="I2209">
        <v>3.6385000000000001</v>
      </c>
      <c r="J2209">
        <v>51335.6</v>
      </c>
      <c r="K2209">
        <v>14109.000961934864</v>
      </c>
    </row>
    <row r="2210" spans="1:11" x14ac:dyDescent="0.25">
      <c r="A2210" t="s">
        <v>128</v>
      </c>
      <c r="B2210" t="s">
        <v>129</v>
      </c>
      <c r="C2210" s="1">
        <v>42452</v>
      </c>
      <c r="D2210" s="1">
        <v>42464</v>
      </c>
      <c r="E2210">
        <v>2</v>
      </c>
      <c r="F2210" t="s">
        <v>331</v>
      </c>
      <c r="G2210" t="s">
        <v>16</v>
      </c>
      <c r="H2210" t="s">
        <v>2254</v>
      </c>
      <c r="I2210">
        <v>3.6073</v>
      </c>
      <c r="J2210">
        <v>99298.68</v>
      </c>
      <c r="K2210">
        <v>27527.14772821778</v>
      </c>
    </row>
    <row r="2211" spans="1:11" x14ac:dyDescent="0.25">
      <c r="A2211" t="s">
        <v>1275</v>
      </c>
      <c r="B2211" t="s">
        <v>1276</v>
      </c>
      <c r="C2211" s="1">
        <v>42436</v>
      </c>
      <c r="D2211" s="1">
        <v>42440</v>
      </c>
      <c r="E2211">
        <v>1444</v>
      </c>
      <c r="F2211" t="s">
        <v>368</v>
      </c>
      <c r="G2211" t="s">
        <v>16</v>
      </c>
      <c r="H2211" t="s">
        <v>2255</v>
      </c>
      <c r="I2211">
        <v>3.7187999999999999</v>
      </c>
      <c r="J2211">
        <v>68775.289999999994</v>
      </c>
      <c r="K2211">
        <v>18493.946972141552</v>
      </c>
    </row>
    <row r="2212" spans="1:11" x14ac:dyDescent="0.25">
      <c r="A2212" t="s">
        <v>1243</v>
      </c>
      <c r="B2212" t="s">
        <v>1244</v>
      </c>
      <c r="C2212" s="1">
        <v>42440</v>
      </c>
      <c r="D2212" s="1">
        <v>42441</v>
      </c>
      <c r="E2212">
        <v>2461</v>
      </c>
      <c r="F2212" t="s">
        <v>368</v>
      </c>
      <c r="G2212" t="s">
        <v>16</v>
      </c>
      <c r="H2212" t="s">
        <v>2256</v>
      </c>
      <c r="I2212">
        <v>3.67</v>
      </c>
      <c r="J2212">
        <v>40431.07</v>
      </c>
      <c r="K2212">
        <v>11016.640326975477</v>
      </c>
    </row>
    <row r="2213" spans="1:11" x14ac:dyDescent="0.25">
      <c r="A2213" t="s">
        <v>1243</v>
      </c>
      <c r="B2213" t="s">
        <v>1244</v>
      </c>
      <c r="C2213" s="1">
        <v>42442</v>
      </c>
      <c r="D2213" s="1">
        <v>42445</v>
      </c>
      <c r="E2213">
        <v>2461</v>
      </c>
      <c r="F2213" t="s">
        <v>368</v>
      </c>
      <c r="G2213" t="s">
        <v>16</v>
      </c>
      <c r="H2213" t="s">
        <v>2257</v>
      </c>
      <c r="I2213">
        <v>3.6271</v>
      </c>
      <c r="J2213">
        <v>34408.9</v>
      </c>
      <c r="K2213">
        <v>9486.6146508229722</v>
      </c>
    </row>
    <row r="2214" spans="1:11" x14ac:dyDescent="0.25">
      <c r="A2214" t="s">
        <v>104</v>
      </c>
      <c r="B2214" t="s">
        <v>105</v>
      </c>
      <c r="C2214" s="1">
        <v>42453</v>
      </c>
      <c r="D2214" s="1">
        <v>42460</v>
      </c>
      <c r="E2214">
        <v>3</v>
      </c>
      <c r="F2214" t="s">
        <v>331</v>
      </c>
      <c r="G2214" t="s">
        <v>16</v>
      </c>
      <c r="H2214" t="s">
        <v>2258</v>
      </c>
      <c r="I2214">
        <v>3.6530999999999998</v>
      </c>
      <c r="J2214">
        <v>74407.710000000006</v>
      </c>
      <c r="K2214">
        <v>20368.374804960171</v>
      </c>
    </row>
    <row r="2215" spans="1:11" x14ac:dyDescent="0.25">
      <c r="A2215" t="s">
        <v>147</v>
      </c>
      <c r="B2215" t="s">
        <v>148</v>
      </c>
      <c r="C2215" s="1">
        <v>42455</v>
      </c>
      <c r="D2215" s="1">
        <v>42461</v>
      </c>
      <c r="E2215">
        <v>3</v>
      </c>
      <c r="F2215" t="s">
        <v>331</v>
      </c>
      <c r="G2215" t="s">
        <v>16</v>
      </c>
      <c r="H2215" t="s">
        <v>2259</v>
      </c>
      <c r="I2215">
        <v>3.6947999999999999</v>
      </c>
      <c r="J2215">
        <v>53664</v>
      </c>
      <c r="K2215">
        <v>14524.196167586879</v>
      </c>
    </row>
    <row r="2216" spans="1:11" x14ac:dyDescent="0.25">
      <c r="A2216" t="s">
        <v>147</v>
      </c>
      <c r="B2216" t="s">
        <v>148</v>
      </c>
      <c r="C2216" s="1">
        <v>42457</v>
      </c>
      <c r="D2216" s="1">
        <v>42461</v>
      </c>
      <c r="E2216">
        <v>3</v>
      </c>
      <c r="F2216" t="s">
        <v>331</v>
      </c>
      <c r="G2216" t="s">
        <v>16</v>
      </c>
      <c r="H2216" t="s">
        <v>2260</v>
      </c>
      <c r="I2216">
        <v>3.6947999999999999</v>
      </c>
      <c r="J2216">
        <v>91533</v>
      </c>
      <c r="K2216">
        <v>24773.465410847679</v>
      </c>
    </row>
    <row r="2217" spans="1:11" x14ac:dyDescent="0.25">
      <c r="A2217" t="s">
        <v>428</v>
      </c>
      <c r="B2217" t="s">
        <v>1231</v>
      </c>
      <c r="C2217" s="1">
        <v>42457</v>
      </c>
      <c r="D2217" s="1">
        <v>42462</v>
      </c>
      <c r="E2217">
        <v>22</v>
      </c>
      <c r="F2217" t="s">
        <v>331</v>
      </c>
      <c r="G2217" t="s">
        <v>16</v>
      </c>
      <c r="H2217" t="s">
        <v>2261</v>
      </c>
      <c r="I2217">
        <v>3.6947999999999999</v>
      </c>
      <c r="J2217">
        <v>16420.990000000002</v>
      </c>
      <c r="K2217">
        <v>4444.3515210566202</v>
      </c>
    </row>
    <row r="2218" spans="1:11" x14ac:dyDescent="0.25">
      <c r="A2218" t="s">
        <v>488</v>
      </c>
      <c r="B2218" t="s">
        <v>1283</v>
      </c>
      <c r="C2218" s="1">
        <v>42430</v>
      </c>
      <c r="D2218" s="1">
        <v>42443</v>
      </c>
      <c r="E2218">
        <v>530</v>
      </c>
      <c r="F2218" t="s">
        <v>409</v>
      </c>
      <c r="G2218" t="s">
        <v>16</v>
      </c>
      <c r="H2218" t="s">
        <v>3524</v>
      </c>
      <c r="I2218">
        <v>3.9796</v>
      </c>
      <c r="J2218">
        <v>67704</v>
      </c>
      <c r="K2218">
        <v>17012.765102020305</v>
      </c>
    </row>
    <row r="2219" spans="1:11" x14ac:dyDescent="0.25">
      <c r="A2219" t="s">
        <v>2262</v>
      </c>
      <c r="B2219" t="s">
        <v>2263</v>
      </c>
      <c r="C2219" s="1">
        <v>42432</v>
      </c>
      <c r="D2219" s="1">
        <v>42443</v>
      </c>
      <c r="E2219">
        <v>727</v>
      </c>
      <c r="F2219" t="s">
        <v>278</v>
      </c>
      <c r="G2219" t="s">
        <v>16</v>
      </c>
      <c r="H2219" t="s">
        <v>2264</v>
      </c>
      <c r="I2219">
        <v>3.9116</v>
      </c>
      <c r="J2219">
        <v>24936.45</v>
      </c>
      <c r="K2219">
        <v>6375</v>
      </c>
    </row>
    <row r="2220" spans="1:11" x14ac:dyDescent="0.25">
      <c r="A2220" t="s">
        <v>147</v>
      </c>
      <c r="B2220" t="s">
        <v>148</v>
      </c>
      <c r="C2220" s="1">
        <v>42452</v>
      </c>
      <c r="D2220" s="1">
        <v>42460</v>
      </c>
      <c r="E2220">
        <v>3</v>
      </c>
      <c r="F2220" t="s">
        <v>331</v>
      </c>
      <c r="G2220" t="s">
        <v>16</v>
      </c>
      <c r="H2220" t="s">
        <v>5663</v>
      </c>
      <c r="I2220">
        <v>3.6073</v>
      </c>
      <c r="J2220">
        <v>89232</v>
      </c>
      <c r="K2220">
        <v>24736.506528428465</v>
      </c>
    </row>
    <row r="2221" spans="1:11" x14ac:dyDescent="0.25">
      <c r="A2221" t="s">
        <v>1265</v>
      </c>
      <c r="B2221" t="s">
        <v>1266</v>
      </c>
      <c r="C2221" s="1">
        <v>42467</v>
      </c>
      <c r="D2221" s="1">
        <v>42485</v>
      </c>
      <c r="E2221">
        <v>4070</v>
      </c>
      <c r="F2221" t="s">
        <v>331</v>
      </c>
      <c r="G2221" t="s">
        <v>16</v>
      </c>
      <c r="H2221" t="s">
        <v>2265</v>
      </c>
      <c r="I2221">
        <v>3.6749000000000001</v>
      </c>
      <c r="J2221">
        <v>51948.39</v>
      </c>
      <c r="K2221">
        <v>14136.000979618493</v>
      </c>
    </row>
    <row r="2222" spans="1:11" x14ac:dyDescent="0.25">
      <c r="A2222" t="s">
        <v>270</v>
      </c>
      <c r="B2222" t="s">
        <v>271</v>
      </c>
      <c r="C2222" s="1">
        <v>42515</v>
      </c>
      <c r="D2222" s="1">
        <v>42516</v>
      </c>
      <c r="E2222">
        <v>3</v>
      </c>
      <c r="F2222" t="s">
        <v>368</v>
      </c>
      <c r="G2222" t="s">
        <v>16</v>
      </c>
      <c r="H2222" t="s">
        <v>5664</v>
      </c>
      <c r="I2222">
        <v>3.5491000000000001</v>
      </c>
      <c r="J2222">
        <v>35209.769999999997</v>
      </c>
      <c r="K2222">
        <v>9920.7601927249161</v>
      </c>
    </row>
    <row r="2223" spans="1:11" x14ac:dyDescent="0.25">
      <c r="A2223" t="s">
        <v>270</v>
      </c>
      <c r="B2223" t="s">
        <v>271</v>
      </c>
      <c r="C2223" s="1">
        <v>42515</v>
      </c>
      <c r="D2223" s="1">
        <v>42516</v>
      </c>
      <c r="E2223">
        <v>3</v>
      </c>
      <c r="F2223" t="s">
        <v>368</v>
      </c>
      <c r="G2223" t="s">
        <v>16</v>
      </c>
      <c r="H2223" t="s">
        <v>2266</v>
      </c>
      <c r="I2223">
        <v>3.5491000000000001</v>
      </c>
      <c r="J2223">
        <v>35115.730000000003</v>
      </c>
      <c r="K2223">
        <v>9894.2633343664584</v>
      </c>
    </row>
    <row r="2224" spans="1:11" x14ac:dyDescent="0.25">
      <c r="A2224" t="s">
        <v>270</v>
      </c>
      <c r="B2224" t="s">
        <v>271</v>
      </c>
      <c r="C2224" s="1">
        <v>42514</v>
      </c>
      <c r="D2224" s="1">
        <v>42516</v>
      </c>
      <c r="E2224">
        <v>3</v>
      </c>
      <c r="F2224" t="s">
        <v>368</v>
      </c>
      <c r="G2224" t="s">
        <v>16</v>
      </c>
      <c r="H2224" t="s">
        <v>2267</v>
      </c>
      <c r="I2224">
        <v>3.5659999999999998</v>
      </c>
      <c r="J2224">
        <v>46650.23</v>
      </c>
      <c r="K2224">
        <v>13081.948962422883</v>
      </c>
    </row>
    <row r="2225" spans="1:11" x14ac:dyDescent="0.25">
      <c r="A2225" t="s">
        <v>270</v>
      </c>
      <c r="B2225" t="s">
        <v>271</v>
      </c>
      <c r="C2225" s="1">
        <v>42517</v>
      </c>
      <c r="D2225" s="1">
        <v>42517</v>
      </c>
      <c r="E2225">
        <v>3</v>
      </c>
      <c r="F2225" t="s">
        <v>368</v>
      </c>
      <c r="G2225" t="s">
        <v>16</v>
      </c>
      <c r="H2225" t="s">
        <v>2268</v>
      </c>
      <c r="I2225">
        <v>3.5804</v>
      </c>
      <c r="J2225">
        <v>35444.42</v>
      </c>
      <c r="K2225">
        <v>9899.5698804602835</v>
      </c>
    </row>
    <row r="2226" spans="1:11" x14ac:dyDescent="0.25">
      <c r="A2226" t="s">
        <v>270</v>
      </c>
      <c r="B2226" t="s">
        <v>271</v>
      </c>
      <c r="C2226" s="1">
        <v>42519</v>
      </c>
      <c r="D2226" s="1">
        <v>42521</v>
      </c>
      <c r="E2226">
        <v>3</v>
      </c>
      <c r="F2226" t="s">
        <v>368</v>
      </c>
      <c r="G2226" t="s">
        <v>16</v>
      </c>
      <c r="H2226" t="s">
        <v>5665</v>
      </c>
      <c r="I2226">
        <v>3.6168</v>
      </c>
      <c r="J2226">
        <v>36753.589999999997</v>
      </c>
      <c r="K2226">
        <v>10161.908316744084</v>
      </c>
    </row>
    <row r="2227" spans="1:11" x14ac:dyDescent="0.25">
      <c r="A2227" t="s">
        <v>90</v>
      </c>
      <c r="B2227" t="s">
        <v>91</v>
      </c>
      <c r="C2227" s="1">
        <v>42535</v>
      </c>
      <c r="D2227" s="1">
        <v>42541</v>
      </c>
      <c r="E2227">
        <v>11</v>
      </c>
      <c r="F2227" t="s">
        <v>331</v>
      </c>
      <c r="G2227" t="s">
        <v>16</v>
      </c>
      <c r="H2227" t="s">
        <v>5666</v>
      </c>
      <c r="I2227">
        <v>3.4533</v>
      </c>
      <c r="J2227">
        <v>45095.1</v>
      </c>
      <c r="K2227">
        <v>13058.552688732516</v>
      </c>
    </row>
    <row r="2228" spans="1:11" x14ac:dyDescent="0.25">
      <c r="A2228" t="s">
        <v>90</v>
      </c>
      <c r="B2228" t="s">
        <v>91</v>
      </c>
      <c r="C2228" s="1">
        <v>42536</v>
      </c>
      <c r="D2228" s="1">
        <v>42541</v>
      </c>
      <c r="E2228">
        <v>11</v>
      </c>
      <c r="F2228" t="s">
        <v>331</v>
      </c>
      <c r="G2228" t="s">
        <v>16</v>
      </c>
      <c r="H2228" t="s">
        <v>2269</v>
      </c>
      <c r="I2228">
        <v>3.4839000000000002</v>
      </c>
      <c r="J2228">
        <v>45635.45</v>
      </c>
      <c r="K2228">
        <v>13098.955193891903</v>
      </c>
    </row>
    <row r="2229" spans="1:11" x14ac:dyDescent="0.25">
      <c r="A2229" t="s">
        <v>270</v>
      </c>
      <c r="B2229" t="s">
        <v>271</v>
      </c>
      <c r="C2229" s="1">
        <v>42521</v>
      </c>
      <c r="D2229" s="1">
        <v>42527</v>
      </c>
      <c r="E2229">
        <v>3</v>
      </c>
      <c r="F2229" t="s">
        <v>368</v>
      </c>
      <c r="G2229" t="s">
        <v>16</v>
      </c>
      <c r="H2229" t="s">
        <v>2270</v>
      </c>
      <c r="I2229">
        <v>3.5996999999999999</v>
      </c>
      <c r="J2229">
        <v>48464.66</v>
      </c>
      <c r="K2229">
        <v>13463.527516181905</v>
      </c>
    </row>
    <row r="2230" spans="1:11" x14ac:dyDescent="0.25">
      <c r="A2230" t="s">
        <v>90</v>
      </c>
      <c r="B2230" t="s">
        <v>91</v>
      </c>
      <c r="C2230" s="1">
        <v>42535</v>
      </c>
      <c r="D2230" s="1">
        <v>42541</v>
      </c>
      <c r="E2230">
        <v>11</v>
      </c>
      <c r="F2230" t="s">
        <v>331</v>
      </c>
      <c r="G2230" t="s">
        <v>16</v>
      </c>
      <c r="H2230" t="s">
        <v>5667</v>
      </c>
      <c r="I2230">
        <v>3.4533</v>
      </c>
      <c r="J2230">
        <v>39298.559999999998</v>
      </c>
      <c r="K2230">
        <v>11380.001737468509</v>
      </c>
    </row>
    <row r="2231" spans="1:11" x14ac:dyDescent="0.25">
      <c r="A2231" t="s">
        <v>90</v>
      </c>
      <c r="B2231" t="s">
        <v>91</v>
      </c>
      <c r="C2231" s="1">
        <v>42535</v>
      </c>
      <c r="D2231" s="1">
        <v>42541</v>
      </c>
      <c r="E2231">
        <v>11</v>
      </c>
      <c r="F2231" t="s">
        <v>331</v>
      </c>
      <c r="G2231" t="s">
        <v>16</v>
      </c>
      <c r="H2231" t="s">
        <v>5668</v>
      </c>
      <c r="I2231">
        <v>3.4533</v>
      </c>
      <c r="J2231">
        <v>44898.6</v>
      </c>
      <c r="K2231">
        <v>13001.650595082963</v>
      </c>
    </row>
    <row r="2232" spans="1:11" x14ac:dyDescent="0.25">
      <c r="A2232" t="s">
        <v>90</v>
      </c>
      <c r="B2232" t="s">
        <v>91</v>
      </c>
      <c r="C2232" s="1">
        <v>42535</v>
      </c>
      <c r="D2232" s="1">
        <v>42541</v>
      </c>
      <c r="E2232">
        <v>11</v>
      </c>
      <c r="F2232" t="s">
        <v>331</v>
      </c>
      <c r="G2232" t="s">
        <v>16</v>
      </c>
      <c r="H2232" t="s">
        <v>2271</v>
      </c>
      <c r="I2232">
        <v>3.4533</v>
      </c>
      <c r="J2232">
        <v>45549.49</v>
      </c>
      <c r="K2232">
        <v>13190.13407465323</v>
      </c>
    </row>
    <row r="2233" spans="1:11" x14ac:dyDescent="0.25">
      <c r="A2233" t="s">
        <v>90</v>
      </c>
      <c r="B2233" t="s">
        <v>91</v>
      </c>
      <c r="C2233" s="1">
        <v>42536</v>
      </c>
      <c r="D2233" s="1">
        <v>42542</v>
      </c>
      <c r="E2233">
        <v>11</v>
      </c>
      <c r="F2233" t="s">
        <v>331</v>
      </c>
      <c r="G2233" t="s">
        <v>16</v>
      </c>
      <c r="H2233" t="s">
        <v>5669</v>
      </c>
      <c r="I2233">
        <v>3.4839000000000002</v>
      </c>
      <c r="J2233">
        <v>45230.19</v>
      </c>
      <c r="K2233">
        <v>12982.631533626109</v>
      </c>
    </row>
    <row r="2234" spans="1:11" x14ac:dyDescent="0.25">
      <c r="A2234" t="s">
        <v>90</v>
      </c>
      <c r="B2234" t="s">
        <v>91</v>
      </c>
      <c r="C2234" s="1">
        <v>42536</v>
      </c>
      <c r="D2234" s="1">
        <v>42544</v>
      </c>
      <c r="E2234">
        <v>11</v>
      </c>
      <c r="F2234" t="s">
        <v>331</v>
      </c>
      <c r="G2234" t="s">
        <v>16</v>
      </c>
      <c r="H2234" t="s">
        <v>5670</v>
      </c>
      <c r="I2234">
        <v>3.4839000000000002</v>
      </c>
      <c r="J2234">
        <v>44677.55</v>
      </c>
      <c r="K2234">
        <v>12824.00470736818</v>
      </c>
    </row>
    <row r="2235" spans="1:11" x14ac:dyDescent="0.25">
      <c r="A2235" t="s">
        <v>90</v>
      </c>
      <c r="B2235" t="s">
        <v>91</v>
      </c>
      <c r="C2235" s="1">
        <v>42537</v>
      </c>
      <c r="D2235" s="1">
        <v>42545</v>
      </c>
      <c r="E2235">
        <v>11</v>
      </c>
      <c r="F2235" t="s">
        <v>331</v>
      </c>
      <c r="G2235" t="s">
        <v>16</v>
      </c>
      <c r="H2235" t="s">
        <v>5671</v>
      </c>
      <c r="I2235">
        <v>3.4767999999999999</v>
      </c>
      <c r="J2235">
        <v>30051.119999999999</v>
      </c>
      <c r="K2235">
        <v>8643.3271974229174</v>
      </c>
    </row>
    <row r="2236" spans="1:11" x14ac:dyDescent="0.25">
      <c r="A2236" t="s">
        <v>90</v>
      </c>
      <c r="B2236" t="s">
        <v>91</v>
      </c>
      <c r="C2236" s="1">
        <v>42538</v>
      </c>
      <c r="D2236" s="1">
        <v>42545</v>
      </c>
      <c r="E2236">
        <v>11</v>
      </c>
      <c r="F2236" t="s">
        <v>331</v>
      </c>
      <c r="G2236" t="s">
        <v>16</v>
      </c>
      <c r="H2236" t="s">
        <v>5672</v>
      </c>
      <c r="I2236">
        <v>3.4904000000000002</v>
      </c>
      <c r="J2236">
        <v>47084.59</v>
      </c>
      <c r="K2236">
        <v>13489.740430896172</v>
      </c>
    </row>
    <row r="2237" spans="1:11" x14ac:dyDescent="0.25">
      <c r="A2237" t="s">
        <v>96</v>
      </c>
      <c r="B2237" t="s">
        <v>97</v>
      </c>
      <c r="C2237" s="1">
        <v>42553</v>
      </c>
      <c r="D2237" s="1">
        <v>42571</v>
      </c>
      <c r="E2237">
        <v>1</v>
      </c>
      <c r="F2237" t="s">
        <v>368</v>
      </c>
      <c r="G2237" t="s">
        <v>16</v>
      </c>
      <c r="H2237" t="s">
        <v>2272</v>
      </c>
      <c r="I2237">
        <v>3.2298</v>
      </c>
      <c r="J2237">
        <v>43028.57</v>
      </c>
      <c r="K2237">
        <v>13322.363613846059</v>
      </c>
    </row>
    <row r="2238" spans="1:11" x14ac:dyDescent="0.25">
      <c r="A2238" t="s">
        <v>35</v>
      </c>
      <c r="B2238" t="s">
        <v>38</v>
      </c>
      <c r="C2238" s="1">
        <v>42535</v>
      </c>
      <c r="D2238" s="1">
        <v>42542</v>
      </c>
      <c r="E2238">
        <v>8</v>
      </c>
      <c r="F2238" t="s">
        <v>331</v>
      </c>
      <c r="G2238" t="s">
        <v>16</v>
      </c>
      <c r="H2238" t="s">
        <v>2273</v>
      </c>
      <c r="I2238">
        <v>3.4533</v>
      </c>
      <c r="J2238">
        <v>45303.87</v>
      </c>
      <c r="K2238">
        <v>13119.007905481712</v>
      </c>
    </row>
    <row r="2239" spans="1:11" x14ac:dyDescent="0.25">
      <c r="A2239" t="s">
        <v>35</v>
      </c>
      <c r="B2239" t="s">
        <v>38</v>
      </c>
      <c r="C2239" s="1">
        <v>42537</v>
      </c>
      <c r="D2239" s="1">
        <v>42542</v>
      </c>
      <c r="E2239">
        <v>8</v>
      </c>
      <c r="F2239" t="s">
        <v>331</v>
      </c>
      <c r="G2239" t="s">
        <v>16</v>
      </c>
      <c r="H2239" t="s">
        <v>2274</v>
      </c>
      <c r="I2239">
        <v>3.4767999999999999</v>
      </c>
      <c r="J2239">
        <v>46053</v>
      </c>
      <c r="K2239">
        <v>13245.800736309249</v>
      </c>
    </row>
    <row r="2240" spans="1:11" x14ac:dyDescent="0.25">
      <c r="A2240" t="s">
        <v>90</v>
      </c>
      <c r="B2240" t="s">
        <v>91</v>
      </c>
      <c r="C2240" s="1">
        <v>42536</v>
      </c>
      <c r="D2240" s="1">
        <v>42544</v>
      </c>
      <c r="E2240">
        <v>11</v>
      </c>
      <c r="F2240" t="s">
        <v>331</v>
      </c>
      <c r="G2240" t="s">
        <v>16</v>
      </c>
      <c r="H2240" t="s">
        <v>2275</v>
      </c>
      <c r="I2240">
        <v>3.4839000000000002</v>
      </c>
      <c r="J2240">
        <v>45905.63</v>
      </c>
      <c r="K2240">
        <v>13176.506214300067</v>
      </c>
    </row>
    <row r="2241" spans="1:11" x14ac:dyDescent="0.25">
      <c r="A2241" t="s">
        <v>90</v>
      </c>
      <c r="B2241" t="s">
        <v>91</v>
      </c>
      <c r="C2241" s="1">
        <v>42537</v>
      </c>
      <c r="D2241" s="1">
        <v>42548</v>
      </c>
      <c r="E2241">
        <v>11</v>
      </c>
      <c r="F2241" t="s">
        <v>331</v>
      </c>
      <c r="G2241" t="s">
        <v>16</v>
      </c>
      <c r="H2241" t="s">
        <v>5673</v>
      </c>
      <c r="I2241">
        <v>3.4767999999999999</v>
      </c>
      <c r="J2241">
        <v>46396.86</v>
      </c>
      <c r="K2241">
        <v>13344.702024850438</v>
      </c>
    </row>
    <row r="2242" spans="1:11" x14ac:dyDescent="0.25">
      <c r="A2242" t="s">
        <v>90</v>
      </c>
      <c r="B2242" t="s">
        <v>91</v>
      </c>
      <c r="C2242" s="1">
        <v>42537</v>
      </c>
      <c r="D2242" s="1">
        <v>42542</v>
      </c>
      <c r="E2242">
        <v>11</v>
      </c>
      <c r="F2242" t="s">
        <v>331</v>
      </c>
      <c r="G2242" t="s">
        <v>16</v>
      </c>
      <c r="H2242" t="s">
        <v>5674</v>
      </c>
      <c r="I2242">
        <v>3.4767999999999999</v>
      </c>
      <c r="J2242">
        <v>30149.360000000001</v>
      </c>
      <c r="K2242">
        <v>8671.5830648872525</v>
      </c>
    </row>
    <row r="2243" spans="1:11" x14ac:dyDescent="0.25">
      <c r="A2243" t="s">
        <v>90</v>
      </c>
      <c r="B2243" t="s">
        <v>91</v>
      </c>
      <c r="C2243" s="1">
        <v>42537</v>
      </c>
      <c r="D2243" s="1">
        <v>42542</v>
      </c>
      <c r="E2243">
        <v>11</v>
      </c>
      <c r="F2243" t="s">
        <v>331</v>
      </c>
      <c r="G2243" t="s">
        <v>16</v>
      </c>
      <c r="H2243" t="s">
        <v>5675</v>
      </c>
      <c r="I2243">
        <v>3.4767999999999999</v>
      </c>
      <c r="J2243">
        <v>30051.119999999999</v>
      </c>
      <c r="K2243">
        <v>8643.3271974229174</v>
      </c>
    </row>
    <row r="2244" spans="1:11" x14ac:dyDescent="0.25">
      <c r="A2244" t="s">
        <v>90</v>
      </c>
      <c r="B2244" t="s">
        <v>91</v>
      </c>
      <c r="C2244" s="1">
        <v>42534</v>
      </c>
      <c r="D2244" s="1">
        <v>42543</v>
      </c>
      <c r="E2244">
        <v>11</v>
      </c>
      <c r="F2244" t="s">
        <v>331</v>
      </c>
      <c r="G2244" t="s">
        <v>16</v>
      </c>
      <c r="H2244" t="s">
        <v>2276</v>
      </c>
      <c r="I2244">
        <v>3.4260999999999999</v>
      </c>
      <c r="J2244">
        <v>45402.12</v>
      </c>
      <c r="K2244">
        <v>13251.837366101397</v>
      </c>
    </row>
    <row r="2245" spans="1:11" x14ac:dyDescent="0.25">
      <c r="A2245" t="s">
        <v>90</v>
      </c>
      <c r="B2245" t="s">
        <v>91</v>
      </c>
      <c r="C2245" s="1">
        <v>42538</v>
      </c>
      <c r="D2245" s="1">
        <v>42543</v>
      </c>
      <c r="E2245">
        <v>11</v>
      </c>
      <c r="F2245" t="s">
        <v>331</v>
      </c>
      <c r="G2245" t="s">
        <v>16</v>
      </c>
      <c r="H2245" t="s">
        <v>5676</v>
      </c>
      <c r="I2245">
        <v>3.4904000000000002</v>
      </c>
      <c r="J2245">
        <v>44616.15</v>
      </c>
      <c r="K2245">
        <v>12782.532088012835</v>
      </c>
    </row>
    <row r="2246" spans="1:11" x14ac:dyDescent="0.25">
      <c r="A2246" t="s">
        <v>236</v>
      </c>
      <c r="B2246" t="s">
        <v>237</v>
      </c>
      <c r="C2246" s="1">
        <v>42576</v>
      </c>
      <c r="D2246" s="1">
        <v>42597</v>
      </c>
      <c r="E2246">
        <v>3</v>
      </c>
      <c r="F2246" t="s">
        <v>301</v>
      </c>
      <c r="G2246" t="s">
        <v>16</v>
      </c>
      <c r="H2246" t="s">
        <v>2277</v>
      </c>
      <c r="I2246">
        <v>3.2854000000000001</v>
      </c>
      <c r="J2246">
        <v>17441.990000000002</v>
      </c>
      <c r="K2246">
        <v>5308.9395507396357</v>
      </c>
    </row>
    <row r="2247" spans="1:11" x14ac:dyDescent="0.25">
      <c r="A2247" t="s">
        <v>181</v>
      </c>
      <c r="B2247" t="s">
        <v>182</v>
      </c>
      <c r="C2247" s="1">
        <v>42586</v>
      </c>
      <c r="D2247" s="1">
        <v>42592</v>
      </c>
      <c r="E2247">
        <v>1</v>
      </c>
      <c r="F2247" t="s">
        <v>368</v>
      </c>
      <c r="G2247" t="s">
        <v>16</v>
      </c>
      <c r="H2247" t="s">
        <v>2278</v>
      </c>
      <c r="I2247">
        <v>3.2732999999999999</v>
      </c>
      <c r="J2247">
        <v>55465.57</v>
      </c>
      <c r="K2247">
        <v>16944.847707206794</v>
      </c>
    </row>
    <row r="2248" spans="1:11" x14ac:dyDescent="0.25">
      <c r="A2248" t="s">
        <v>256</v>
      </c>
      <c r="B2248" t="s">
        <v>257</v>
      </c>
      <c r="C2248" s="1">
        <v>42577</v>
      </c>
      <c r="D2248" s="1">
        <v>42598</v>
      </c>
      <c r="E2248">
        <v>4</v>
      </c>
      <c r="F2248" t="s">
        <v>301</v>
      </c>
      <c r="G2248" t="s">
        <v>16</v>
      </c>
      <c r="H2248" t="s">
        <v>5677</v>
      </c>
      <c r="I2248">
        <v>3.2818999999999998</v>
      </c>
      <c r="J2248">
        <v>64173.19</v>
      </c>
      <c r="K2248">
        <v>19553.670130107559</v>
      </c>
    </row>
    <row r="2249" spans="1:11" x14ac:dyDescent="0.25">
      <c r="A2249" t="s">
        <v>160</v>
      </c>
      <c r="B2249" t="s">
        <v>161</v>
      </c>
      <c r="C2249" s="1">
        <v>42572</v>
      </c>
      <c r="D2249" s="1">
        <v>42577</v>
      </c>
      <c r="E2249">
        <v>9</v>
      </c>
      <c r="F2249" t="s">
        <v>368</v>
      </c>
      <c r="G2249" t="s">
        <v>16</v>
      </c>
      <c r="H2249" t="s">
        <v>5678</v>
      </c>
      <c r="I2249">
        <v>3.2511999999999999</v>
      </c>
      <c r="J2249">
        <v>32593.43</v>
      </c>
      <c r="K2249">
        <v>10025.046136811023</v>
      </c>
    </row>
    <row r="2250" spans="1:11" x14ac:dyDescent="0.25">
      <c r="A2250" t="s">
        <v>160</v>
      </c>
      <c r="B2250" t="s">
        <v>161</v>
      </c>
      <c r="C2250" s="1">
        <v>42577</v>
      </c>
      <c r="D2250" s="1">
        <v>42578</v>
      </c>
      <c r="E2250">
        <v>9</v>
      </c>
      <c r="F2250" t="s">
        <v>368</v>
      </c>
      <c r="G2250" t="s">
        <v>16</v>
      </c>
      <c r="H2250" t="s">
        <v>5679</v>
      </c>
      <c r="I2250">
        <v>3.2818999999999998</v>
      </c>
      <c r="J2250">
        <v>44623.03</v>
      </c>
      <c r="K2250">
        <v>13596.706176300313</v>
      </c>
    </row>
    <row r="2251" spans="1:11" x14ac:dyDescent="0.25">
      <c r="A2251" t="s">
        <v>100</v>
      </c>
      <c r="B2251" t="s">
        <v>101</v>
      </c>
      <c r="C2251" s="1">
        <v>42576</v>
      </c>
      <c r="D2251" s="1">
        <v>42593</v>
      </c>
      <c r="E2251">
        <v>4</v>
      </c>
      <c r="F2251" t="s">
        <v>301</v>
      </c>
      <c r="G2251" t="s">
        <v>16</v>
      </c>
      <c r="H2251" t="s">
        <v>2279</v>
      </c>
      <c r="I2251">
        <v>3.2854000000000001</v>
      </c>
      <c r="J2251">
        <v>6395.39</v>
      </c>
      <c r="K2251">
        <v>1946.6092408839106</v>
      </c>
    </row>
    <row r="2252" spans="1:11" x14ac:dyDescent="0.25">
      <c r="A2252" t="s">
        <v>179</v>
      </c>
      <c r="B2252" t="s">
        <v>180</v>
      </c>
      <c r="C2252" s="1">
        <v>42595</v>
      </c>
      <c r="D2252" s="1">
        <v>42598</v>
      </c>
      <c r="E2252">
        <v>1</v>
      </c>
      <c r="F2252" t="s">
        <v>368</v>
      </c>
      <c r="G2252" t="s">
        <v>16</v>
      </c>
      <c r="H2252" t="s">
        <v>2280</v>
      </c>
      <c r="I2252">
        <v>3.1602000000000001</v>
      </c>
      <c r="J2252">
        <v>56357.45</v>
      </c>
      <c r="K2252">
        <v>17833.50737295108</v>
      </c>
    </row>
    <row r="2253" spans="1:11" x14ac:dyDescent="0.25">
      <c r="A2253" t="s">
        <v>264</v>
      </c>
      <c r="B2253" t="s">
        <v>265</v>
      </c>
      <c r="C2253" s="1">
        <v>42577</v>
      </c>
      <c r="D2253" s="1">
        <v>42598</v>
      </c>
      <c r="E2253">
        <v>8</v>
      </c>
      <c r="F2253" t="s">
        <v>301</v>
      </c>
      <c r="G2253" t="s">
        <v>16</v>
      </c>
      <c r="H2253" t="s">
        <v>2281</v>
      </c>
      <c r="I2253">
        <v>3.2818999999999998</v>
      </c>
      <c r="J2253">
        <v>28718.99</v>
      </c>
      <c r="K2253">
        <v>8750.7206191535388</v>
      </c>
    </row>
    <row r="2254" spans="1:11" x14ac:dyDescent="0.25">
      <c r="A2254" t="s">
        <v>238</v>
      </c>
      <c r="B2254" t="s">
        <v>239</v>
      </c>
      <c r="C2254" s="1">
        <v>42577</v>
      </c>
      <c r="D2254" s="1">
        <v>42598</v>
      </c>
      <c r="E2254">
        <v>2</v>
      </c>
      <c r="F2254" t="s">
        <v>301</v>
      </c>
      <c r="G2254" t="s">
        <v>16</v>
      </c>
      <c r="H2254" t="s">
        <v>2282</v>
      </c>
      <c r="I2254">
        <v>3.2818999999999998</v>
      </c>
      <c r="J2254">
        <v>37875</v>
      </c>
      <c r="K2254">
        <v>11540.571010695025</v>
      </c>
    </row>
    <row r="2255" spans="1:11" x14ac:dyDescent="0.25">
      <c r="A2255" t="s">
        <v>640</v>
      </c>
      <c r="B2255" t="s">
        <v>641</v>
      </c>
      <c r="C2255" s="1">
        <v>40789</v>
      </c>
      <c r="D2255" s="1">
        <v>40791</v>
      </c>
      <c r="E2255">
        <v>115</v>
      </c>
      <c r="F2255" t="s">
        <v>642</v>
      </c>
      <c r="G2255" t="s">
        <v>16</v>
      </c>
      <c r="H2255" t="s">
        <v>5680</v>
      </c>
      <c r="I2255">
        <v>1.6343000000000001</v>
      </c>
      <c r="J2255">
        <v>82280.070000000007</v>
      </c>
      <c r="K2255">
        <v>50345.756593036771</v>
      </c>
    </row>
    <row r="2256" spans="1:11" x14ac:dyDescent="0.25">
      <c r="A2256" t="s">
        <v>640</v>
      </c>
      <c r="B2256" t="s">
        <v>641</v>
      </c>
      <c r="C2256" s="1">
        <v>40789</v>
      </c>
      <c r="D2256" s="1">
        <v>40792</v>
      </c>
      <c r="E2256">
        <v>115</v>
      </c>
      <c r="F2256" t="s">
        <v>642</v>
      </c>
      <c r="G2256" t="s">
        <v>16</v>
      </c>
      <c r="H2256" t="s">
        <v>5681</v>
      </c>
      <c r="I2256">
        <v>1.6343000000000001</v>
      </c>
      <c r="J2256">
        <v>73258.13</v>
      </c>
      <c r="K2256">
        <v>44825.387015847766</v>
      </c>
    </row>
    <row r="2257" spans="1:11" x14ac:dyDescent="0.25">
      <c r="A2257" t="s">
        <v>648</v>
      </c>
      <c r="B2257" t="s">
        <v>649</v>
      </c>
      <c r="C2257" s="1">
        <v>40788</v>
      </c>
      <c r="D2257" s="1">
        <v>40805</v>
      </c>
      <c r="E2257">
        <v>1</v>
      </c>
      <c r="F2257" t="s">
        <v>642</v>
      </c>
      <c r="G2257" t="s">
        <v>16</v>
      </c>
      <c r="H2257" t="s">
        <v>5682</v>
      </c>
      <c r="I2257">
        <v>1.6343000000000001</v>
      </c>
      <c r="J2257">
        <v>82280.070000000007</v>
      </c>
      <c r="K2257">
        <v>50345.756593036771</v>
      </c>
    </row>
    <row r="2258" spans="1:11" x14ac:dyDescent="0.25">
      <c r="A2258" t="s">
        <v>4070</v>
      </c>
      <c r="B2258" t="s">
        <v>4071</v>
      </c>
      <c r="C2258" s="1">
        <v>40799</v>
      </c>
      <c r="D2258" s="1">
        <v>40814</v>
      </c>
      <c r="E2258">
        <v>226</v>
      </c>
      <c r="F2258" t="s">
        <v>642</v>
      </c>
      <c r="G2258" t="s">
        <v>16</v>
      </c>
      <c r="H2258" t="s">
        <v>2318</v>
      </c>
      <c r="I2258">
        <v>1.6899</v>
      </c>
      <c r="J2258">
        <v>53044.18</v>
      </c>
      <c r="K2258">
        <v>31388.946091484704</v>
      </c>
    </row>
    <row r="2259" spans="1:11" x14ac:dyDescent="0.25">
      <c r="A2259" t="s">
        <v>654</v>
      </c>
      <c r="B2259" t="s">
        <v>655</v>
      </c>
      <c r="C2259" s="1">
        <v>40882</v>
      </c>
      <c r="D2259" s="1">
        <v>40886</v>
      </c>
      <c r="E2259">
        <v>116</v>
      </c>
      <c r="F2259" t="s">
        <v>301</v>
      </c>
      <c r="G2259" t="s">
        <v>16</v>
      </c>
      <c r="H2259" t="s">
        <v>2283</v>
      </c>
      <c r="I2259">
        <v>1.7829999999999999</v>
      </c>
      <c r="J2259">
        <v>35700.01</v>
      </c>
      <c r="K2259">
        <v>20022.439708356702</v>
      </c>
    </row>
    <row r="2260" spans="1:11" x14ac:dyDescent="0.25">
      <c r="A2260" t="s">
        <v>651</v>
      </c>
      <c r="B2260" t="s">
        <v>652</v>
      </c>
      <c r="C2260" s="1">
        <v>40814</v>
      </c>
      <c r="D2260" s="1">
        <v>40819</v>
      </c>
      <c r="E2260">
        <v>141</v>
      </c>
      <c r="F2260" t="s">
        <v>331</v>
      </c>
      <c r="G2260" t="s">
        <v>16</v>
      </c>
      <c r="H2260" t="s">
        <v>2284</v>
      </c>
      <c r="I2260">
        <v>1.8008</v>
      </c>
      <c r="J2260">
        <v>79480.600000000006</v>
      </c>
      <c r="K2260">
        <v>44136.272767658818</v>
      </c>
    </row>
    <row r="2261" spans="1:11" x14ac:dyDescent="0.25">
      <c r="A2261" t="s">
        <v>700</v>
      </c>
      <c r="B2261" t="s">
        <v>701</v>
      </c>
      <c r="C2261" s="1">
        <v>40812</v>
      </c>
      <c r="D2261" s="1">
        <v>40816</v>
      </c>
      <c r="E2261">
        <v>113</v>
      </c>
      <c r="F2261" t="s">
        <v>642</v>
      </c>
      <c r="G2261" t="s">
        <v>16</v>
      </c>
      <c r="H2261" t="s">
        <v>5683</v>
      </c>
      <c r="I2261">
        <v>1.8734999999999999</v>
      </c>
      <c r="J2261">
        <v>259957.92</v>
      </c>
      <c r="K2261">
        <v>138755.22818254604</v>
      </c>
    </row>
    <row r="2262" spans="1:11" x14ac:dyDescent="0.25">
      <c r="A2262" t="s">
        <v>668</v>
      </c>
      <c r="B2262" t="s">
        <v>476</v>
      </c>
      <c r="C2262" s="1">
        <v>40842</v>
      </c>
      <c r="D2262" s="1">
        <v>40848</v>
      </c>
      <c r="E2262">
        <v>1687</v>
      </c>
      <c r="F2262" t="s">
        <v>311</v>
      </c>
      <c r="G2262" t="s">
        <v>16</v>
      </c>
      <c r="H2262" t="s">
        <v>5684</v>
      </c>
      <c r="I2262">
        <v>1.7547999999999999</v>
      </c>
      <c r="J2262">
        <v>241802.61</v>
      </c>
      <c r="K2262">
        <v>137794.96808753134</v>
      </c>
    </row>
    <row r="2263" spans="1:11" x14ac:dyDescent="0.25">
      <c r="A2263" t="s">
        <v>4089</v>
      </c>
      <c r="B2263" t="s">
        <v>1822</v>
      </c>
      <c r="C2263" s="1">
        <v>40809</v>
      </c>
      <c r="D2263" s="1">
        <v>40821</v>
      </c>
      <c r="E2263">
        <v>117</v>
      </c>
      <c r="F2263" t="s">
        <v>370</v>
      </c>
      <c r="G2263" t="s">
        <v>16</v>
      </c>
      <c r="H2263" t="s">
        <v>5685</v>
      </c>
      <c r="I2263">
        <v>1.9016</v>
      </c>
      <c r="J2263">
        <v>141479.04000000001</v>
      </c>
      <c r="K2263">
        <v>74400</v>
      </c>
    </row>
    <row r="2264" spans="1:11" x14ac:dyDescent="0.25">
      <c r="A2264" t="s">
        <v>5686</v>
      </c>
      <c r="C2264" s="1">
        <v>40831</v>
      </c>
      <c r="D2264" s="1">
        <v>40834</v>
      </c>
      <c r="E2264">
        <v>1544</v>
      </c>
      <c r="F2264" t="s">
        <v>299</v>
      </c>
      <c r="G2264" t="s">
        <v>16</v>
      </c>
      <c r="H2264" t="s">
        <v>5687</v>
      </c>
      <c r="I2264">
        <v>1.7376</v>
      </c>
      <c r="J2264">
        <v>1836.78</v>
      </c>
      <c r="K2264">
        <v>1057.0787292817679</v>
      </c>
    </row>
    <row r="2265" spans="1:11" x14ac:dyDescent="0.25">
      <c r="A2265" t="s">
        <v>5688</v>
      </c>
      <c r="C2265" s="1">
        <v>40809</v>
      </c>
      <c r="D2265" s="1">
        <v>40820</v>
      </c>
      <c r="E2265">
        <v>1218</v>
      </c>
      <c r="F2265" t="s">
        <v>283</v>
      </c>
      <c r="G2265" t="s">
        <v>16</v>
      </c>
      <c r="H2265" t="s">
        <v>4291</v>
      </c>
      <c r="I2265">
        <v>1.9016</v>
      </c>
      <c r="J2265">
        <v>350</v>
      </c>
      <c r="K2265">
        <v>184.05553218342448</v>
      </c>
    </row>
    <row r="2266" spans="1:11" x14ac:dyDescent="0.25">
      <c r="A2266" t="s">
        <v>654</v>
      </c>
      <c r="B2266" t="s">
        <v>655</v>
      </c>
      <c r="C2266" s="1">
        <v>40841</v>
      </c>
      <c r="D2266" s="1">
        <v>40844</v>
      </c>
      <c r="E2266">
        <v>116</v>
      </c>
      <c r="F2266" t="s">
        <v>301</v>
      </c>
      <c r="G2266" t="s">
        <v>16</v>
      </c>
      <c r="H2266" t="s">
        <v>2285</v>
      </c>
      <c r="I2266">
        <v>1.7767999999999999</v>
      </c>
      <c r="J2266">
        <v>37080</v>
      </c>
      <c r="K2266">
        <v>20868.977937865828</v>
      </c>
    </row>
    <row r="2267" spans="1:11" x14ac:dyDescent="0.25">
      <c r="A2267" t="s">
        <v>663</v>
      </c>
      <c r="B2267" t="s">
        <v>664</v>
      </c>
      <c r="C2267" s="1">
        <v>40841</v>
      </c>
      <c r="D2267" s="1">
        <v>40845</v>
      </c>
      <c r="E2267">
        <v>1660</v>
      </c>
      <c r="F2267" t="s">
        <v>665</v>
      </c>
      <c r="G2267" t="s">
        <v>16</v>
      </c>
      <c r="H2267" t="s">
        <v>2286</v>
      </c>
      <c r="I2267">
        <v>1.7767999999999999</v>
      </c>
      <c r="J2267">
        <v>158461.88</v>
      </c>
      <c r="K2267">
        <v>89183.858622242231</v>
      </c>
    </row>
    <row r="2268" spans="1:11" x14ac:dyDescent="0.25">
      <c r="A2268" t="s">
        <v>2287</v>
      </c>
      <c r="B2268" t="s">
        <v>2288</v>
      </c>
      <c r="C2268" s="1">
        <v>40819</v>
      </c>
      <c r="D2268" s="1">
        <v>40823</v>
      </c>
      <c r="E2268">
        <v>2</v>
      </c>
      <c r="F2268" t="s">
        <v>368</v>
      </c>
      <c r="G2268" t="s">
        <v>16</v>
      </c>
      <c r="H2268" t="s">
        <v>2289</v>
      </c>
      <c r="I2268">
        <v>1.8544</v>
      </c>
      <c r="J2268">
        <v>109756.8</v>
      </c>
      <c r="K2268">
        <v>59187.230371009493</v>
      </c>
    </row>
    <row r="2269" spans="1:11" x14ac:dyDescent="0.25">
      <c r="A2269" t="s">
        <v>654</v>
      </c>
      <c r="B2269" t="s">
        <v>655</v>
      </c>
      <c r="C2269" s="1">
        <v>40841</v>
      </c>
      <c r="D2269" s="1">
        <v>40844</v>
      </c>
      <c r="E2269">
        <v>116</v>
      </c>
      <c r="F2269" t="s">
        <v>301</v>
      </c>
      <c r="G2269" t="s">
        <v>16</v>
      </c>
      <c r="H2269" t="s">
        <v>2290</v>
      </c>
      <c r="I2269">
        <v>1.7767999999999999</v>
      </c>
      <c r="J2269">
        <v>37080</v>
      </c>
      <c r="K2269">
        <v>20868.977937865828</v>
      </c>
    </row>
    <row r="2270" spans="1:11" x14ac:dyDescent="0.25">
      <c r="A2270" t="s">
        <v>2291</v>
      </c>
      <c r="C2270" s="1">
        <v>40848</v>
      </c>
      <c r="D2270" s="1">
        <v>40872</v>
      </c>
      <c r="E2270">
        <v>355</v>
      </c>
      <c r="F2270" t="s">
        <v>475</v>
      </c>
      <c r="G2270" t="s">
        <v>16</v>
      </c>
      <c r="H2270" t="s">
        <v>2292</v>
      </c>
      <c r="I2270">
        <v>1.6884999999999999</v>
      </c>
      <c r="J2270">
        <v>663.75</v>
      </c>
      <c r="K2270">
        <v>393.10038495706249</v>
      </c>
    </row>
    <row r="2271" spans="1:11" x14ac:dyDescent="0.25">
      <c r="A2271" t="s">
        <v>672</v>
      </c>
      <c r="B2271" t="s">
        <v>673</v>
      </c>
      <c r="C2271" s="1">
        <v>40815</v>
      </c>
      <c r="D2271" s="1">
        <v>40827</v>
      </c>
      <c r="E2271">
        <v>118</v>
      </c>
      <c r="F2271" t="s">
        <v>370</v>
      </c>
      <c r="G2271" t="s">
        <v>16</v>
      </c>
      <c r="H2271" t="s">
        <v>2293</v>
      </c>
      <c r="I2271">
        <v>1.8123</v>
      </c>
      <c r="J2271">
        <v>1305.43</v>
      </c>
      <c r="K2271">
        <v>720.31672460409425</v>
      </c>
    </row>
    <row r="2272" spans="1:11" x14ac:dyDescent="0.25">
      <c r="A2272" t="s">
        <v>1332</v>
      </c>
      <c r="B2272" t="s">
        <v>1333</v>
      </c>
      <c r="C2272" s="1">
        <v>40836</v>
      </c>
      <c r="D2272" s="1">
        <v>40846</v>
      </c>
      <c r="E2272">
        <v>142</v>
      </c>
      <c r="F2272" t="s">
        <v>331</v>
      </c>
      <c r="G2272" t="s">
        <v>16</v>
      </c>
      <c r="H2272" t="s">
        <v>2294</v>
      </c>
      <c r="I2272">
        <v>1.7604</v>
      </c>
      <c r="J2272">
        <v>57891.49</v>
      </c>
      <c r="K2272">
        <v>32885.418086798454</v>
      </c>
    </row>
    <row r="2273" spans="1:11" x14ac:dyDescent="0.25">
      <c r="A2273" t="s">
        <v>1332</v>
      </c>
      <c r="B2273" t="s">
        <v>1333</v>
      </c>
      <c r="C2273" s="1">
        <v>40831</v>
      </c>
      <c r="D2273" s="1">
        <v>40836</v>
      </c>
      <c r="E2273">
        <v>142</v>
      </c>
      <c r="F2273" t="s">
        <v>331</v>
      </c>
      <c r="G2273" t="s">
        <v>16</v>
      </c>
      <c r="H2273" t="s">
        <v>2295</v>
      </c>
      <c r="I2273">
        <v>1.7376</v>
      </c>
      <c r="J2273">
        <v>58687.49</v>
      </c>
      <c r="K2273">
        <v>33775.02877532228</v>
      </c>
    </row>
    <row r="2274" spans="1:11" x14ac:dyDescent="0.25">
      <c r="A2274" t="s">
        <v>1332</v>
      </c>
      <c r="B2274" t="s">
        <v>1333</v>
      </c>
      <c r="C2274" s="1">
        <v>40833</v>
      </c>
      <c r="D2274" s="1">
        <v>40836</v>
      </c>
      <c r="E2274">
        <v>142</v>
      </c>
      <c r="F2274" t="s">
        <v>331</v>
      </c>
      <c r="G2274" t="s">
        <v>16</v>
      </c>
      <c r="H2274" t="s">
        <v>2296</v>
      </c>
      <c r="I2274">
        <v>1.7376</v>
      </c>
      <c r="J2274">
        <v>58783.01</v>
      </c>
      <c r="K2274">
        <v>33830.00115101289</v>
      </c>
    </row>
    <row r="2275" spans="1:11" x14ac:dyDescent="0.25">
      <c r="A2275" t="s">
        <v>668</v>
      </c>
      <c r="B2275" t="s">
        <v>476</v>
      </c>
      <c r="C2275" s="1">
        <v>40872</v>
      </c>
      <c r="D2275" s="1">
        <v>40878</v>
      </c>
      <c r="E2275">
        <v>1687</v>
      </c>
      <c r="F2275" t="s">
        <v>311</v>
      </c>
      <c r="G2275" t="s">
        <v>16</v>
      </c>
      <c r="H2275" t="s">
        <v>2297</v>
      </c>
      <c r="I2275">
        <v>1.8936999999999999</v>
      </c>
      <c r="J2275">
        <v>298402.15999999997</v>
      </c>
      <c r="K2275">
        <v>157576.25811902626</v>
      </c>
    </row>
    <row r="2276" spans="1:11" x14ac:dyDescent="0.25">
      <c r="A2276" t="s">
        <v>1339</v>
      </c>
      <c r="B2276" t="s">
        <v>1340</v>
      </c>
      <c r="C2276" s="1">
        <v>40863</v>
      </c>
      <c r="D2276" s="1">
        <v>40866</v>
      </c>
      <c r="E2276">
        <v>1843</v>
      </c>
      <c r="F2276" t="s">
        <v>373</v>
      </c>
      <c r="G2276" t="s">
        <v>16</v>
      </c>
      <c r="H2276" t="s">
        <v>5689</v>
      </c>
      <c r="I2276">
        <v>1.7648999999999999</v>
      </c>
      <c r="J2276">
        <v>104392.24</v>
      </c>
      <c r="K2276">
        <v>59149.096266077395</v>
      </c>
    </row>
    <row r="2277" spans="1:11" x14ac:dyDescent="0.25">
      <c r="A2277" t="s">
        <v>2298</v>
      </c>
      <c r="C2277" s="1">
        <v>40880</v>
      </c>
      <c r="D2277" s="1">
        <v>40907</v>
      </c>
      <c r="E2277">
        <v>3137</v>
      </c>
      <c r="F2277" t="s">
        <v>307</v>
      </c>
      <c r="G2277" t="s">
        <v>16</v>
      </c>
      <c r="H2277" t="s">
        <v>2299</v>
      </c>
      <c r="I2277">
        <v>1.7829999999999999</v>
      </c>
      <c r="J2277">
        <v>1062.5</v>
      </c>
      <c r="K2277">
        <v>595.90577678070667</v>
      </c>
    </row>
    <row r="2278" spans="1:11" x14ac:dyDescent="0.25">
      <c r="A2278" t="s">
        <v>677</v>
      </c>
      <c r="B2278" t="s">
        <v>678</v>
      </c>
      <c r="C2278" s="1">
        <v>40906</v>
      </c>
      <c r="D2278" s="1">
        <v>40910</v>
      </c>
      <c r="E2278">
        <v>2629</v>
      </c>
      <c r="F2278" t="s">
        <v>331</v>
      </c>
      <c r="G2278" t="s">
        <v>16</v>
      </c>
      <c r="H2278" t="s">
        <v>5690</v>
      </c>
      <c r="I2278">
        <v>1.8633999999999999</v>
      </c>
      <c r="J2278">
        <v>56739.16</v>
      </c>
      <c r="K2278">
        <v>30449.264784801973</v>
      </c>
    </row>
    <row r="2279" spans="1:11" x14ac:dyDescent="0.25">
      <c r="A2279" t="s">
        <v>677</v>
      </c>
      <c r="B2279" t="s">
        <v>678</v>
      </c>
      <c r="C2279" s="1">
        <v>40899</v>
      </c>
      <c r="D2279" s="1">
        <v>40904</v>
      </c>
      <c r="E2279">
        <v>2629</v>
      </c>
      <c r="F2279" t="s">
        <v>331</v>
      </c>
      <c r="G2279" t="s">
        <v>16</v>
      </c>
      <c r="H2279" t="s">
        <v>2300</v>
      </c>
      <c r="I2279">
        <v>1.8555999999999999</v>
      </c>
      <c r="J2279">
        <v>78032</v>
      </c>
      <c r="K2279">
        <v>42052.166415175685</v>
      </c>
    </row>
    <row r="2280" spans="1:11" x14ac:dyDescent="0.25">
      <c r="A2280" t="s">
        <v>1836</v>
      </c>
      <c r="B2280" t="s">
        <v>1837</v>
      </c>
      <c r="C2280" s="1">
        <v>40907</v>
      </c>
      <c r="D2280" s="1">
        <v>40921</v>
      </c>
      <c r="E2280">
        <v>1533</v>
      </c>
      <c r="F2280" t="s">
        <v>331</v>
      </c>
      <c r="G2280" t="s">
        <v>16</v>
      </c>
      <c r="H2280" t="s">
        <v>5691</v>
      </c>
      <c r="I2280">
        <v>1.8757999999999999</v>
      </c>
      <c r="J2280">
        <v>57929.05</v>
      </c>
      <c r="K2280">
        <v>30882.316878131998</v>
      </c>
    </row>
    <row r="2281" spans="1:11" x14ac:dyDescent="0.25">
      <c r="A2281" t="s">
        <v>672</v>
      </c>
      <c r="B2281" t="s">
        <v>673</v>
      </c>
      <c r="C2281" s="1">
        <v>40891</v>
      </c>
      <c r="D2281" s="1">
        <v>40896</v>
      </c>
      <c r="E2281">
        <v>118</v>
      </c>
      <c r="F2281" t="s">
        <v>370</v>
      </c>
      <c r="G2281" t="s">
        <v>16</v>
      </c>
      <c r="H2281" t="s">
        <v>5692</v>
      </c>
      <c r="I2281">
        <v>1.8409</v>
      </c>
      <c r="J2281">
        <v>191453.6</v>
      </c>
      <c r="K2281">
        <v>104000</v>
      </c>
    </row>
    <row r="2282" spans="1:11" x14ac:dyDescent="0.25">
      <c r="A2282" t="s">
        <v>672</v>
      </c>
      <c r="B2282" t="s">
        <v>673</v>
      </c>
      <c r="C2282" s="1">
        <v>40891</v>
      </c>
      <c r="D2282" s="1">
        <v>40896</v>
      </c>
      <c r="E2282">
        <v>118</v>
      </c>
      <c r="F2282" t="s">
        <v>370</v>
      </c>
      <c r="G2282" t="s">
        <v>16</v>
      </c>
      <c r="H2282" t="s">
        <v>5693</v>
      </c>
      <c r="I2282">
        <v>1.8409</v>
      </c>
      <c r="J2282">
        <v>129700.61</v>
      </c>
      <c r="K2282">
        <v>70455.000271606274</v>
      </c>
    </row>
    <row r="2283" spans="1:11" x14ac:dyDescent="0.25">
      <c r="A2283" t="s">
        <v>736</v>
      </c>
      <c r="B2283" t="s">
        <v>737</v>
      </c>
      <c r="C2283" s="1">
        <v>40934</v>
      </c>
      <c r="D2283" s="1">
        <v>40936</v>
      </c>
      <c r="E2283">
        <v>3415</v>
      </c>
      <c r="F2283" t="s">
        <v>689</v>
      </c>
      <c r="G2283" t="s">
        <v>16</v>
      </c>
      <c r="H2283" t="s">
        <v>5694</v>
      </c>
      <c r="I2283">
        <v>1.7632000000000001</v>
      </c>
      <c r="J2283">
        <v>63006.879999999997</v>
      </c>
      <c r="K2283">
        <v>35734.392014519057</v>
      </c>
    </row>
    <row r="2284" spans="1:11" x14ac:dyDescent="0.25">
      <c r="A2284" t="s">
        <v>2301</v>
      </c>
      <c r="B2284" t="s">
        <v>577</v>
      </c>
      <c r="C2284" s="1">
        <v>40899</v>
      </c>
      <c r="D2284" s="1">
        <v>40911</v>
      </c>
      <c r="E2284">
        <v>2798</v>
      </c>
      <c r="F2284" t="s">
        <v>311</v>
      </c>
      <c r="G2284" t="s">
        <v>16</v>
      </c>
      <c r="H2284" t="s">
        <v>2302</v>
      </c>
      <c r="I2284">
        <v>1.8555999999999999</v>
      </c>
      <c r="J2284">
        <v>267120</v>
      </c>
      <c r="K2284">
        <v>143953.43824100023</v>
      </c>
    </row>
    <row r="2285" spans="1:11" x14ac:dyDescent="0.25">
      <c r="A2285" t="s">
        <v>677</v>
      </c>
      <c r="B2285" t="s">
        <v>678</v>
      </c>
      <c r="C2285" s="1">
        <v>40906</v>
      </c>
      <c r="D2285" s="1">
        <v>40910</v>
      </c>
      <c r="E2285">
        <v>2629</v>
      </c>
      <c r="F2285" t="s">
        <v>331</v>
      </c>
      <c r="G2285" t="s">
        <v>16</v>
      </c>
      <c r="H2285" t="s">
        <v>2303</v>
      </c>
      <c r="I2285">
        <v>1.8633999999999999</v>
      </c>
      <c r="J2285">
        <v>59056.32</v>
      </c>
      <c r="K2285">
        <v>31692.776644842761</v>
      </c>
    </row>
    <row r="2286" spans="1:11" x14ac:dyDescent="0.25">
      <c r="A2286" t="s">
        <v>2304</v>
      </c>
      <c r="B2286" t="s">
        <v>2305</v>
      </c>
      <c r="C2286" s="1">
        <v>40918</v>
      </c>
      <c r="D2286" s="1">
        <v>40920</v>
      </c>
      <c r="E2286">
        <v>3418</v>
      </c>
      <c r="F2286" t="s">
        <v>1311</v>
      </c>
      <c r="G2286" t="s">
        <v>16</v>
      </c>
      <c r="H2286" t="s">
        <v>2306</v>
      </c>
      <c r="I2286">
        <v>1.8442000000000001</v>
      </c>
      <c r="J2286">
        <v>88521.600000000006</v>
      </c>
      <c r="K2286">
        <v>48000</v>
      </c>
    </row>
    <row r="2287" spans="1:11" x14ac:dyDescent="0.25">
      <c r="A2287" t="s">
        <v>2307</v>
      </c>
      <c r="C2287" s="1">
        <v>40897</v>
      </c>
      <c r="D2287" s="1">
        <v>40906</v>
      </c>
      <c r="E2287">
        <v>3099</v>
      </c>
      <c r="F2287" t="s">
        <v>288</v>
      </c>
      <c r="G2287" t="s">
        <v>16</v>
      </c>
      <c r="H2287" t="s">
        <v>2308</v>
      </c>
      <c r="I2287">
        <v>1.8615999999999999</v>
      </c>
      <c r="J2287">
        <v>2776.75</v>
      </c>
      <c r="K2287">
        <v>1491.5932531155995</v>
      </c>
    </row>
    <row r="2288" spans="1:11" x14ac:dyDescent="0.25">
      <c r="A2288" t="s">
        <v>2313</v>
      </c>
      <c r="B2288" t="s">
        <v>2314</v>
      </c>
      <c r="C2288" s="1">
        <v>40927</v>
      </c>
      <c r="D2288" s="1">
        <v>40936</v>
      </c>
      <c r="E2288">
        <v>1747</v>
      </c>
      <c r="F2288" t="s">
        <v>309</v>
      </c>
      <c r="G2288" t="s">
        <v>16</v>
      </c>
      <c r="H2288" t="s">
        <v>5695</v>
      </c>
      <c r="I2288">
        <v>1.7790999999999999</v>
      </c>
      <c r="J2288">
        <v>69673.5</v>
      </c>
      <c r="K2288">
        <v>39162.216851216908</v>
      </c>
    </row>
    <row r="2289" spans="1:11" x14ac:dyDescent="0.25">
      <c r="A2289" t="s">
        <v>4099</v>
      </c>
      <c r="B2289" t="s">
        <v>4100</v>
      </c>
      <c r="C2289" s="1">
        <v>40918</v>
      </c>
      <c r="D2289" s="1">
        <v>40927</v>
      </c>
      <c r="E2289">
        <v>2751</v>
      </c>
      <c r="F2289" t="s">
        <v>309</v>
      </c>
      <c r="G2289" t="s">
        <v>16</v>
      </c>
      <c r="H2289" t="s">
        <v>5696</v>
      </c>
      <c r="I2289">
        <v>1.8442000000000001</v>
      </c>
      <c r="J2289">
        <v>57614.41</v>
      </c>
      <c r="K2289">
        <v>31240.868669341718</v>
      </c>
    </row>
    <row r="2290" spans="1:11" x14ac:dyDescent="0.25">
      <c r="A2290" t="s">
        <v>654</v>
      </c>
      <c r="B2290" t="s">
        <v>655</v>
      </c>
      <c r="C2290" s="1">
        <v>40897</v>
      </c>
      <c r="D2290" s="1">
        <v>40899</v>
      </c>
      <c r="E2290">
        <v>116</v>
      </c>
      <c r="F2290" t="s">
        <v>675</v>
      </c>
      <c r="G2290" t="s">
        <v>16</v>
      </c>
      <c r="H2290" t="s">
        <v>5697</v>
      </c>
      <c r="I2290">
        <v>1.8615999999999999</v>
      </c>
      <c r="J2290">
        <v>23100</v>
      </c>
      <c r="K2290">
        <v>12408.68070477009</v>
      </c>
    </row>
    <row r="2291" spans="1:11" x14ac:dyDescent="0.25">
      <c r="A2291" t="s">
        <v>684</v>
      </c>
      <c r="B2291" t="s">
        <v>685</v>
      </c>
      <c r="C2291" s="1">
        <v>40926</v>
      </c>
      <c r="D2291" s="1">
        <v>40930</v>
      </c>
      <c r="E2291">
        <v>3636</v>
      </c>
      <c r="F2291" t="s">
        <v>309</v>
      </c>
      <c r="G2291" t="s">
        <v>16</v>
      </c>
      <c r="H2291" t="s">
        <v>5698</v>
      </c>
      <c r="I2291">
        <v>1.776</v>
      </c>
      <c r="J2291">
        <v>28254.42</v>
      </c>
      <c r="K2291">
        <v>15909.02027027027</v>
      </c>
    </row>
    <row r="2292" spans="1:11" x14ac:dyDescent="0.25">
      <c r="A2292" t="s">
        <v>709</v>
      </c>
      <c r="B2292" t="s">
        <v>710</v>
      </c>
      <c r="C2292" s="1">
        <v>40896</v>
      </c>
      <c r="D2292" s="1">
        <v>40897</v>
      </c>
      <c r="E2292">
        <v>4</v>
      </c>
      <c r="F2292" t="s">
        <v>278</v>
      </c>
      <c r="G2292" t="s">
        <v>16</v>
      </c>
      <c r="H2292" t="s">
        <v>5699</v>
      </c>
      <c r="I2292">
        <v>1.8465</v>
      </c>
      <c r="J2292">
        <v>71579.360000000001</v>
      </c>
      <c r="K2292">
        <v>38764.88491741132</v>
      </c>
    </row>
    <row r="2293" spans="1:11" x14ac:dyDescent="0.25">
      <c r="A2293" t="s">
        <v>704</v>
      </c>
      <c r="B2293" t="s">
        <v>705</v>
      </c>
      <c r="C2293" s="1">
        <v>40930</v>
      </c>
      <c r="D2293" s="1">
        <v>40931</v>
      </c>
      <c r="E2293">
        <v>3416</v>
      </c>
      <c r="F2293" t="s">
        <v>689</v>
      </c>
      <c r="G2293" t="s">
        <v>16</v>
      </c>
      <c r="H2293" t="s">
        <v>2309</v>
      </c>
      <c r="I2293">
        <v>1.7669999999999999</v>
      </c>
      <c r="J2293">
        <v>40258.589999999997</v>
      </c>
      <c r="K2293">
        <v>22783.58234295416</v>
      </c>
    </row>
    <row r="2294" spans="1:11" x14ac:dyDescent="0.25">
      <c r="A2294" t="s">
        <v>684</v>
      </c>
      <c r="B2294" t="s">
        <v>685</v>
      </c>
      <c r="C2294" s="1">
        <v>40926</v>
      </c>
      <c r="D2294" s="1">
        <v>40932</v>
      </c>
      <c r="E2294">
        <v>3636</v>
      </c>
      <c r="F2294" t="s">
        <v>309</v>
      </c>
      <c r="G2294" t="s">
        <v>16</v>
      </c>
      <c r="H2294" t="s">
        <v>2310</v>
      </c>
      <c r="I2294">
        <v>1.776</v>
      </c>
      <c r="J2294">
        <v>27454.55</v>
      </c>
      <c r="K2294">
        <v>15458.643018018018</v>
      </c>
    </row>
    <row r="2295" spans="1:11" x14ac:dyDescent="0.25">
      <c r="A2295" t="s">
        <v>5275</v>
      </c>
      <c r="B2295" t="s">
        <v>5276</v>
      </c>
      <c r="C2295" s="1">
        <v>40924</v>
      </c>
      <c r="D2295" s="1">
        <v>40928</v>
      </c>
      <c r="E2295">
        <v>3580</v>
      </c>
      <c r="F2295" t="s">
        <v>5277</v>
      </c>
      <c r="G2295" t="s">
        <v>16</v>
      </c>
      <c r="H2295" t="s">
        <v>5700</v>
      </c>
      <c r="I2295">
        <v>1.7853000000000001</v>
      </c>
      <c r="J2295">
        <v>336945.74</v>
      </c>
      <c r="K2295">
        <v>188733.40054892734</v>
      </c>
    </row>
    <row r="2296" spans="1:11" x14ac:dyDescent="0.25">
      <c r="A2296" t="s">
        <v>684</v>
      </c>
      <c r="B2296" t="s">
        <v>685</v>
      </c>
      <c r="C2296" s="1">
        <v>40926</v>
      </c>
      <c r="D2296" s="1">
        <v>40934</v>
      </c>
      <c r="E2296">
        <v>3636</v>
      </c>
      <c r="F2296" t="s">
        <v>309</v>
      </c>
      <c r="G2296" t="s">
        <v>16</v>
      </c>
      <c r="H2296" t="s">
        <v>2311</v>
      </c>
      <c r="I2296">
        <v>1.776</v>
      </c>
      <c r="J2296">
        <v>20545.21</v>
      </c>
      <c r="K2296">
        <v>11568.248873873874</v>
      </c>
    </row>
    <row r="2297" spans="1:11" x14ac:dyDescent="0.25">
      <c r="A2297" t="s">
        <v>713</v>
      </c>
      <c r="B2297" t="s">
        <v>714</v>
      </c>
      <c r="C2297" s="1">
        <v>40942</v>
      </c>
      <c r="D2297" s="1">
        <v>40944</v>
      </c>
      <c r="E2297">
        <v>3412</v>
      </c>
      <c r="F2297" t="s">
        <v>689</v>
      </c>
      <c r="G2297" t="s">
        <v>16</v>
      </c>
      <c r="H2297" t="s">
        <v>5701</v>
      </c>
      <c r="I2297">
        <v>1.7325999999999999</v>
      </c>
      <c r="J2297">
        <v>27277.66</v>
      </c>
      <c r="K2297">
        <v>15743.772365231443</v>
      </c>
    </row>
    <row r="2298" spans="1:11" x14ac:dyDescent="0.25">
      <c r="A2298" t="s">
        <v>654</v>
      </c>
      <c r="B2298" t="s">
        <v>655</v>
      </c>
      <c r="C2298" s="1">
        <v>40891</v>
      </c>
      <c r="D2298" s="1">
        <v>40897</v>
      </c>
      <c r="E2298">
        <v>116</v>
      </c>
      <c r="F2298" t="s">
        <v>675</v>
      </c>
      <c r="G2298" t="s">
        <v>16</v>
      </c>
      <c r="H2298" t="s">
        <v>2312</v>
      </c>
      <c r="I2298">
        <v>1.8409</v>
      </c>
      <c r="J2298">
        <v>27489</v>
      </c>
      <c r="K2298">
        <v>14932.370036395241</v>
      </c>
    </row>
    <row r="2299" spans="1:11" x14ac:dyDescent="0.25">
      <c r="A2299" t="s">
        <v>1309</v>
      </c>
      <c r="B2299" t="s">
        <v>1310</v>
      </c>
      <c r="C2299" s="1">
        <v>40891</v>
      </c>
      <c r="D2299" s="1">
        <v>40897</v>
      </c>
      <c r="E2299">
        <v>84</v>
      </c>
      <c r="F2299" t="s">
        <v>1311</v>
      </c>
      <c r="G2299" t="s">
        <v>16</v>
      </c>
      <c r="H2299" t="s">
        <v>5702</v>
      </c>
      <c r="I2299">
        <v>1.8409</v>
      </c>
      <c r="J2299">
        <v>6185.42</v>
      </c>
      <c r="K2299">
        <v>3359.9978271497639</v>
      </c>
    </row>
    <row r="2300" spans="1:11" x14ac:dyDescent="0.25">
      <c r="A2300" t="s">
        <v>2313</v>
      </c>
      <c r="B2300" t="s">
        <v>2314</v>
      </c>
      <c r="C2300" s="1">
        <v>40927</v>
      </c>
      <c r="D2300" s="1">
        <v>40934</v>
      </c>
      <c r="E2300">
        <v>1747</v>
      </c>
      <c r="F2300" t="s">
        <v>309</v>
      </c>
      <c r="G2300" t="s">
        <v>16</v>
      </c>
      <c r="H2300" t="s">
        <v>2315</v>
      </c>
      <c r="I2300">
        <v>1.7790999999999999</v>
      </c>
      <c r="J2300">
        <v>69673.5</v>
      </c>
      <c r="K2300">
        <v>39162.216851216908</v>
      </c>
    </row>
    <row r="2301" spans="1:11" x14ac:dyDescent="0.25">
      <c r="A2301" t="s">
        <v>713</v>
      </c>
      <c r="B2301" t="s">
        <v>714</v>
      </c>
      <c r="C2301" s="1">
        <v>40942</v>
      </c>
      <c r="D2301" s="1">
        <v>40943</v>
      </c>
      <c r="E2301">
        <v>3412</v>
      </c>
      <c r="F2301" t="s">
        <v>689</v>
      </c>
      <c r="G2301" t="s">
        <v>16</v>
      </c>
      <c r="H2301" t="s">
        <v>5703</v>
      </c>
      <c r="I2301">
        <v>1.7325999999999999</v>
      </c>
      <c r="J2301">
        <v>27270.36</v>
      </c>
      <c r="K2301">
        <v>15739.559044211011</v>
      </c>
    </row>
    <row r="2302" spans="1:11" x14ac:dyDescent="0.25">
      <c r="A2302" t="s">
        <v>713</v>
      </c>
      <c r="B2302" t="s">
        <v>714</v>
      </c>
      <c r="C2302" s="1">
        <v>40942</v>
      </c>
      <c r="D2302" s="1">
        <v>40943</v>
      </c>
      <c r="E2302">
        <v>3412</v>
      </c>
      <c r="F2302" t="s">
        <v>689</v>
      </c>
      <c r="G2302" t="s">
        <v>16</v>
      </c>
      <c r="H2302" t="s">
        <v>5704</v>
      </c>
      <c r="I2302">
        <v>1.7325999999999999</v>
      </c>
      <c r="J2302">
        <v>27109.73</v>
      </c>
      <c r="K2302">
        <v>15646.848666743623</v>
      </c>
    </row>
    <row r="2303" spans="1:11" x14ac:dyDescent="0.25">
      <c r="A2303" t="s">
        <v>2316</v>
      </c>
      <c r="C2303" s="1">
        <v>40918</v>
      </c>
      <c r="D2303" s="1">
        <v>40918</v>
      </c>
      <c r="E2303">
        <v>1703</v>
      </c>
      <c r="F2303" t="s">
        <v>2317</v>
      </c>
      <c r="G2303" t="s">
        <v>16</v>
      </c>
      <c r="H2303" t="s">
        <v>2318</v>
      </c>
      <c r="I2303">
        <v>1.8442000000000001</v>
      </c>
      <c r="J2303">
        <v>500</v>
      </c>
      <c r="K2303">
        <v>271.1202689513068</v>
      </c>
    </row>
    <row r="2304" spans="1:11" x14ac:dyDescent="0.25">
      <c r="A2304" t="s">
        <v>731</v>
      </c>
      <c r="B2304" t="s">
        <v>732</v>
      </c>
      <c r="C2304" s="1">
        <v>40970</v>
      </c>
      <c r="D2304" s="1">
        <v>40976</v>
      </c>
      <c r="E2304">
        <v>1716</v>
      </c>
      <c r="F2304" t="s">
        <v>689</v>
      </c>
      <c r="G2304" t="s">
        <v>16</v>
      </c>
      <c r="H2304" t="s">
        <v>5705</v>
      </c>
      <c r="I2304">
        <v>1.7152000000000001</v>
      </c>
      <c r="J2304">
        <v>49743.54</v>
      </c>
      <c r="K2304">
        <v>29001.597481343284</v>
      </c>
    </row>
    <row r="2305" spans="1:11" x14ac:dyDescent="0.25">
      <c r="A2305" t="s">
        <v>700</v>
      </c>
      <c r="B2305" t="s">
        <v>701</v>
      </c>
      <c r="C2305" s="1">
        <v>40949</v>
      </c>
      <c r="D2305" s="1">
        <v>40956</v>
      </c>
      <c r="E2305">
        <v>113</v>
      </c>
      <c r="F2305" t="s">
        <v>642</v>
      </c>
      <c r="G2305" t="s">
        <v>16</v>
      </c>
      <c r="H2305" t="s">
        <v>5706</v>
      </c>
      <c r="I2305">
        <v>1.7224999999999999</v>
      </c>
      <c r="J2305">
        <v>11187</v>
      </c>
      <c r="K2305">
        <v>6494.6298984034829</v>
      </c>
    </row>
    <row r="2306" spans="1:11" x14ac:dyDescent="0.25">
      <c r="A2306" t="s">
        <v>717</v>
      </c>
      <c r="B2306" t="s">
        <v>718</v>
      </c>
      <c r="C2306" s="1">
        <v>40991</v>
      </c>
      <c r="D2306" s="1">
        <v>41000</v>
      </c>
      <c r="E2306">
        <v>3</v>
      </c>
      <c r="F2306" t="s">
        <v>309</v>
      </c>
      <c r="G2306" t="s">
        <v>16</v>
      </c>
      <c r="H2306" t="s">
        <v>5707</v>
      </c>
      <c r="I2306">
        <v>1.825</v>
      </c>
      <c r="J2306">
        <v>57614.86</v>
      </c>
      <c r="K2306">
        <v>31569.786301369862</v>
      </c>
    </row>
    <row r="2307" spans="1:11" x14ac:dyDescent="0.25">
      <c r="A2307" t="s">
        <v>736</v>
      </c>
      <c r="B2307" t="s">
        <v>737</v>
      </c>
      <c r="C2307" s="1">
        <v>40969</v>
      </c>
      <c r="D2307" s="1">
        <v>40971</v>
      </c>
      <c r="E2307">
        <v>3415</v>
      </c>
      <c r="F2307" t="s">
        <v>689</v>
      </c>
      <c r="G2307" t="s">
        <v>16</v>
      </c>
      <c r="H2307" t="s">
        <v>5708</v>
      </c>
      <c r="I2307">
        <v>1.7092000000000001</v>
      </c>
      <c r="J2307">
        <v>49851.09</v>
      </c>
      <c r="K2307">
        <v>29166.329276854667</v>
      </c>
    </row>
    <row r="2308" spans="1:11" x14ac:dyDescent="0.25">
      <c r="A2308" t="s">
        <v>717</v>
      </c>
      <c r="B2308" t="s">
        <v>718</v>
      </c>
      <c r="C2308" s="1">
        <v>40994</v>
      </c>
      <c r="D2308" s="1">
        <v>41001</v>
      </c>
      <c r="E2308">
        <v>3</v>
      </c>
      <c r="F2308" t="s">
        <v>309</v>
      </c>
      <c r="G2308" t="s">
        <v>16</v>
      </c>
      <c r="H2308" t="s">
        <v>5709</v>
      </c>
      <c r="I2308">
        <v>1.8193999999999999</v>
      </c>
      <c r="J2308">
        <v>41463.879999999997</v>
      </c>
      <c r="K2308">
        <v>22789.864790590305</v>
      </c>
    </row>
    <row r="2309" spans="1:11" x14ac:dyDescent="0.25">
      <c r="A2309" t="s">
        <v>5710</v>
      </c>
      <c r="C2309" s="1">
        <v>40999</v>
      </c>
      <c r="D2309" s="1">
        <v>41015</v>
      </c>
      <c r="E2309">
        <v>5208</v>
      </c>
      <c r="F2309" t="s">
        <v>282</v>
      </c>
      <c r="G2309" t="s">
        <v>16</v>
      </c>
      <c r="H2309" t="s">
        <v>5711</v>
      </c>
      <c r="I2309">
        <v>1.8221000000000001</v>
      </c>
      <c r="J2309">
        <v>21.18</v>
      </c>
      <c r="K2309">
        <v>11.623950386916196</v>
      </c>
    </row>
    <row r="2310" spans="1:11" x14ac:dyDescent="0.25">
      <c r="A2310" t="s">
        <v>2319</v>
      </c>
      <c r="C2310" s="1">
        <v>41002</v>
      </c>
      <c r="D2310" s="1">
        <v>41012</v>
      </c>
      <c r="E2310">
        <v>5131</v>
      </c>
      <c r="F2310" t="s">
        <v>285</v>
      </c>
      <c r="G2310" t="s">
        <v>16</v>
      </c>
      <c r="H2310" t="s">
        <v>2320</v>
      </c>
      <c r="I2310">
        <v>1.8313999999999999</v>
      </c>
      <c r="J2310">
        <v>112.05</v>
      </c>
      <c r="K2310">
        <v>61.18270175821776</v>
      </c>
    </row>
    <row r="2311" spans="1:11" x14ac:dyDescent="0.25">
      <c r="A2311" t="s">
        <v>704</v>
      </c>
      <c r="B2311" t="s">
        <v>705</v>
      </c>
      <c r="C2311" s="1">
        <v>40975</v>
      </c>
      <c r="D2311" s="1">
        <v>40977</v>
      </c>
      <c r="E2311">
        <v>3416</v>
      </c>
      <c r="F2311" t="s">
        <v>689</v>
      </c>
      <c r="G2311" t="s">
        <v>16</v>
      </c>
      <c r="H2311" t="s">
        <v>1177</v>
      </c>
      <c r="I2311">
        <v>1.7556</v>
      </c>
      <c r="J2311">
        <v>40258.589999999997</v>
      </c>
      <c r="K2311">
        <v>22931.527682843473</v>
      </c>
    </row>
    <row r="2312" spans="1:11" x14ac:dyDescent="0.25">
      <c r="A2312" t="s">
        <v>1851</v>
      </c>
      <c r="B2312" t="s">
        <v>144</v>
      </c>
      <c r="C2312" s="1">
        <v>41004</v>
      </c>
      <c r="D2312" s="1">
        <v>41008</v>
      </c>
      <c r="E2312">
        <v>3513</v>
      </c>
      <c r="F2312" t="s">
        <v>689</v>
      </c>
      <c r="G2312" t="s">
        <v>16</v>
      </c>
      <c r="H2312" t="s">
        <v>5712</v>
      </c>
      <c r="I2312">
        <v>1.8315999999999999</v>
      </c>
      <c r="J2312">
        <v>22038</v>
      </c>
      <c r="K2312">
        <v>12032.103079274952</v>
      </c>
    </row>
    <row r="2313" spans="1:11" x14ac:dyDescent="0.25">
      <c r="A2313" t="s">
        <v>1851</v>
      </c>
      <c r="B2313" t="s">
        <v>144</v>
      </c>
      <c r="C2313" s="1">
        <v>41006</v>
      </c>
      <c r="D2313" s="1">
        <v>41008</v>
      </c>
      <c r="E2313">
        <v>3513</v>
      </c>
      <c r="F2313" t="s">
        <v>689</v>
      </c>
      <c r="G2313" t="s">
        <v>16</v>
      </c>
      <c r="H2313" t="s">
        <v>5713</v>
      </c>
      <c r="I2313">
        <v>1.8301000000000001</v>
      </c>
      <c r="J2313">
        <v>22878</v>
      </c>
      <c r="K2313">
        <v>12500.956231899896</v>
      </c>
    </row>
    <row r="2314" spans="1:11" x14ac:dyDescent="0.25">
      <c r="A2314" t="s">
        <v>687</v>
      </c>
      <c r="B2314" t="s">
        <v>688</v>
      </c>
      <c r="C2314" s="1">
        <v>40963</v>
      </c>
      <c r="D2314" s="1">
        <v>40964</v>
      </c>
      <c r="E2314">
        <v>3414</v>
      </c>
      <c r="F2314" t="s">
        <v>689</v>
      </c>
      <c r="G2314" t="s">
        <v>16</v>
      </c>
      <c r="H2314" t="s">
        <v>2289</v>
      </c>
      <c r="I2314">
        <v>1.704</v>
      </c>
      <c r="J2314">
        <v>3834.09</v>
      </c>
      <c r="K2314">
        <v>2250.0528169014083</v>
      </c>
    </row>
    <row r="2315" spans="1:11" x14ac:dyDescent="0.25">
      <c r="A2315" t="s">
        <v>687</v>
      </c>
      <c r="B2315" t="s">
        <v>688</v>
      </c>
      <c r="C2315" s="1">
        <v>40963</v>
      </c>
      <c r="D2315" s="1">
        <v>40964</v>
      </c>
      <c r="E2315">
        <v>3414</v>
      </c>
      <c r="F2315" t="s">
        <v>689</v>
      </c>
      <c r="G2315" t="s">
        <v>16</v>
      </c>
      <c r="H2315" t="s">
        <v>5714</v>
      </c>
      <c r="I2315">
        <v>1.704</v>
      </c>
      <c r="J2315">
        <v>45408.41</v>
      </c>
      <c r="K2315">
        <v>26648.127934272299</v>
      </c>
    </row>
    <row r="2316" spans="1:11" x14ac:dyDescent="0.25">
      <c r="A2316" t="s">
        <v>687</v>
      </c>
      <c r="B2316" t="s">
        <v>688</v>
      </c>
      <c r="C2316" s="1">
        <v>40963</v>
      </c>
      <c r="D2316" s="1">
        <v>40967</v>
      </c>
      <c r="E2316">
        <v>3414</v>
      </c>
      <c r="F2316" t="s">
        <v>689</v>
      </c>
      <c r="G2316" t="s">
        <v>16</v>
      </c>
      <c r="H2316" t="s">
        <v>2321</v>
      </c>
      <c r="I2316">
        <v>1.704</v>
      </c>
      <c r="J2316">
        <v>46034.64</v>
      </c>
      <c r="K2316">
        <v>27015.633802816901</v>
      </c>
    </row>
    <row r="2317" spans="1:11" x14ac:dyDescent="0.25">
      <c r="A2317" t="s">
        <v>736</v>
      </c>
      <c r="B2317" t="s">
        <v>737</v>
      </c>
      <c r="C2317" s="1">
        <v>40969</v>
      </c>
      <c r="D2317" s="1">
        <v>40971</v>
      </c>
      <c r="E2317">
        <v>3415</v>
      </c>
      <c r="F2317" t="s">
        <v>689</v>
      </c>
      <c r="G2317" t="s">
        <v>16</v>
      </c>
      <c r="H2317" t="s">
        <v>5715</v>
      </c>
      <c r="I2317">
        <v>1.7092000000000001</v>
      </c>
      <c r="J2317">
        <v>48412.56</v>
      </c>
      <c r="K2317">
        <v>28324.689913409784</v>
      </c>
    </row>
    <row r="2318" spans="1:11" x14ac:dyDescent="0.25">
      <c r="A2318" t="s">
        <v>736</v>
      </c>
      <c r="B2318" t="s">
        <v>737</v>
      </c>
      <c r="C2318" s="1">
        <v>40963</v>
      </c>
      <c r="D2318" s="1">
        <v>40964</v>
      </c>
      <c r="E2318">
        <v>3415</v>
      </c>
      <c r="F2318" t="s">
        <v>689</v>
      </c>
      <c r="G2318" t="s">
        <v>16</v>
      </c>
      <c r="H2318" t="s">
        <v>2322</v>
      </c>
      <c r="I2318">
        <v>1.704</v>
      </c>
      <c r="J2318">
        <v>49743.54</v>
      </c>
      <c r="K2318">
        <v>29192.218309859156</v>
      </c>
    </row>
    <row r="2319" spans="1:11" x14ac:dyDescent="0.25">
      <c r="A2319" t="s">
        <v>736</v>
      </c>
      <c r="B2319" t="s">
        <v>737</v>
      </c>
      <c r="C2319" s="1">
        <v>40963</v>
      </c>
      <c r="D2319" s="1">
        <v>40964</v>
      </c>
      <c r="E2319">
        <v>3415</v>
      </c>
      <c r="F2319" t="s">
        <v>689</v>
      </c>
      <c r="G2319" t="s">
        <v>16</v>
      </c>
      <c r="H2319" t="s">
        <v>5716</v>
      </c>
      <c r="I2319">
        <v>1.704</v>
      </c>
      <c r="J2319">
        <v>49770.43</v>
      </c>
      <c r="K2319">
        <v>29207.998826291081</v>
      </c>
    </row>
    <row r="2320" spans="1:11" x14ac:dyDescent="0.25">
      <c r="A2320" t="s">
        <v>672</v>
      </c>
      <c r="B2320" t="s">
        <v>673</v>
      </c>
      <c r="C2320" s="1">
        <v>40931</v>
      </c>
      <c r="D2320" s="1">
        <v>40934</v>
      </c>
      <c r="E2320">
        <v>118</v>
      </c>
      <c r="F2320" t="s">
        <v>370</v>
      </c>
      <c r="G2320" t="s">
        <v>16</v>
      </c>
      <c r="H2320" t="s">
        <v>2323</v>
      </c>
      <c r="I2320">
        <v>1.7669999999999999</v>
      </c>
      <c r="J2320">
        <v>103405.55</v>
      </c>
      <c r="K2320">
        <v>58520.401810979063</v>
      </c>
    </row>
    <row r="2321" spans="1:11" x14ac:dyDescent="0.25">
      <c r="A2321" t="s">
        <v>2324</v>
      </c>
      <c r="B2321" t="s">
        <v>2325</v>
      </c>
      <c r="C2321" s="1">
        <v>40931</v>
      </c>
      <c r="D2321" s="1">
        <v>40934</v>
      </c>
      <c r="E2321">
        <v>4656</v>
      </c>
      <c r="F2321" t="s">
        <v>370</v>
      </c>
      <c r="G2321" t="s">
        <v>16</v>
      </c>
      <c r="H2321" t="s">
        <v>2323</v>
      </c>
      <c r="I2321">
        <v>1.7669999999999999</v>
      </c>
      <c r="J2321">
        <v>103405.55</v>
      </c>
      <c r="K2321">
        <v>58520.401810979063</v>
      </c>
    </row>
    <row r="2322" spans="1:11" x14ac:dyDescent="0.25">
      <c r="A2322" t="s">
        <v>687</v>
      </c>
      <c r="B2322" t="s">
        <v>688</v>
      </c>
      <c r="C2322" s="1">
        <v>40963</v>
      </c>
      <c r="D2322" s="1">
        <v>40964</v>
      </c>
      <c r="E2322">
        <v>3414</v>
      </c>
      <c r="F2322" t="s">
        <v>689</v>
      </c>
      <c r="G2322" t="s">
        <v>16</v>
      </c>
      <c r="H2322" t="s">
        <v>5717</v>
      </c>
      <c r="I2322">
        <v>1.704</v>
      </c>
      <c r="J2322">
        <v>47172.09</v>
      </c>
      <c r="K2322">
        <v>27683.151408450703</v>
      </c>
    </row>
    <row r="2323" spans="1:11" x14ac:dyDescent="0.25">
      <c r="A2323" t="s">
        <v>736</v>
      </c>
      <c r="B2323" t="s">
        <v>737</v>
      </c>
      <c r="C2323" s="1">
        <v>40967</v>
      </c>
      <c r="D2323" s="1">
        <v>40969</v>
      </c>
      <c r="E2323">
        <v>3415</v>
      </c>
      <c r="F2323" t="s">
        <v>689</v>
      </c>
      <c r="G2323" t="s">
        <v>16</v>
      </c>
      <c r="H2323" t="s">
        <v>5718</v>
      </c>
      <c r="I2323">
        <v>1.7088000000000001</v>
      </c>
      <c r="J2323">
        <v>49703.21</v>
      </c>
      <c r="K2323">
        <v>29086.616338951309</v>
      </c>
    </row>
    <row r="2324" spans="1:11" x14ac:dyDescent="0.25">
      <c r="A2324" t="s">
        <v>720</v>
      </c>
      <c r="B2324" t="s">
        <v>721</v>
      </c>
      <c r="C2324" s="1">
        <v>41078</v>
      </c>
      <c r="D2324" s="1">
        <v>41081</v>
      </c>
      <c r="E2324">
        <v>4819</v>
      </c>
      <c r="F2324" t="s">
        <v>689</v>
      </c>
      <c r="G2324" t="s">
        <v>16</v>
      </c>
      <c r="H2324" t="s">
        <v>5719</v>
      </c>
      <c r="I2324">
        <v>2.0442999999999998</v>
      </c>
      <c r="J2324">
        <v>36425.64</v>
      </c>
      <c r="K2324">
        <v>17818.148021327594</v>
      </c>
    </row>
    <row r="2325" spans="1:11" x14ac:dyDescent="0.25">
      <c r="A2325" t="s">
        <v>720</v>
      </c>
      <c r="B2325" t="s">
        <v>721</v>
      </c>
      <c r="C2325" s="1">
        <v>41079</v>
      </c>
      <c r="D2325" s="1">
        <v>41081</v>
      </c>
      <c r="E2325">
        <v>4819</v>
      </c>
      <c r="F2325" t="s">
        <v>689</v>
      </c>
      <c r="G2325" t="s">
        <v>16</v>
      </c>
      <c r="H2325" t="s">
        <v>5720</v>
      </c>
      <c r="I2325">
        <v>2.0634000000000001</v>
      </c>
      <c r="J2325">
        <v>35802.78</v>
      </c>
      <c r="K2325">
        <v>17351.3521372492</v>
      </c>
    </row>
    <row r="2326" spans="1:11" x14ac:dyDescent="0.25">
      <c r="A2326" t="s">
        <v>704</v>
      </c>
      <c r="B2326" t="s">
        <v>705</v>
      </c>
      <c r="C2326" s="1">
        <v>40969</v>
      </c>
      <c r="D2326" s="1">
        <v>40970</v>
      </c>
      <c r="E2326">
        <v>3416</v>
      </c>
      <c r="F2326" t="s">
        <v>689</v>
      </c>
      <c r="G2326" t="s">
        <v>16</v>
      </c>
      <c r="H2326" t="s">
        <v>3966</v>
      </c>
      <c r="I2326">
        <v>1.7092000000000001</v>
      </c>
      <c r="J2326">
        <v>40258.589999999997</v>
      </c>
      <c r="K2326">
        <v>23554.054528434357</v>
      </c>
    </row>
    <row r="2327" spans="1:11" x14ac:dyDescent="0.25">
      <c r="A2327" t="s">
        <v>736</v>
      </c>
      <c r="B2327" t="s">
        <v>737</v>
      </c>
      <c r="C2327" s="1">
        <v>40969</v>
      </c>
      <c r="D2327" s="1">
        <v>40970</v>
      </c>
      <c r="E2327">
        <v>3415</v>
      </c>
      <c r="F2327" t="s">
        <v>689</v>
      </c>
      <c r="G2327" t="s">
        <v>16</v>
      </c>
      <c r="H2327" t="s">
        <v>2326</v>
      </c>
      <c r="I2327">
        <v>1.7092000000000001</v>
      </c>
      <c r="J2327">
        <v>49716.65</v>
      </c>
      <c r="K2327">
        <v>29087.672595366254</v>
      </c>
    </row>
    <row r="2328" spans="1:11" x14ac:dyDescent="0.25">
      <c r="A2328" t="s">
        <v>704</v>
      </c>
      <c r="B2328" t="s">
        <v>705</v>
      </c>
      <c r="C2328" s="1">
        <v>40985</v>
      </c>
      <c r="D2328" s="1">
        <v>40987</v>
      </c>
      <c r="E2328">
        <v>3416</v>
      </c>
      <c r="F2328" t="s">
        <v>689</v>
      </c>
      <c r="G2328" t="s">
        <v>16</v>
      </c>
      <c r="H2328" t="s">
        <v>5721</v>
      </c>
      <c r="I2328">
        <v>1.8016000000000001</v>
      </c>
      <c r="J2328">
        <v>40258.589999999997</v>
      </c>
      <c r="K2328">
        <v>22346.020204262877</v>
      </c>
    </row>
    <row r="2329" spans="1:11" x14ac:dyDescent="0.25">
      <c r="A2329" t="s">
        <v>727</v>
      </c>
      <c r="B2329" t="s">
        <v>728</v>
      </c>
      <c r="C2329" s="1">
        <v>40967</v>
      </c>
      <c r="D2329" s="1">
        <v>40976</v>
      </c>
      <c r="E2329">
        <v>1715</v>
      </c>
      <c r="F2329" t="s">
        <v>689</v>
      </c>
      <c r="G2329" t="s">
        <v>16</v>
      </c>
      <c r="H2329" t="s">
        <v>1166</v>
      </c>
      <c r="I2329">
        <v>1.7088000000000001</v>
      </c>
      <c r="J2329">
        <v>39170.519999999997</v>
      </c>
      <c r="K2329">
        <v>22922.823033707864</v>
      </c>
    </row>
    <row r="2330" spans="1:11" x14ac:dyDescent="0.25">
      <c r="A2330" t="s">
        <v>731</v>
      </c>
      <c r="B2330" t="s">
        <v>732</v>
      </c>
      <c r="C2330" s="1">
        <v>40966</v>
      </c>
      <c r="D2330" s="1">
        <v>40976</v>
      </c>
      <c r="E2330">
        <v>1716</v>
      </c>
      <c r="F2330" t="s">
        <v>689</v>
      </c>
      <c r="G2330" t="s">
        <v>16</v>
      </c>
      <c r="H2330" t="s">
        <v>2327</v>
      </c>
      <c r="I2330">
        <v>1.7098</v>
      </c>
      <c r="J2330">
        <v>50254.42</v>
      </c>
      <c r="K2330">
        <v>29391.987366943504</v>
      </c>
    </row>
    <row r="2331" spans="1:11" x14ac:dyDescent="0.25">
      <c r="A2331" t="s">
        <v>687</v>
      </c>
      <c r="B2331" t="s">
        <v>688</v>
      </c>
      <c r="C2331" s="1">
        <v>40962</v>
      </c>
      <c r="D2331" s="1">
        <v>40963</v>
      </c>
      <c r="E2331">
        <v>3414</v>
      </c>
      <c r="F2331" t="s">
        <v>689</v>
      </c>
      <c r="G2331" t="s">
        <v>16</v>
      </c>
      <c r="H2331" t="s">
        <v>2328</v>
      </c>
      <c r="I2331">
        <v>1.7076</v>
      </c>
      <c r="J2331">
        <v>47491.59</v>
      </c>
      <c r="K2331">
        <v>27811.893886156009</v>
      </c>
    </row>
    <row r="2332" spans="1:11" x14ac:dyDescent="0.25">
      <c r="A2332" t="s">
        <v>1851</v>
      </c>
      <c r="B2332" t="s">
        <v>144</v>
      </c>
      <c r="C2332" s="1">
        <v>41002</v>
      </c>
      <c r="D2332" s="1">
        <v>41004</v>
      </c>
      <c r="E2332">
        <v>3513</v>
      </c>
      <c r="F2332" t="s">
        <v>689</v>
      </c>
      <c r="G2332" t="s">
        <v>16</v>
      </c>
      <c r="H2332" t="s">
        <v>5722</v>
      </c>
      <c r="I2332">
        <v>1.8313999999999999</v>
      </c>
      <c r="J2332">
        <v>22104</v>
      </c>
      <c r="K2332">
        <v>12069.45506170143</v>
      </c>
    </row>
    <row r="2333" spans="1:11" x14ac:dyDescent="0.25">
      <c r="A2333" t="s">
        <v>704</v>
      </c>
      <c r="B2333" t="s">
        <v>705</v>
      </c>
      <c r="C2333" s="1">
        <v>40973</v>
      </c>
      <c r="D2333" s="1">
        <v>40975</v>
      </c>
      <c r="E2333">
        <v>3416</v>
      </c>
      <c r="F2333" t="s">
        <v>689</v>
      </c>
      <c r="G2333" t="s">
        <v>16</v>
      </c>
      <c r="H2333" t="s">
        <v>5723</v>
      </c>
      <c r="I2333">
        <v>1.7244999999999999</v>
      </c>
      <c r="J2333">
        <v>40258.589999999997</v>
      </c>
      <c r="K2333">
        <v>23345.079733256018</v>
      </c>
    </row>
    <row r="2334" spans="1:11" x14ac:dyDescent="0.25">
      <c r="A2334" t="s">
        <v>687</v>
      </c>
      <c r="B2334" t="s">
        <v>688</v>
      </c>
      <c r="C2334" s="1">
        <v>40970</v>
      </c>
      <c r="D2334" s="1">
        <v>40974</v>
      </c>
      <c r="E2334">
        <v>3414</v>
      </c>
      <c r="F2334" t="s">
        <v>689</v>
      </c>
      <c r="G2334" t="s">
        <v>16</v>
      </c>
      <c r="H2334" t="s">
        <v>5724</v>
      </c>
      <c r="I2334">
        <v>1.7152000000000001</v>
      </c>
      <c r="J2334">
        <v>48735.23</v>
      </c>
      <c r="K2334">
        <v>28413.730177238805</v>
      </c>
    </row>
    <row r="2335" spans="1:11" x14ac:dyDescent="0.25">
      <c r="A2335" t="s">
        <v>717</v>
      </c>
      <c r="B2335" t="s">
        <v>718</v>
      </c>
      <c r="C2335" s="1">
        <v>40994</v>
      </c>
      <c r="D2335" s="1">
        <v>40999</v>
      </c>
      <c r="E2335">
        <v>3</v>
      </c>
      <c r="F2335" t="s">
        <v>309</v>
      </c>
      <c r="G2335" t="s">
        <v>16</v>
      </c>
      <c r="H2335" t="s">
        <v>5725</v>
      </c>
      <c r="I2335">
        <v>1.8193999999999999</v>
      </c>
      <c r="J2335">
        <v>56046.8</v>
      </c>
      <c r="K2335">
        <v>30805.100582609652</v>
      </c>
    </row>
    <row r="2336" spans="1:11" x14ac:dyDescent="0.25">
      <c r="A2336" t="s">
        <v>736</v>
      </c>
      <c r="B2336" t="s">
        <v>737</v>
      </c>
      <c r="C2336" s="1">
        <v>40967</v>
      </c>
      <c r="D2336" s="1">
        <v>40968</v>
      </c>
      <c r="E2336">
        <v>3415</v>
      </c>
      <c r="F2336" t="s">
        <v>689</v>
      </c>
      <c r="G2336" t="s">
        <v>16</v>
      </c>
      <c r="H2336" t="s">
        <v>2329</v>
      </c>
      <c r="I2336">
        <v>1.7088000000000001</v>
      </c>
      <c r="J2336">
        <v>49756.98</v>
      </c>
      <c r="K2336">
        <v>29118.082865168541</v>
      </c>
    </row>
    <row r="2337" spans="1:11" x14ac:dyDescent="0.25">
      <c r="A2337" t="s">
        <v>704</v>
      </c>
      <c r="B2337" t="s">
        <v>705</v>
      </c>
      <c r="C2337" s="1">
        <v>40977</v>
      </c>
      <c r="D2337" s="1">
        <v>40979</v>
      </c>
      <c r="E2337">
        <v>3416</v>
      </c>
      <c r="F2337" t="s">
        <v>689</v>
      </c>
      <c r="G2337" t="s">
        <v>16</v>
      </c>
      <c r="H2337" t="s">
        <v>2330</v>
      </c>
      <c r="I2337">
        <v>1.7697000000000001</v>
      </c>
      <c r="J2337">
        <v>40258.589999999997</v>
      </c>
      <c r="K2337">
        <v>22748.82183420919</v>
      </c>
    </row>
    <row r="2338" spans="1:11" x14ac:dyDescent="0.25">
      <c r="A2338" t="s">
        <v>736</v>
      </c>
      <c r="B2338" t="s">
        <v>737</v>
      </c>
      <c r="C2338" s="1">
        <v>40967</v>
      </c>
      <c r="D2338" s="1">
        <v>40968</v>
      </c>
      <c r="E2338">
        <v>3415</v>
      </c>
      <c r="F2338" t="s">
        <v>689</v>
      </c>
      <c r="G2338" t="s">
        <v>16</v>
      </c>
      <c r="H2338" t="s">
        <v>5726</v>
      </c>
      <c r="I2338">
        <v>1.7088000000000001</v>
      </c>
      <c r="J2338">
        <v>49555.32</v>
      </c>
      <c r="K2338">
        <v>29000.0702247191</v>
      </c>
    </row>
    <row r="2339" spans="1:11" x14ac:dyDescent="0.25">
      <c r="A2339" t="s">
        <v>5727</v>
      </c>
      <c r="B2339" t="s">
        <v>349</v>
      </c>
      <c r="C2339" s="1">
        <v>40984</v>
      </c>
      <c r="D2339" s="1">
        <v>40987</v>
      </c>
      <c r="E2339">
        <v>4636</v>
      </c>
      <c r="F2339" t="s">
        <v>280</v>
      </c>
      <c r="G2339" t="s">
        <v>16</v>
      </c>
      <c r="H2339" t="s">
        <v>5728</v>
      </c>
      <c r="I2339">
        <v>1.8006</v>
      </c>
      <c r="J2339">
        <v>34031.339999999997</v>
      </c>
      <c r="K2339">
        <v>18900</v>
      </c>
    </row>
    <row r="2340" spans="1:11" x14ac:dyDescent="0.25">
      <c r="A2340" t="s">
        <v>704</v>
      </c>
      <c r="B2340" t="s">
        <v>705</v>
      </c>
      <c r="C2340" s="1">
        <v>40980</v>
      </c>
      <c r="D2340" s="1">
        <v>40982</v>
      </c>
      <c r="E2340">
        <v>3416</v>
      </c>
      <c r="F2340" t="s">
        <v>689</v>
      </c>
      <c r="G2340" t="s">
        <v>16</v>
      </c>
      <c r="H2340" t="s">
        <v>5729</v>
      </c>
      <c r="I2340">
        <v>1.7766999999999999</v>
      </c>
      <c r="J2340">
        <v>41346.660000000003</v>
      </c>
      <c r="K2340">
        <v>23271.604660325323</v>
      </c>
    </row>
    <row r="2341" spans="1:11" x14ac:dyDescent="0.25">
      <c r="A2341" t="s">
        <v>687</v>
      </c>
      <c r="B2341" t="s">
        <v>688</v>
      </c>
      <c r="C2341" s="1">
        <v>40957</v>
      </c>
      <c r="D2341" s="1">
        <v>40959</v>
      </c>
      <c r="E2341">
        <v>3414</v>
      </c>
      <c r="F2341" t="s">
        <v>689</v>
      </c>
      <c r="G2341" t="s">
        <v>16</v>
      </c>
      <c r="H2341" t="s">
        <v>2331</v>
      </c>
      <c r="I2341">
        <v>1.7136</v>
      </c>
      <c r="J2341">
        <v>47274.33</v>
      </c>
      <c r="K2341">
        <v>27587.727591036415</v>
      </c>
    </row>
    <row r="2342" spans="1:11" x14ac:dyDescent="0.25">
      <c r="A2342" t="s">
        <v>704</v>
      </c>
      <c r="B2342" t="s">
        <v>705</v>
      </c>
      <c r="C2342" s="1">
        <v>40970</v>
      </c>
      <c r="D2342" s="1">
        <v>40973</v>
      </c>
      <c r="E2342">
        <v>3416</v>
      </c>
      <c r="F2342" t="s">
        <v>689</v>
      </c>
      <c r="G2342" t="s">
        <v>16</v>
      </c>
      <c r="H2342" t="s">
        <v>5730</v>
      </c>
      <c r="I2342">
        <v>1.7152000000000001</v>
      </c>
      <c r="J2342">
        <v>40258.589999999997</v>
      </c>
      <c r="K2342">
        <v>23471.659281716416</v>
      </c>
    </row>
    <row r="2343" spans="1:11" x14ac:dyDescent="0.25">
      <c r="A2343" t="s">
        <v>687</v>
      </c>
      <c r="B2343" t="s">
        <v>688</v>
      </c>
      <c r="C2343" s="1">
        <v>40961</v>
      </c>
      <c r="D2343" s="1">
        <v>40963</v>
      </c>
      <c r="E2343">
        <v>3414</v>
      </c>
      <c r="F2343" t="s">
        <v>689</v>
      </c>
      <c r="G2343" t="s">
        <v>16</v>
      </c>
      <c r="H2343" t="s">
        <v>5731</v>
      </c>
      <c r="I2343">
        <v>1.7136</v>
      </c>
      <c r="J2343">
        <v>46162.44</v>
      </c>
      <c r="K2343">
        <v>26938.865546218487</v>
      </c>
    </row>
    <row r="2344" spans="1:11" x14ac:dyDescent="0.25">
      <c r="A2344" t="s">
        <v>700</v>
      </c>
      <c r="B2344" t="s">
        <v>701</v>
      </c>
      <c r="C2344" s="1">
        <v>40991</v>
      </c>
      <c r="D2344" s="1">
        <v>40996</v>
      </c>
      <c r="E2344">
        <v>113</v>
      </c>
      <c r="F2344" t="s">
        <v>642</v>
      </c>
      <c r="G2344" t="s">
        <v>16</v>
      </c>
      <c r="H2344" t="s">
        <v>2332</v>
      </c>
      <c r="I2344">
        <v>1.825</v>
      </c>
      <c r="J2344">
        <v>137768.4</v>
      </c>
      <c r="K2344">
        <v>75489.534246575349</v>
      </c>
    </row>
    <row r="2345" spans="1:11" x14ac:dyDescent="0.25">
      <c r="A2345" t="s">
        <v>687</v>
      </c>
      <c r="B2345" t="s">
        <v>688</v>
      </c>
      <c r="C2345" s="1">
        <v>40963</v>
      </c>
      <c r="D2345" s="1">
        <v>40966</v>
      </c>
      <c r="E2345">
        <v>3414</v>
      </c>
      <c r="F2345" t="s">
        <v>689</v>
      </c>
      <c r="G2345" t="s">
        <v>16</v>
      </c>
      <c r="H2345" t="s">
        <v>2333</v>
      </c>
      <c r="I2345">
        <v>1.704</v>
      </c>
      <c r="J2345">
        <v>44743.83</v>
      </c>
      <c r="K2345">
        <v>26258.116197183099</v>
      </c>
    </row>
    <row r="2346" spans="1:11" x14ac:dyDescent="0.25">
      <c r="A2346" t="s">
        <v>704</v>
      </c>
      <c r="B2346" t="s">
        <v>705</v>
      </c>
      <c r="C2346" s="1">
        <v>40974</v>
      </c>
      <c r="D2346" s="1">
        <v>40976</v>
      </c>
      <c r="E2346">
        <v>3416</v>
      </c>
      <c r="F2346" t="s">
        <v>689</v>
      </c>
      <c r="G2346" t="s">
        <v>16</v>
      </c>
      <c r="H2346" t="s">
        <v>2334</v>
      </c>
      <c r="I2346">
        <v>1.7314000000000001</v>
      </c>
      <c r="J2346">
        <v>40258.589999999997</v>
      </c>
      <c r="K2346">
        <v>23252.044588194523</v>
      </c>
    </row>
    <row r="2347" spans="1:11" x14ac:dyDescent="0.25">
      <c r="A2347" t="s">
        <v>1851</v>
      </c>
      <c r="B2347" t="s">
        <v>144</v>
      </c>
      <c r="C2347" s="1">
        <v>41004</v>
      </c>
      <c r="D2347" s="1">
        <v>41009</v>
      </c>
      <c r="E2347">
        <v>3513</v>
      </c>
      <c r="F2347" t="s">
        <v>689</v>
      </c>
      <c r="G2347" t="s">
        <v>16</v>
      </c>
      <c r="H2347" t="s">
        <v>2335</v>
      </c>
      <c r="I2347">
        <v>1.8315999999999999</v>
      </c>
      <c r="J2347">
        <v>23250</v>
      </c>
      <c r="K2347">
        <v>12693.819611268837</v>
      </c>
    </row>
    <row r="2348" spans="1:11" x14ac:dyDescent="0.25">
      <c r="A2348" t="s">
        <v>727</v>
      </c>
      <c r="B2348" t="s">
        <v>728</v>
      </c>
      <c r="C2348" s="1">
        <v>40950</v>
      </c>
      <c r="D2348" s="1">
        <v>40954</v>
      </c>
      <c r="E2348">
        <v>1715</v>
      </c>
      <c r="F2348" t="s">
        <v>689</v>
      </c>
      <c r="G2348" t="s">
        <v>16</v>
      </c>
      <c r="H2348" t="s">
        <v>2336</v>
      </c>
      <c r="I2348">
        <v>1.726</v>
      </c>
      <c r="J2348">
        <v>41346.660000000003</v>
      </c>
      <c r="K2348">
        <v>23955.191193511007</v>
      </c>
    </row>
    <row r="2349" spans="1:11" x14ac:dyDescent="0.25">
      <c r="A2349" t="s">
        <v>727</v>
      </c>
      <c r="B2349" t="s">
        <v>728</v>
      </c>
      <c r="C2349" s="1">
        <v>40951</v>
      </c>
      <c r="D2349" s="1">
        <v>40954</v>
      </c>
      <c r="E2349">
        <v>1715</v>
      </c>
      <c r="F2349" t="s">
        <v>689</v>
      </c>
      <c r="G2349" t="s">
        <v>16</v>
      </c>
      <c r="H2349" t="s">
        <v>2337</v>
      </c>
      <c r="I2349">
        <v>1.726</v>
      </c>
      <c r="J2349">
        <v>40258.589999999997</v>
      </c>
      <c r="K2349">
        <v>23324.791425260719</v>
      </c>
    </row>
    <row r="2350" spans="1:11" x14ac:dyDescent="0.25">
      <c r="A2350" t="s">
        <v>736</v>
      </c>
      <c r="B2350" t="s">
        <v>737</v>
      </c>
      <c r="C2350" s="1">
        <v>40968</v>
      </c>
      <c r="D2350" s="1">
        <v>40969</v>
      </c>
      <c r="E2350">
        <v>3415</v>
      </c>
      <c r="F2350" t="s">
        <v>689</v>
      </c>
      <c r="G2350" t="s">
        <v>16</v>
      </c>
      <c r="H2350" t="s">
        <v>2338</v>
      </c>
      <c r="I2350">
        <v>1.7023999999999999</v>
      </c>
      <c r="J2350">
        <v>49676.32</v>
      </c>
      <c r="K2350">
        <v>29180.169172932332</v>
      </c>
    </row>
    <row r="2351" spans="1:11" x14ac:dyDescent="0.25">
      <c r="A2351" t="s">
        <v>736</v>
      </c>
      <c r="B2351" t="s">
        <v>737</v>
      </c>
      <c r="C2351" s="1">
        <v>40968</v>
      </c>
      <c r="D2351" s="1">
        <v>40969</v>
      </c>
      <c r="E2351">
        <v>3415</v>
      </c>
      <c r="F2351" t="s">
        <v>689</v>
      </c>
      <c r="G2351" t="s">
        <v>16</v>
      </c>
      <c r="H2351" t="s">
        <v>5732</v>
      </c>
      <c r="I2351">
        <v>1.7023999999999999</v>
      </c>
      <c r="J2351">
        <v>67126.89</v>
      </c>
      <c r="K2351">
        <v>39430.738956766916</v>
      </c>
    </row>
    <row r="2352" spans="1:11" x14ac:dyDescent="0.25">
      <c r="A2352" t="s">
        <v>720</v>
      </c>
      <c r="B2352" t="s">
        <v>721</v>
      </c>
      <c r="C2352" s="1">
        <v>41076</v>
      </c>
      <c r="D2352" s="1">
        <v>41078</v>
      </c>
      <c r="E2352">
        <v>4819</v>
      </c>
      <c r="F2352" t="s">
        <v>689</v>
      </c>
      <c r="G2352" t="s">
        <v>16</v>
      </c>
      <c r="H2352" t="s">
        <v>2339</v>
      </c>
      <c r="I2352">
        <v>2.0442999999999998</v>
      </c>
      <c r="J2352">
        <v>36402.57</v>
      </c>
      <c r="K2352">
        <v>17806.862984884803</v>
      </c>
    </row>
    <row r="2353" spans="1:11" x14ac:dyDescent="0.25">
      <c r="A2353" t="s">
        <v>720</v>
      </c>
      <c r="B2353" t="s">
        <v>721</v>
      </c>
      <c r="C2353" s="1">
        <v>41076</v>
      </c>
      <c r="D2353" s="1">
        <v>41078</v>
      </c>
      <c r="E2353">
        <v>4819</v>
      </c>
      <c r="F2353" t="s">
        <v>689</v>
      </c>
      <c r="G2353" t="s">
        <v>16</v>
      </c>
      <c r="H2353" t="s">
        <v>5733</v>
      </c>
      <c r="I2353">
        <v>2.0442999999999998</v>
      </c>
      <c r="J2353">
        <v>35848.92</v>
      </c>
      <c r="K2353">
        <v>17536.036785207649</v>
      </c>
    </row>
    <row r="2354" spans="1:11" x14ac:dyDescent="0.25">
      <c r="A2354" t="s">
        <v>720</v>
      </c>
      <c r="B2354" t="s">
        <v>721</v>
      </c>
      <c r="C2354" s="1">
        <v>41082</v>
      </c>
      <c r="D2354" s="1">
        <v>41083</v>
      </c>
      <c r="E2354">
        <v>4819</v>
      </c>
      <c r="F2354" t="s">
        <v>689</v>
      </c>
      <c r="G2354" t="s">
        <v>16</v>
      </c>
      <c r="H2354" t="s">
        <v>2340</v>
      </c>
      <c r="I2354">
        <v>2.0363000000000002</v>
      </c>
      <c r="J2354">
        <v>43438.55</v>
      </c>
      <c r="K2354">
        <v>21332.097431616166</v>
      </c>
    </row>
    <row r="2355" spans="1:11" x14ac:dyDescent="0.25">
      <c r="A2355" t="s">
        <v>720</v>
      </c>
      <c r="B2355" t="s">
        <v>721</v>
      </c>
      <c r="C2355" s="1">
        <v>41074</v>
      </c>
      <c r="D2355" s="1">
        <v>41078</v>
      </c>
      <c r="E2355">
        <v>4819</v>
      </c>
      <c r="F2355" t="s">
        <v>689</v>
      </c>
      <c r="G2355" t="s">
        <v>16</v>
      </c>
      <c r="H2355" t="s">
        <v>5734</v>
      </c>
      <c r="I2355">
        <v>2.0604</v>
      </c>
      <c r="J2355">
        <v>43046.38</v>
      </c>
      <c r="K2355">
        <v>20892.244224422444</v>
      </c>
    </row>
    <row r="2356" spans="1:11" x14ac:dyDescent="0.25">
      <c r="A2356" t="s">
        <v>720</v>
      </c>
      <c r="B2356" t="s">
        <v>721</v>
      </c>
      <c r="C2356" s="1">
        <v>41078</v>
      </c>
      <c r="D2356" s="1">
        <v>41081</v>
      </c>
      <c r="E2356">
        <v>4819</v>
      </c>
      <c r="F2356" t="s">
        <v>689</v>
      </c>
      <c r="G2356" t="s">
        <v>16</v>
      </c>
      <c r="H2356" t="s">
        <v>2341</v>
      </c>
      <c r="I2356">
        <v>2.0442999999999998</v>
      </c>
      <c r="J2356">
        <v>43138.66</v>
      </c>
      <c r="K2356">
        <v>21101.922418431735</v>
      </c>
    </row>
    <row r="2357" spans="1:11" x14ac:dyDescent="0.25">
      <c r="A2357" t="s">
        <v>720</v>
      </c>
      <c r="B2357" t="s">
        <v>721</v>
      </c>
      <c r="C2357" s="1">
        <v>41082</v>
      </c>
      <c r="D2357" s="1">
        <v>41086</v>
      </c>
      <c r="E2357">
        <v>4819</v>
      </c>
      <c r="F2357" t="s">
        <v>689</v>
      </c>
      <c r="G2357" t="s">
        <v>16</v>
      </c>
      <c r="H2357" t="s">
        <v>5735</v>
      </c>
      <c r="I2357">
        <v>2.0363000000000002</v>
      </c>
      <c r="J2357">
        <v>42515.8</v>
      </c>
      <c r="K2357">
        <v>20878.94710995433</v>
      </c>
    </row>
    <row r="2358" spans="1:11" x14ac:dyDescent="0.25">
      <c r="A2358" t="s">
        <v>720</v>
      </c>
      <c r="B2358" t="s">
        <v>721</v>
      </c>
      <c r="C2358" s="1">
        <v>41082</v>
      </c>
      <c r="D2358" s="1">
        <v>41084</v>
      </c>
      <c r="E2358">
        <v>4819</v>
      </c>
      <c r="F2358" t="s">
        <v>689</v>
      </c>
      <c r="G2358" t="s">
        <v>16</v>
      </c>
      <c r="H2358" t="s">
        <v>5736</v>
      </c>
      <c r="I2358">
        <v>2.0363000000000002</v>
      </c>
      <c r="J2358">
        <v>43323.21</v>
      </c>
      <c r="K2358">
        <v>21275.455482983842</v>
      </c>
    </row>
    <row r="2359" spans="1:11" x14ac:dyDescent="0.25">
      <c r="A2359" t="s">
        <v>720</v>
      </c>
      <c r="B2359" t="s">
        <v>721</v>
      </c>
      <c r="C2359" s="1">
        <v>41082</v>
      </c>
      <c r="D2359" s="1">
        <v>41086</v>
      </c>
      <c r="E2359">
        <v>4819</v>
      </c>
      <c r="F2359" t="s">
        <v>689</v>
      </c>
      <c r="G2359" t="s">
        <v>16</v>
      </c>
      <c r="H2359" t="s">
        <v>5737</v>
      </c>
      <c r="I2359">
        <v>2.0363000000000002</v>
      </c>
      <c r="J2359">
        <v>43484.69</v>
      </c>
      <c r="K2359">
        <v>21354.756175416194</v>
      </c>
    </row>
    <row r="2360" spans="1:11" x14ac:dyDescent="0.25">
      <c r="A2360" t="s">
        <v>720</v>
      </c>
      <c r="B2360" t="s">
        <v>721</v>
      </c>
      <c r="C2360" s="1">
        <v>41083</v>
      </c>
      <c r="D2360" s="1">
        <v>41086</v>
      </c>
      <c r="E2360">
        <v>4819</v>
      </c>
      <c r="F2360" t="s">
        <v>689</v>
      </c>
      <c r="G2360" t="s">
        <v>16</v>
      </c>
      <c r="H2360" t="s">
        <v>2342</v>
      </c>
      <c r="I2360">
        <v>2.0554999999999999</v>
      </c>
      <c r="J2360">
        <v>43623.1</v>
      </c>
      <c r="K2360">
        <v>21222.622233033326</v>
      </c>
    </row>
    <row r="2361" spans="1:11" x14ac:dyDescent="0.25">
      <c r="A2361" t="s">
        <v>720</v>
      </c>
      <c r="B2361" t="s">
        <v>721</v>
      </c>
      <c r="C2361" s="1">
        <v>41081</v>
      </c>
      <c r="D2361" s="1">
        <v>41086</v>
      </c>
      <c r="E2361">
        <v>4819</v>
      </c>
      <c r="F2361" t="s">
        <v>689</v>
      </c>
      <c r="G2361" t="s">
        <v>16</v>
      </c>
      <c r="H2361" t="s">
        <v>5738</v>
      </c>
      <c r="I2361">
        <v>2.0293000000000001</v>
      </c>
      <c r="J2361">
        <v>43254</v>
      </c>
      <c r="K2361">
        <v>21314.739072586606</v>
      </c>
    </row>
    <row r="2362" spans="1:11" x14ac:dyDescent="0.25">
      <c r="A2362" t="s">
        <v>720</v>
      </c>
      <c r="B2362" t="s">
        <v>721</v>
      </c>
      <c r="C2362" s="1">
        <v>41041</v>
      </c>
      <c r="D2362" s="1">
        <v>41053</v>
      </c>
      <c r="E2362">
        <v>4819</v>
      </c>
      <c r="F2362" t="s">
        <v>689</v>
      </c>
      <c r="G2362" t="s">
        <v>16</v>
      </c>
      <c r="H2362" t="s">
        <v>2343</v>
      </c>
      <c r="I2362">
        <v>1.9513</v>
      </c>
      <c r="J2362">
        <v>43562.879999999997</v>
      </c>
      <c r="K2362">
        <v>22325.055091477476</v>
      </c>
    </row>
    <row r="2363" spans="1:11" x14ac:dyDescent="0.25">
      <c r="A2363" t="s">
        <v>720</v>
      </c>
      <c r="B2363" t="s">
        <v>721</v>
      </c>
      <c r="C2363" s="1">
        <v>41041</v>
      </c>
      <c r="D2363" s="1">
        <v>41048</v>
      </c>
      <c r="E2363">
        <v>4819</v>
      </c>
      <c r="F2363" t="s">
        <v>689</v>
      </c>
      <c r="G2363" t="s">
        <v>16</v>
      </c>
      <c r="H2363" t="s">
        <v>5739</v>
      </c>
      <c r="I2363">
        <v>1.9513</v>
      </c>
      <c r="J2363">
        <v>44144.04</v>
      </c>
      <c r="K2363">
        <v>22622.887305898632</v>
      </c>
    </row>
    <row r="2364" spans="1:11" x14ac:dyDescent="0.25">
      <c r="A2364" t="s">
        <v>720</v>
      </c>
      <c r="B2364" t="s">
        <v>721</v>
      </c>
      <c r="C2364" s="1">
        <v>41079</v>
      </c>
      <c r="D2364" s="1">
        <v>41081</v>
      </c>
      <c r="E2364">
        <v>4819</v>
      </c>
      <c r="F2364" t="s">
        <v>689</v>
      </c>
      <c r="G2364" t="s">
        <v>16</v>
      </c>
      <c r="H2364" t="s">
        <v>5740</v>
      </c>
      <c r="I2364">
        <v>2.0634000000000001</v>
      </c>
      <c r="J2364">
        <v>42723.42</v>
      </c>
      <c r="K2364">
        <v>20705.350392555974</v>
      </c>
    </row>
    <row r="2365" spans="1:11" x14ac:dyDescent="0.25">
      <c r="A2365" t="s">
        <v>720</v>
      </c>
      <c r="B2365" t="s">
        <v>721</v>
      </c>
      <c r="C2365" s="1">
        <v>41073</v>
      </c>
      <c r="D2365" s="1">
        <v>41074</v>
      </c>
      <c r="E2365">
        <v>4819</v>
      </c>
      <c r="F2365" t="s">
        <v>689</v>
      </c>
      <c r="G2365" t="s">
        <v>16</v>
      </c>
      <c r="H2365" t="s">
        <v>2344</v>
      </c>
      <c r="I2365">
        <v>2.0564</v>
      </c>
      <c r="J2365">
        <v>42931.040000000001</v>
      </c>
      <c r="K2365">
        <v>20876.794397977046</v>
      </c>
    </row>
    <row r="2366" spans="1:11" x14ac:dyDescent="0.25">
      <c r="A2366" t="s">
        <v>720</v>
      </c>
      <c r="B2366" t="s">
        <v>721</v>
      </c>
      <c r="C2366" s="1">
        <v>41072</v>
      </c>
      <c r="D2366" s="1">
        <v>41074</v>
      </c>
      <c r="E2366">
        <v>4819</v>
      </c>
      <c r="F2366" t="s">
        <v>689</v>
      </c>
      <c r="G2366" t="s">
        <v>16</v>
      </c>
      <c r="H2366" t="s">
        <v>5741</v>
      </c>
      <c r="I2366">
        <v>2.0348000000000002</v>
      </c>
      <c r="J2366">
        <v>44428.68</v>
      </c>
      <c r="K2366">
        <v>21834.42107332416</v>
      </c>
    </row>
    <row r="2367" spans="1:11" x14ac:dyDescent="0.25">
      <c r="A2367" t="s">
        <v>720</v>
      </c>
      <c r="B2367" t="s">
        <v>721</v>
      </c>
      <c r="C2367" s="1">
        <v>41072</v>
      </c>
      <c r="D2367" s="1">
        <v>41074</v>
      </c>
      <c r="E2367">
        <v>4819</v>
      </c>
      <c r="F2367" t="s">
        <v>689</v>
      </c>
      <c r="G2367" t="s">
        <v>16</v>
      </c>
      <c r="H2367" t="s">
        <v>2345</v>
      </c>
      <c r="I2367">
        <v>2.0348000000000002</v>
      </c>
      <c r="J2367">
        <v>43323.21</v>
      </c>
      <c r="K2367">
        <v>21291.139178297621</v>
      </c>
    </row>
    <row r="2368" spans="1:11" x14ac:dyDescent="0.25">
      <c r="A2368" t="s">
        <v>720</v>
      </c>
      <c r="B2368" t="s">
        <v>721</v>
      </c>
      <c r="C2368" s="1">
        <v>41041</v>
      </c>
      <c r="D2368" s="1">
        <v>41046</v>
      </c>
      <c r="E2368">
        <v>4819</v>
      </c>
      <c r="F2368" t="s">
        <v>689</v>
      </c>
      <c r="G2368" t="s">
        <v>16</v>
      </c>
      <c r="H2368" t="s">
        <v>2346</v>
      </c>
      <c r="I2368">
        <v>1.9513</v>
      </c>
      <c r="J2368">
        <v>42495.45</v>
      </c>
      <c r="K2368">
        <v>21778.019781684005</v>
      </c>
    </row>
    <row r="2369" spans="1:11" x14ac:dyDescent="0.25">
      <c r="A2369" t="s">
        <v>720</v>
      </c>
      <c r="B2369" t="s">
        <v>721</v>
      </c>
      <c r="C2369" s="1">
        <v>41078</v>
      </c>
      <c r="D2369" s="1">
        <v>41080</v>
      </c>
      <c r="E2369">
        <v>4819</v>
      </c>
      <c r="F2369" t="s">
        <v>689</v>
      </c>
      <c r="G2369" t="s">
        <v>16</v>
      </c>
      <c r="H2369" t="s">
        <v>1902</v>
      </c>
      <c r="I2369">
        <v>2.0442999999999998</v>
      </c>
      <c r="J2369">
        <v>42308.18</v>
      </c>
      <c r="K2369">
        <v>20695.680673091032</v>
      </c>
    </row>
    <row r="2370" spans="1:11" x14ac:dyDescent="0.25">
      <c r="A2370" t="s">
        <v>720</v>
      </c>
      <c r="B2370" t="s">
        <v>721</v>
      </c>
      <c r="C2370" s="1">
        <v>41072</v>
      </c>
      <c r="D2370" s="1">
        <v>41073</v>
      </c>
      <c r="E2370">
        <v>4819</v>
      </c>
      <c r="F2370" t="s">
        <v>689</v>
      </c>
      <c r="G2370" t="s">
        <v>16</v>
      </c>
      <c r="H2370" t="s">
        <v>2347</v>
      </c>
      <c r="I2370">
        <v>2.0348000000000002</v>
      </c>
      <c r="J2370">
        <v>43138.66</v>
      </c>
      <c r="K2370">
        <v>21200.442303911932</v>
      </c>
    </row>
    <row r="2371" spans="1:11" x14ac:dyDescent="0.25">
      <c r="A2371" t="s">
        <v>720</v>
      </c>
      <c r="B2371" t="s">
        <v>721</v>
      </c>
      <c r="C2371" s="1">
        <v>41085</v>
      </c>
      <c r="D2371" s="1">
        <v>41087</v>
      </c>
      <c r="E2371">
        <v>4819</v>
      </c>
      <c r="F2371" t="s">
        <v>689</v>
      </c>
      <c r="G2371" t="s">
        <v>16</v>
      </c>
      <c r="H2371" t="s">
        <v>5742</v>
      </c>
      <c r="I2371">
        <v>2.0554999999999999</v>
      </c>
      <c r="J2371">
        <v>43138.66</v>
      </c>
      <c r="K2371">
        <v>20986.942349793237</v>
      </c>
    </row>
    <row r="2372" spans="1:11" x14ac:dyDescent="0.25">
      <c r="A2372" t="s">
        <v>751</v>
      </c>
      <c r="B2372" t="s">
        <v>752</v>
      </c>
      <c r="C2372" s="1">
        <v>41108</v>
      </c>
      <c r="D2372" s="1">
        <v>41109</v>
      </c>
      <c r="E2372">
        <v>4250</v>
      </c>
      <c r="F2372" t="s">
        <v>689</v>
      </c>
      <c r="G2372" t="s">
        <v>16</v>
      </c>
      <c r="H2372" t="s">
        <v>5743</v>
      </c>
      <c r="I2372">
        <v>2.0348999999999999</v>
      </c>
      <c r="J2372">
        <v>33692.160000000003</v>
      </c>
      <c r="K2372">
        <v>16557.157599882059</v>
      </c>
    </row>
    <row r="2373" spans="1:11" x14ac:dyDescent="0.25">
      <c r="A2373" t="s">
        <v>751</v>
      </c>
      <c r="B2373" t="s">
        <v>752</v>
      </c>
      <c r="C2373" s="1">
        <v>41108</v>
      </c>
      <c r="D2373" s="1">
        <v>41109</v>
      </c>
      <c r="E2373">
        <v>4250</v>
      </c>
      <c r="F2373" t="s">
        <v>689</v>
      </c>
      <c r="G2373" t="s">
        <v>16</v>
      </c>
      <c r="H2373" t="s">
        <v>2348</v>
      </c>
      <c r="I2373">
        <v>2.0348999999999999</v>
      </c>
      <c r="J2373">
        <v>21077.34</v>
      </c>
      <c r="K2373">
        <v>10357.924222320507</v>
      </c>
    </row>
    <row r="2374" spans="1:11" x14ac:dyDescent="0.25">
      <c r="A2374" t="s">
        <v>751</v>
      </c>
      <c r="B2374" t="s">
        <v>752</v>
      </c>
      <c r="C2374" s="1">
        <v>41103</v>
      </c>
      <c r="D2374" s="1">
        <v>41106</v>
      </c>
      <c r="E2374">
        <v>4250</v>
      </c>
      <c r="F2374" t="s">
        <v>689</v>
      </c>
      <c r="G2374" t="s">
        <v>16</v>
      </c>
      <c r="H2374" t="s">
        <v>5744</v>
      </c>
      <c r="I2374">
        <v>2.0470999999999999</v>
      </c>
      <c r="J2374">
        <v>24755.84</v>
      </c>
      <c r="K2374">
        <v>12093.1268623907</v>
      </c>
    </row>
    <row r="2375" spans="1:11" x14ac:dyDescent="0.25">
      <c r="A2375" t="s">
        <v>751</v>
      </c>
      <c r="B2375" t="s">
        <v>752</v>
      </c>
      <c r="C2375" s="1">
        <v>41109</v>
      </c>
      <c r="D2375" s="1">
        <v>41111</v>
      </c>
      <c r="E2375">
        <v>4250</v>
      </c>
      <c r="F2375" t="s">
        <v>689</v>
      </c>
      <c r="G2375" t="s">
        <v>16</v>
      </c>
      <c r="H2375" t="s">
        <v>2349</v>
      </c>
      <c r="I2375">
        <v>2.0257999999999998</v>
      </c>
      <c r="J2375">
        <v>33889.58</v>
      </c>
      <c r="K2375">
        <v>16728.9860795735</v>
      </c>
    </row>
    <row r="2376" spans="1:11" x14ac:dyDescent="0.25">
      <c r="A2376" t="s">
        <v>751</v>
      </c>
      <c r="B2376" t="s">
        <v>752</v>
      </c>
      <c r="C2376" s="1">
        <v>41115</v>
      </c>
      <c r="D2376" s="1">
        <v>41116</v>
      </c>
      <c r="E2376">
        <v>4250</v>
      </c>
      <c r="F2376" t="s">
        <v>689</v>
      </c>
      <c r="G2376" t="s">
        <v>16</v>
      </c>
      <c r="H2376" t="s">
        <v>5745</v>
      </c>
      <c r="I2376">
        <v>1</v>
      </c>
      <c r="J2376">
        <v>20748.32</v>
      </c>
      <c r="K2376">
        <v>20748.32</v>
      </c>
    </row>
    <row r="2377" spans="1:11" x14ac:dyDescent="0.25">
      <c r="A2377" t="s">
        <v>751</v>
      </c>
      <c r="B2377" t="s">
        <v>752</v>
      </c>
      <c r="C2377" s="1">
        <v>41113</v>
      </c>
      <c r="D2377" s="1">
        <v>41115</v>
      </c>
      <c r="E2377">
        <v>4250</v>
      </c>
      <c r="F2377" t="s">
        <v>689</v>
      </c>
      <c r="G2377" t="s">
        <v>16</v>
      </c>
      <c r="H2377" t="s">
        <v>2350</v>
      </c>
      <c r="I2377">
        <v>2.0226999999999999</v>
      </c>
      <c r="J2377">
        <v>24637.39</v>
      </c>
      <c r="K2377">
        <v>12180.446927374302</v>
      </c>
    </row>
    <row r="2378" spans="1:11" x14ac:dyDescent="0.25">
      <c r="A2378" t="s">
        <v>751</v>
      </c>
      <c r="B2378" t="s">
        <v>752</v>
      </c>
      <c r="C2378" s="1">
        <v>41106</v>
      </c>
      <c r="D2378" s="1">
        <v>41107</v>
      </c>
      <c r="E2378">
        <v>4250</v>
      </c>
      <c r="F2378" t="s">
        <v>689</v>
      </c>
      <c r="G2378" t="s">
        <v>16</v>
      </c>
      <c r="H2378" t="s">
        <v>2351</v>
      </c>
      <c r="I2378">
        <v>2.0337999999999998</v>
      </c>
      <c r="J2378">
        <v>25032.22</v>
      </c>
      <c r="K2378">
        <v>12308.103058314486</v>
      </c>
    </row>
    <row r="2379" spans="1:11" x14ac:dyDescent="0.25">
      <c r="A2379" t="s">
        <v>751</v>
      </c>
      <c r="B2379" t="s">
        <v>752</v>
      </c>
      <c r="C2379" s="1">
        <v>41123</v>
      </c>
      <c r="D2379" s="1">
        <v>41125</v>
      </c>
      <c r="E2379">
        <v>4250</v>
      </c>
      <c r="F2379" t="s">
        <v>689</v>
      </c>
      <c r="G2379" t="s">
        <v>16</v>
      </c>
      <c r="H2379" t="s">
        <v>2352</v>
      </c>
      <c r="I2379">
        <v>2.0432000000000001</v>
      </c>
      <c r="J2379">
        <v>32810.370000000003</v>
      </c>
      <c r="K2379">
        <v>16058.325176194205</v>
      </c>
    </row>
    <row r="2380" spans="1:11" x14ac:dyDescent="0.25">
      <c r="A2380" t="s">
        <v>751</v>
      </c>
      <c r="B2380" t="s">
        <v>752</v>
      </c>
      <c r="C2380" s="1">
        <v>41113</v>
      </c>
      <c r="D2380" s="1">
        <v>41115</v>
      </c>
      <c r="E2380">
        <v>4250</v>
      </c>
      <c r="F2380" t="s">
        <v>689</v>
      </c>
      <c r="G2380" t="s">
        <v>16</v>
      </c>
      <c r="H2380" t="s">
        <v>5746</v>
      </c>
      <c r="I2380">
        <v>2.0226999999999999</v>
      </c>
      <c r="J2380">
        <v>21182.63</v>
      </c>
      <c r="K2380">
        <v>10472.452662283087</v>
      </c>
    </row>
    <row r="2381" spans="1:11" x14ac:dyDescent="0.25">
      <c r="A2381" t="s">
        <v>751</v>
      </c>
      <c r="B2381" t="s">
        <v>752</v>
      </c>
      <c r="C2381" s="1">
        <v>41110</v>
      </c>
      <c r="D2381" s="1">
        <v>41114</v>
      </c>
      <c r="E2381">
        <v>4250</v>
      </c>
      <c r="F2381" t="s">
        <v>689</v>
      </c>
      <c r="G2381" t="s">
        <v>16</v>
      </c>
      <c r="H2381" t="s">
        <v>5747</v>
      </c>
      <c r="I2381">
        <v>2.0238999999999998</v>
      </c>
      <c r="J2381">
        <v>33099.919999999998</v>
      </c>
      <c r="K2381">
        <v>16354.523444834231</v>
      </c>
    </row>
    <row r="2382" spans="1:11" x14ac:dyDescent="0.25">
      <c r="A2382" t="s">
        <v>751</v>
      </c>
      <c r="B2382" t="s">
        <v>752</v>
      </c>
      <c r="C2382" s="1">
        <v>41117</v>
      </c>
      <c r="D2382" s="1">
        <v>41120</v>
      </c>
      <c r="E2382">
        <v>4250</v>
      </c>
      <c r="F2382" t="s">
        <v>689</v>
      </c>
      <c r="G2382" t="s">
        <v>16</v>
      </c>
      <c r="H2382" t="s">
        <v>5748</v>
      </c>
      <c r="I2382">
        <v>2.0255000000000001</v>
      </c>
      <c r="J2382">
        <v>24867.71</v>
      </c>
      <c r="K2382">
        <v>12277.319180449273</v>
      </c>
    </row>
    <row r="2383" spans="1:11" x14ac:dyDescent="0.25">
      <c r="A2383" t="s">
        <v>751</v>
      </c>
      <c r="B2383" t="s">
        <v>752</v>
      </c>
      <c r="C2383" s="1">
        <v>41116</v>
      </c>
      <c r="D2383" s="1">
        <v>41120</v>
      </c>
      <c r="E2383">
        <v>4250</v>
      </c>
      <c r="F2383" t="s">
        <v>689</v>
      </c>
      <c r="G2383" t="s">
        <v>16</v>
      </c>
      <c r="H2383" t="s">
        <v>2353</v>
      </c>
      <c r="I2383">
        <v>1</v>
      </c>
      <c r="J2383">
        <v>24742.68</v>
      </c>
      <c r="K2383">
        <v>24742.68</v>
      </c>
    </row>
    <row r="2384" spans="1:11" x14ac:dyDescent="0.25">
      <c r="A2384" t="s">
        <v>751</v>
      </c>
      <c r="B2384" t="s">
        <v>752</v>
      </c>
      <c r="C2384" s="1">
        <v>41116</v>
      </c>
      <c r="D2384" s="1">
        <v>41120</v>
      </c>
      <c r="E2384">
        <v>4250</v>
      </c>
      <c r="F2384" t="s">
        <v>689</v>
      </c>
      <c r="G2384" t="s">
        <v>16</v>
      </c>
      <c r="H2384" t="s">
        <v>2354</v>
      </c>
      <c r="I2384">
        <v>1</v>
      </c>
      <c r="J2384">
        <v>33718.480000000003</v>
      </c>
      <c r="K2384">
        <v>33718.480000000003</v>
      </c>
    </row>
    <row r="2385" spans="1:11" x14ac:dyDescent="0.25">
      <c r="A2385" t="s">
        <v>751</v>
      </c>
      <c r="B2385" t="s">
        <v>752</v>
      </c>
      <c r="C2385" s="1">
        <v>41118</v>
      </c>
      <c r="D2385" s="1">
        <v>41120</v>
      </c>
      <c r="E2385">
        <v>4250</v>
      </c>
      <c r="F2385" t="s">
        <v>689</v>
      </c>
      <c r="G2385" t="s">
        <v>16</v>
      </c>
      <c r="H2385" t="s">
        <v>2355</v>
      </c>
      <c r="I2385">
        <v>2.0173000000000001</v>
      </c>
      <c r="J2385">
        <v>24940.1</v>
      </c>
      <c r="K2385">
        <v>12363.109106231101</v>
      </c>
    </row>
    <row r="2386" spans="1:11" x14ac:dyDescent="0.25">
      <c r="A2386" t="s">
        <v>751</v>
      </c>
      <c r="B2386" t="s">
        <v>752</v>
      </c>
      <c r="C2386" s="1">
        <v>41114</v>
      </c>
      <c r="D2386" s="1">
        <v>41115</v>
      </c>
      <c r="E2386">
        <v>4250</v>
      </c>
      <c r="F2386" t="s">
        <v>689</v>
      </c>
      <c r="G2386" t="s">
        <v>16</v>
      </c>
      <c r="H2386" t="s">
        <v>2356</v>
      </c>
      <c r="I2386">
        <v>2.0411999999999999</v>
      </c>
      <c r="J2386">
        <v>22952.78</v>
      </c>
      <c r="K2386">
        <v>11244.74818734078</v>
      </c>
    </row>
    <row r="2387" spans="1:11" x14ac:dyDescent="0.25">
      <c r="A2387" t="s">
        <v>751</v>
      </c>
      <c r="B2387" t="s">
        <v>752</v>
      </c>
      <c r="C2387" s="1">
        <v>41120</v>
      </c>
      <c r="D2387" s="1">
        <v>41122</v>
      </c>
      <c r="E2387">
        <v>4250</v>
      </c>
      <c r="F2387" t="s">
        <v>689</v>
      </c>
      <c r="G2387" t="s">
        <v>16</v>
      </c>
      <c r="H2387" t="s">
        <v>2357</v>
      </c>
      <c r="I2387">
        <v>2.0173000000000001</v>
      </c>
      <c r="J2387">
        <v>33067.01</v>
      </c>
      <c r="K2387">
        <v>16391.716650969116</v>
      </c>
    </row>
    <row r="2388" spans="1:11" x14ac:dyDescent="0.25">
      <c r="A2388" t="s">
        <v>751</v>
      </c>
      <c r="B2388" t="s">
        <v>752</v>
      </c>
      <c r="C2388" s="1">
        <v>41114</v>
      </c>
      <c r="D2388" s="1">
        <v>41116</v>
      </c>
      <c r="E2388">
        <v>4250</v>
      </c>
      <c r="F2388" t="s">
        <v>689</v>
      </c>
      <c r="G2388" t="s">
        <v>16</v>
      </c>
      <c r="H2388" t="s">
        <v>2358</v>
      </c>
      <c r="I2388">
        <v>2.0411999999999999</v>
      </c>
      <c r="J2388">
        <v>24782.16</v>
      </c>
      <c r="K2388">
        <v>12140.975896531452</v>
      </c>
    </row>
    <row r="2389" spans="1:11" x14ac:dyDescent="0.25">
      <c r="A2389" t="s">
        <v>759</v>
      </c>
      <c r="B2389" t="s">
        <v>760</v>
      </c>
      <c r="C2389" s="1">
        <v>41095</v>
      </c>
      <c r="D2389" s="1">
        <v>41100</v>
      </c>
      <c r="E2389">
        <v>8</v>
      </c>
      <c r="F2389" t="s">
        <v>689</v>
      </c>
      <c r="G2389" t="s">
        <v>16</v>
      </c>
      <c r="H2389" t="s">
        <v>2026</v>
      </c>
      <c r="I2389">
        <v>2.0200999999999998</v>
      </c>
      <c r="J2389">
        <v>43049.16</v>
      </c>
      <c r="K2389">
        <v>21310.410375723975</v>
      </c>
    </row>
    <row r="2390" spans="1:11" x14ac:dyDescent="0.25">
      <c r="A2390" t="s">
        <v>759</v>
      </c>
      <c r="B2390" t="s">
        <v>760</v>
      </c>
      <c r="C2390" s="1">
        <v>41095</v>
      </c>
      <c r="D2390" s="1">
        <v>41100</v>
      </c>
      <c r="E2390">
        <v>8</v>
      </c>
      <c r="F2390" t="s">
        <v>689</v>
      </c>
      <c r="G2390" t="s">
        <v>16</v>
      </c>
      <c r="H2390" t="s">
        <v>2359</v>
      </c>
      <c r="I2390">
        <v>2.0200999999999998</v>
      </c>
      <c r="J2390">
        <v>42630.07</v>
      </c>
      <c r="K2390">
        <v>21102.950348992625</v>
      </c>
    </row>
    <row r="2391" spans="1:11" x14ac:dyDescent="0.25">
      <c r="A2391" t="s">
        <v>759</v>
      </c>
      <c r="B2391" t="s">
        <v>760</v>
      </c>
      <c r="C2391" s="1">
        <v>41092</v>
      </c>
      <c r="D2391" s="1">
        <v>41100</v>
      </c>
      <c r="E2391">
        <v>8</v>
      </c>
      <c r="F2391" t="s">
        <v>689</v>
      </c>
      <c r="G2391" t="s">
        <v>16</v>
      </c>
      <c r="H2391" t="s">
        <v>5749</v>
      </c>
      <c r="I2391">
        <v>2.0213000000000001</v>
      </c>
      <c r="J2391">
        <v>43421.68</v>
      </c>
      <c r="K2391">
        <v>21482.056102508286</v>
      </c>
    </row>
    <row r="2392" spans="1:11" x14ac:dyDescent="0.25">
      <c r="A2392" t="s">
        <v>759</v>
      </c>
      <c r="B2392" t="s">
        <v>760</v>
      </c>
      <c r="C2392" s="1">
        <v>41089</v>
      </c>
      <c r="D2392" s="1">
        <v>41100</v>
      </c>
      <c r="E2392">
        <v>8</v>
      </c>
      <c r="F2392" t="s">
        <v>689</v>
      </c>
      <c r="G2392" t="s">
        <v>16</v>
      </c>
      <c r="H2392" t="s">
        <v>2360</v>
      </c>
      <c r="I2392">
        <v>2.0903999999999998</v>
      </c>
      <c r="J2392">
        <v>43398.39</v>
      </c>
      <c r="K2392">
        <v>20760.806544202067</v>
      </c>
    </row>
    <row r="2393" spans="1:11" x14ac:dyDescent="0.25">
      <c r="A2393" t="s">
        <v>759</v>
      </c>
      <c r="B2393" t="s">
        <v>760</v>
      </c>
      <c r="C2393" s="1">
        <v>41088</v>
      </c>
      <c r="D2393" s="1">
        <v>41100</v>
      </c>
      <c r="E2393">
        <v>8</v>
      </c>
      <c r="F2393" t="s">
        <v>689</v>
      </c>
      <c r="G2393" t="s">
        <v>16</v>
      </c>
      <c r="H2393" t="s">
        <v>5750</v>
      </c>
      <c r="I2393">
        <v>2.0764</v>
      </c>
      <c r="J2393">
        <v>42001.45</v>
      </c>
      <c r="K2393">
        <v>20228.01483336544</v>
      </c>
    </row>
    <row r="2394" spans="1:11" x14ac:dyDescent="0.25">
      <c r="A2394" t="s">
        <v>759</v>
      </c>
      <c r="B2394" t="s">
        <v>760</v>
      </c>
      <c r="C2394" s="1">
        <v>41094</v>
      </c>
      <c r="D2394" s="1">
        <v>41100</v>
      </c>
      <c r="E2394">
        <v>8</v>
      </c>
      <c r="F2394" t="s">
        <v>689</v>
      </c>
      <c r="G2394" t="s">
        <v>16</v>
      </c>
      <c r="H2394" t="s">
        <v>5751</v>
      </c>
      <c r="I2394">
        <v>1.9887999999999999</v>
      </c>
      <c r="J2394">
        <v>43770.91</v>
      </c>
      <c r="K2394">
        <v>22008.703740949317</v>
      </c>
    </row>
    <row r="2395" spans="1:11" x14ac:dyDescent="0.25">
      <c r="A2395" t="s">
        <v>751</v>
      </c>
      <c r="B2395" t="s">
        <v>752</v>
      </c>
      <c r="C2395" s="1">
        <v>41122</v>
      </c>
      <c r="D2395" s="1">
        <v>41124</v>
      </c>
      <c r="E2395">
        <v>4250</v>
      </c>
      <c r="F2395" t="s">
        <v>689</v>
      </c>
      <c r="G2395" t="s">
        <v>16</v>
      </c>
      <c r="H2395" t="s">
        <v>2361</v>
      </c>
      <c r="I2395">
        <v>2.0499000000000001</v>
      </c>
      <c r="J2395">
        <v>33020.949999999997</v>
      </c>
      <c r="K2395">
        <v>16108.56627152544</v>
      </c>
    </row>
    <row r="2396" spans="1:11" x14ac:dyDescent="0.25">
      <c r="A2396" t="s">
        <v>751</v>
      </c>
      <c r="B2396" t="s">
        <v>752</v>
      </c>
      <c r="C2396" s="1">
        <v>41103</v>
      </c>
      <c r="D2396" s="1">
        <v>41106</v>
      </c>
      <c r="E2396">
        <v>4250</v>
      </c>
      <c r="F2396" t="s">
        <v>689</v>
      </c>
      <c r="G2396" t="s">
        <v>16</v>
      </c>
      <c r="H2396" t="s">
        <v>2362</v>
      </c>
      <c r="I2396">
        <v>2.0470999999999999</v>
      </c>
      <c r="J2396">
        <v>24407.07</v>
      </c>
      <c r="K2396">
        <v>11922.754140002931</v>
      </c>
    </row>
    <row r="2397" spans="1:11" x14ac:dyDescent="0.25">
      <c r="A2397" t="s">
        <v>751</v>
      </c>
      <c r="B2397" t="s">
        <v>752</v>
      </c>
      <c r="C2397" s="1">
        <v>41108</v>
      </c>
      <c r="D2397" s="1">
        <v>41110</v>
      </c>
      <c r="E2397">
        <v>4250</v>
      </c>
      <c r="F2397" t="s">
        <v>689</v>
      </c>
      <c r="G2397" t="s">
        <v>16</v>
      </c>
      <c r="H2397" t="s">
        <v>5752</v>
      </c>
      <c r="I2397">
        <v>2.0348999999999999</v>
      </c>
      <c r="J2397">
        <v>31915.43</v>
      </c>
      <c r="K2397">
        <v>15684.028699198978</v>
      </c>
    </row>
    <row r="2398" spans="1:11" x14ac:dyDescent="0.25">
      <c r="A2398" t="s">
        <v>1398</v>
      </c>
      <c r="B2398" t="s">
        <v>1399</v>
      </c>
      <c r="C2398" s="1">
        <v>41131</v>
      </c>
      <c r="D2398" s="1">
        <v>41135</v>
      </c>
      <c r="E2398">
        <v>1905</v>
      </c>
      <c r="F2398" t="s">
        <v>689</v>
      </c>
      <c r="G2398" t="s">
        <v>16</v>
      </c>
      <c r="H2398" t="s">
        <v>2363</v>
      </c>
      <c r="I2398">
        <v>2.0182000000000002</v>
      </c>
      <c r="J2398">
        <v>33119.660000000003</v>
      </c>
      <c r="K2398">
        <v>16410.49450004955</v>
      </c>
    </row>
    <row r="2399" spans="1:11" x14ac:dyDescent="0.25">
      <c r="A2399" t="s">
        <v>1398</v>
      </c>
      <c r="B2399" t="s">
        <v>1399</v>
      </c>
      <c r="C2399" s="1">
        <v>41127</v>
      </c>
      <c r="D2399" s="1">
        <v>41135</v>
      </c>
      <c r="E2399">
        <v>1905</v>
      </c>
      <c r="F2399" t="s">
        <v>689</v>
      </c>
      <c r="G2399" t="s">
        <v>16</v>
      </c>
      <c r="H2399" t="s">
        <v>2364</v>
      </c>
      <c r="I2399">
        <v>2.0312999999999999</v>
      </c>
      <c r="J2399">
        <v>25005.9</v>
      </c>
      <c r="K2399">
        <v>12310.293900457835</v>
      </c>
    </row>
    <row r="2400" spans="1:11" x14ac:dyDescent="0.25">
      <c r="A2400" t="s">
        <v>1398</v>
      </c>
      <c r="B2400" t="s">
        <v>1399</v>
      </c>
      <c r="C2400" s="1">
        <v>41108</v>
      </c>
      <c r="D2400" s="1">
        <v>41135</v>
      </c>
      <c r="E2400">
        <v>1905</v>
      </c>
      <c r="F2400" t="s">
        <v>689</v>
      </c>
      <c r="G2400" t="s">
        <v>16</v>
      </c>
      <c r="H2400" t="s">
        <v>5753</v>
      </c>
      <c r="I2400">
        <v>2.0348999999999999</v>
      </c>
      <c r="J2400">
        <v>20958.89</v>
      </c>
      <c r="K2400">
        <v>10299.714973708782</v>
      </c>
    </row>
    <row r="2401" spans="1:11" x14ac:dyDescent="0.25">
      <c r="A2401" t="s">
        <v>1398</v>
      </c>
      <c r="B2401" t="s">
        <v>1399</v>
      </c>
      <c r="C2401" s="1">
        <v>41108</v>
      </c>
      <c r="D2401" s="1">
        <v>41135</v>
      </c>
      <c r="E2401">
        <v>1905</v>
      </c>
      <c r="F2401" t="s">
        <v>689</v>
      </c>
      <c r="G2401" t="s">
        <v>16</v>
      </c>
      <c r="H2401" t="s">
        <v>5754</v>
      </c>
      <c r="I2401">
        <v>2.0348999999999999</v>
      </c>
      <c r="J2401">
        <v>24769</v>
      </c>
      <c r="K2401">
        <v>12172.096908939015</v>
      </c>
    </row>
    <row r="2402" spans="1:11" x14ac:dyDescent="0.25">
      <c r="A2402" t="s">
        <v>751</v>
      </c>
      <c r="B2402" t="s">
        <v>752</v>
      </c>
      <c r="C2402" s="1">
        <v>41136</v>
      </c>
      <c r="D2402" s="1">
        <v>41141</v>
      </c>
      <c r="E2402">
        <v>4250</v>
      </c>
      <c r="F2402" t="s">
        <v>689</v>
      </c>
      <c r="G2402" t="s">
        <v>16</v>
      </c>
      <c r="H2402" t="s">
        <v>2365</v>
      </c>
      <c r="I2402">
        <v>2.0257999999999998</v>
      </c>
      <c r="J2402">
        <v>33145.980000000003</v>
      </c>
      <c r="K2402">
        <v>16361.921216309605</v>
      </c>
    </row>
    <row r="2403" spans="1:11" x14ac:dyDescent="0.25">
      <c r="A2403" t="s">
        <v>799</v>
      </c>
      <c r="B2403" t="s">
        <v>800</v>
      </c>
      <c r="C2403" s="1">
        <v>41163</v>
      </c>
      <c r="D2403" s="1">
        <v>41169</v>
      </c>
      <c r="E2403">
        <v>4856</v>
      </c>
      <c r="F2403" t="s">
        <v>301</v>
      </c>
      <c r="G2403" t="s">
        <v>16</v>
      </c>
      <c r="H2403" t="s">
        <v>2366</v>
      </c>
      <c r="I2403">
        <v>2.0240999999999998</v>
      </c>
      <c r="J2403">
        <v>42254.99</v>
      </c>
      <c r="K2403">
        <v>20875.939923916801</v>
      </c>
    </row>
    <row r="2404" spans="1:11" x14ac:dyDescent="0.25">
      <c r="A2404" t="s">
        <v>799</v>
      </c>
      <c r="B2404" t="s">
        <v>800</v>
      </c>
      <c r="C2404" s="1">
        <v>41163</v>
      </c>
      <c r="D2404" s="1">
        <v>41169</v>
      </c>
      <c r="E2404">
        <v>4856</v>
      </c>
      <c r="F2404" t="s">
        <v>301</v>
      </c>
      <c r="G2404" t="s">
        <v>16</v>
      </c>
      <c r="H2404" t="s">
        <v>2367</v>
      </c>
      <c r="I2404">
        <v>2.0240999999999998</v>
      </c>
      <c r="J2404">
        <v>42254.99</v>
      </c>
      <c r="K2404">
        <v>20875.939923916801</v>
      </c>
    </row>
    <row r="2405" spans="1:11" x14ac:dyDescent="0.25">
      <c r="A2405" t="s">
        <v>1398</v>
      </c>
      <c r="B2405" t="s">
        <v>1399</v>
      </c>
      <c r="C2405" s="1">
        <v>41131</v>
      </c>
      <c r="D2405" s="1">
        <v>41136</v>
      </c>
      <c r="E2405">
        <v>1905</v>
      </c>
      <c r="F2405" t="s">
        <v>689</v>
      </c>
      <c r="G2405" t="s">
        <v>16</v>
      </c>
      <c r="H2405" t="s">
        <v>2368</v>
      </c>
      <c r="I2405">
        <v>2.0182000000000002</v>
      </c>
      <c r="J2405">
        <v>24815.07</v>
      </c>
      <c r="K2405">
        <v>12295.644633832128</v>
      </c>
    </row>
    <row r="2406" spans="1:11" x14ac:dyDescent="0.25">
      <c r="A2406" t="s">
        <v>1904</v>
      </c>
      <c r="B2406" t="s">
        <v>144</v>
      </c>
      <c r="C2406" s="1">
        <v>41156</v>
      </c>
      <c r="D2406" s="1">
        <v>41159</v>
      </c>
      <c r="E2406">
        <v>4818</v>
      </c>
      <c r="F2406" t="s">
        <v>642</v>
      </c>
      <c r="G2406" t="s">
        <v>16</v>
      </c>
      <c r="H2406" t="s">
        <v>2369</v>
      </c>
      <c r="I2406">
        <v>2.0335000000000001</v>
      </c>
      <c r="J2406">
        <v>142457.76</v>
      </c>
      <c r="K2406">
        <v>70055.451192525201</v>
      </c>
    </row>
    <row r="2407" spans="1:11" x14ac:dyDescent="0.25">
      <c r="A2407" t="s">
        <v>751</v>
      </c>
      <c r="B2407" t="s">
        <v>752</v>
      </c>
      <c r="C2407" s="1">
        <v>41127</v>
      </c>
      <c r="D2407" s="1">
        <v>41128</v>
      </c>
      <c r="E2407">
        <v>4250</v>
      </c>
      <c r="F2407" t="s">
        <v>689</v>
      </c>
      <c r="G2407" t="s">
        <v>16</v>
      </c>
      <c r="H2407" t="s">
        <v>2370</v>
      </c>
      <c r="I2407">
        <v>2.0312999999999999</v>
      </c>
      <c r="J2407">
        <v>24703.200000000001</v>
      </c>
      <c r="K2407">
        <v>12161.276030128489</v>
      </c>
    </row>
    <row r="2408" spans="1:11" x14ac:dyDescent="0.25">
      <c r="A2408" t="s">
        <v>751</v>
      </c>
      <c r="B2408" t="s">
        <v>752</v>
      </c>
      <c r="C2408" s="1">
        <v>41129</v>
      </c>
      <c r="D2408" s="1">
        <v>41132</v>
      </c>
      <c r="E2408">
        <v>4250</v>
      </c>
      <c r="F2408" t="s">
        <v>689</v>
      </c>
      <c r="G2408" t="s">
        <v>16</v>
      </c>
      <c r="H2408" t="s">
        <v>2371</v>
      </c>
      <c r="I2408">
        <v>2.0280999999999998</v>
      </c>
      <c r="J2408">
        <v>33060.43</v>
      </c>
      <c r="K2408">
        <v>16301.183373600907</v>
      </c>
    </row>
    <row r="2409" spans="1:11" x14ac:dyDescent="0.25">
      <c r="A2409" t="s">
        <v>751</v>
      </c>
      <c r="B2409" t="s">
        <v>752</v>
      </c>
      <c r="C2409" s="1">
        <v>41125</v>
      </c>
      <c r="D2409" s="1">
        <v>41127</v>
      </c>
      <c r="E2409">
        <v>4250</v>
      </c>
      <c r="F2409" t="s">
        <v>689</v>
      </c>
      <c r="G2409" t="s">
        <v>16</v>
      </c>
      <c r="H2409" t="s">
        <v>2372</v>
      </c>
      <c r="I2409">
        <v>2.0312999999999999</v>
      </c>
      <c r="J2409">
        <v>24492.62</v>
      </c>
      <c r="K2409">
        <v>12057.608428100231</v>
      </c>
    </row>
    <row r="2410" spans="1:11" x14ac:dyDescent="0.25">
      <c r="A2410" t="s">
        <v>770</v>
      </c>
      <c r="B2410" t="s">
        <v>771</v>
      </c>
      <c r="C2410" s="1">
        <v>41165</v>
      </c>
      <c r="D2410" s="1">
        <v>41169</v>
      </c>
      <c r="E2410">
        <v>4824</v>
      </c>
      <c r="F2410" t="s">
        <v>331</v>
      </c>
      <c r="G2410" t="s">
        <v>16</v>
      </c>
      <c r="H2410" t="s">
        <v>2373</v>
      </c>
      <c r="I2410">
        <v>2.0204</v>
      </c>
      <c r="J2410">
        <v>57490.04</v>
      </c>
      <c r="K2410">
        <v>28454.78123143932</v>
      </c>
    </row>
    <row r="2411" spans="1:11" x14ac:dyDescent="0.25">
      <c r="A2411" t="s">
        <v>770</v>
      </c>
      <c r="B2411" t="s">
        <v>771</v>
      </c>
      <c r="C2411" s="1">
        <v>41165</v>
      </c>
      <c r="D2411" s="1">
        <v>41169</v>
      </c>
      <c r="E2411">
        <v>4824</v>
      </c>
      <c r="F2411" t="s">
        <v>331</v>
      </c>
      <c r="G2411" t="s">
        <v>16</v>
      </c>
      <c r="H2411" t="s">
        <v>5755</v>
      </c>
      <c r="I2411">
        <v>2.0204</v>
      </c>
      <c r="J2411">
        <v>58855.46</v>
      </c>
      <c r="K2411">
        <v>29130.597901405661</v>
      </c>
    </row>
    <row r="2412" spans="1:11" x14ac:dyDescent="0.25">
      <c r="A2412" t="s">
        <v>799</v>
      </c>
      <c r="B2412" t="s">
        <v>800</v>
      </c>
      <c r="C2412" s="1">
        <v>41163</v>
      </c>
      <c r="D2412" s="1">
        <v>41169</v>
      </c>
      <c r="E2412">
        <v>4856</v>
      </c>
      <c r="F2412" t="s">
        <v>301</v>
      </c>
      <c r="G2412" t="s">
        <v>16</v>
      </c>
      <c r="H2412" t="s">
        <v>2374</v>
      </c>
      <c r="I2412">
        <v>2.0240999999999998</v>
      </c>
      <c r="J2412">
        <v>42254.99</v>
      </c>
      <c r="K2412">
        <v>20875.939923916801</v>
      </c>
    </row>
    <row r="2413" spans="1:11" x14ac:dyDescent="0.25">
      <c r="A2413" t="s">
        <v>751</v>
      </c>
      <c r="B2413" t="s">
        <v>752</v>
      </c>
      <c r="C2413" s="1">
        <v>41129</v>
      </c>
      <c r="D2413" s="1">
        <v>41131</v>
      </c>
      <c r="E2413">
        <v>4250</v>
      </c>
      <c r="F2413" t="s">
        <v>689</v>
      </c>
      <c r="G2413" t="s">
        <v>16</v>
      </c>
      <c r="H2413" t="s">
        <v>2375</v>
      </c>
      <c r="I2413">
        <v>2.0280999999999998</v>
      </c>
      <c r="J2413">
        <v>24361.01</v>
      </c>
      <c r="K2413">
        <v>12011.740052265668</v>
      </c>
    </row>
    <row r="2414" spans="1:11" x14ac:dyDescent="0.25">
      <c r="A2414" t="s">
        <v>1904</v>
      </c>
      <c r="B2414" t="s">
        <v>144</v>
      </c>
      <c r="C2414" s="1">
        <v>41164</v>
      </c>
      <c r="D2414" s="1">
        <v>41167</v>
      </c>
      <c r="E2414">
        <v>4818</v>
      </c>
      <c r="F2414" t="s">
        <v>642</v>
      </c>
      <c r="G2414" t="s">
        <v>16</v>
      </c>
      <c r="H2414" t="s">
        <v>2376</v>
      </c>
      <c r="I2414">
        <v>2.0196999999999998</v>
      </c>
      <c r="J2414">
        <v>62448.32</v>
      </c>
      <c r="K2414">
        <v>30919.601921077388</v>
      </c>
    </row>
    <row r="2415" spans="1:11" x14ac:dyDescent="0.25">
      <c r="A2415" t="s">
        <v>751</v>
      </c>
      <c r="B2415" t="s">
        <v>752</v>
      </c>
      <c r="C2415" s="1">
        <v>41129</v>
      </c>
      <c r="D2415" s="1">
        <v>41132</v>
      </c>
      <c r="E2415">
        <v>4250</v>
      </c>
      <c r="F2415" t="s">
        <v>689</v>
      </c>
      <c r="G2415" t="s">
        <v>16</v>
      </c>
      <c r="H2415" t="s">
        <v>5756</v>
      </c>
      <c r="I2415">
        <v>2.0280999999999998</v>
      </c>
      <c r="J2415">
        <v>33409.199999999997</v>
      </c>
      <c r="K2415">
        <v>16473.152211429417</v>
      </c>
    </row>
    <row r="2416" spans="1:11" x14ac:dyDescent="0.25">
      <c r="A2416" t="s">
        <v>774</v>
      </c>
      <c r="B2416" t="s">
        <v>775</v>
      </c>
      <c r="C2416" s="1">
        <v>41143</v>
      </c>
      <c r="D2416" s="1">
        <v>41149</v>
      </c>
      <c r="E2416">
        <v>4826</v>
      </c>
      <c r="F2416" t="s">
        <v>311</v>
      </c>
      <c r="G2416" t="s">
        <v>16</v>
      </c>
      <c r="H2416" t="s">
        <v>2377</v>
      </c>
      <c r="I2416">
        <v>2.0173000000000001</v>
      </c>
      <c r="J2416">
        <v>507401.72</v>
      </c>
      <c r="K2416">
        <v>251525.16730283052</v>
      </c>
    </row>
    <row r="2417" spans="1:11" x14ac:dyDescent="0.25">
      <c r="A2417" t="s">
        <v>786</v>
      </c>
      <c r="B2417" t="s">
        <v>771</v>
      </c>
      <c r="C2417" s="1">
        <v>41163</v>
      </c>
      <c r="D2417" s="1">
        <v>41167</v>
      </c>
      <c r="E2417">
        <v>4823</v>
      </c>
      <c r="F2417" t="s">
        <v>331</v>
      </c>
      <c r="G2417" t="s">
        <v>16</v>
      </c>
      <c r="H2417" t="s">
        <v>5757</v>
      </c>
      <c r="I2417">
        <v>2.0240999999999998</v>
      </c>
      <c r="J2417">
        <v>41343</v>
      </c>
      <c r="K2417">
        <v>20425.374240403144</v>
      </c>
    </row>
    <row r="2418" spans="1:11" x14ac:dyDescent="0.25">
      <c r="A2418" t="s">
        <v>770</v>
      </c>
      <c r="B2418" t="s">
        <v>771</v>
      </c>
      <c r="C2418" s="1">
        <v>41164</v>
      </c>
      <c r="D2418" s="1">
        <v>41167</v>
      </c>
      <c r="E2418">
        <v>4824</v>
      </c>
      <c r="F2418" t="s">
        <v>331</v>
      </c>
      <c r="G2418" t="s">
        <v>16</v>
      </c>
      <c r="H2418" t="s">
        <v>2378</v>
      </c>
      <c r="I2418">
        <v>2.0196999999999998</v>
      </c>
      <c r="J2418">
        <v>35840.31</v>
      </c>
      <c r="K2418">
        <v>17745.363172748428</v>
      </c>
    </row>
    <row r="2419" spans="1:11" x14ac:dyDescent="0.25">
      <c r="A2419" t="s">
        <v>751</v>
      </c>
      <c r="B2419" t="s">
        <v>752</v>
      </c>
      <c r="C2419" s="1">
        <v>41163</v>
      </c>
      <c r="D2419" s="1">
        <v>41167</v>
      </c>
      <c r="E2419">
        <v>4250</v>
      </c>
      <c r="F2419" t="s">
        <v>689</v>
      </c>
      <c r="G2419" t="s">
        <v>16</v>
      </c>
      <c r="H2419" t="s">
        <v>5758</v>
      </c>
      <c r="I2419">
        <v>2.0240999999999998</v>
      </c>
      <c r="J2419">
        <v>33882.99</v>
      </c>
      <c r="K2419">
        <v>16739.780643248851</v>
      </c>
    </row>
    <row r="2420" spans="1:11" x14ac:dyDescent="0.25">
      <c r="A2420" t="s">
        <v>779</v>
      </c>
      <c r="B2420" t="s">
        <v>771</v>
      </c>
      <c r="C2420" s="1">
        <v>41158</v>
      </c>
      <c r="D2420" s="1">
        <v>41158</v>
      </c>
      <c r="E2420">
        <v>4822</v>
      </c>
      <c r="F2420" t="s">
        <v>331</v>
      </c>
      <c r="G2420" t="s">
        <v>16</v>
      </c>
      <c r="H2420" t="s">
        <v>2379</v>
      </c>
      <c r="I2420">
        <v>2.0385</v>
      </c>
      <c r="J2420">
        <v>39820.42</v>
      </c>
      <c r="K2420">
        <v>19534.177090998284</v>
      </c>
    </row>
    <row r="2421" spans="1:11" x14ac:dyDescent="0.25">
      <c r="A2421" t="s">
        <v>751</v>
      </c>
      <c r="B2421" t="s">
        <v>752</v>
      </c>
      <c r="C2421" s="1">
        <v>41123</v>
      </c>
      <c r="D2421" s="1">
        <v>41124</v>
      </c>
      <c r="E2421">
        <v>4250</v>
      </c>
      <c r="F2421" t="s">
        <v>689</v>
      </c>
      <c r="G2421" t="s">
        <v>16</v>
      </c>
      <c r="H2421" t="s">
        <v>5759</v>
      </c>
      <c r="I2421">
        <v>2.0432000000000001</v>
      </c>
      <c r="J2421">
        <v>33461.839999999997</v>
      </c>
      <c r="K2421">
        <v>16377.173061863743</v>
      </c>
    </row>
    <row r="2422" spans="1:11" x14ac:dyDescent="0.25">
      <c r="A2422" t="s">
        <v>790</v>
      </c>
      <c r="B2422" t="s">
        <v>791</v>
      </c>
      <c r="C2422" s="1">
        <v>41144</v>
      </c>
      <c r="D2422" s="1">
        <v>41163</v>
      </c>
      <c r="E2422">
        <v>5356</v>
      </c>
      <c r="F2422" t="s">
        <v>311</v>
      </c>
      <c r="G2422" t="s">
        <v>16</v>
      </c>
      <c r="H2422" t="s">
        <v>2380</v>
      </c>
      <c r="I2422">
        <v>2.0209999999999999</v>
      </c>
      <c r="J2422">
        <v>74092.11</v>
      </c>
      <c r="K2422">
        <v>36661.113310242457</v>
      </c>
    </row>
    <row r="2423" spans="1:11" x14ac:dyDescent="0.25">
      <c r="A2423" t="s">
        <v>793</v>
      </c>
      <c r="B2423" t="s">
        <v>794</v>
      </c>
      <c r="C2423" s="1">
        <v>41145</v>
      </c>
      <c r="D2423" s="1">
        <v>41163</v>
      </c>
      <c r="E2423">
        <v>3</v>
      </c>
      <c r="F2423" t="s">
        <v>309</v>
      </c>
      <c r="G2423" t="s">
        <v>16</v>
      </c>
      <c r="H2423" t="s">
        <v>2381</v>
      </c>
      <c r="I2423">
        <v>2.0240999999999998</v>
      </c>
      <c r="J2423">
        <v>48351.97</v>
      </c>
      <c r="K2423">
        <v>23888.132997381552</v>
      </c>
    </row>
    <row r="2424" spans="1:11" x14ac:dyDescent="0.25">
      <c r="A2424" t="s">
        <v>799</v>
      </c>
      <c r="B2424" t="s">
        <v>800</v>
      </c>
      <c r="C2424" s="1">
        <v>41162</v>
      </c>
      <c r="D2424" s="1">
        <v>41165</v>
      </c>
      <c r="E2424">
        <v>4856</v>
      </c>
      <c r="F2424" t="s">
        <v>301</v>
      </c>
      <c r="G2424" t="s">
        <v>16</v>
      </c>
      <c r="H2424" t="s">
        <v>2382</v>
      </c>
      <c r="I2424">
        <v>2.0381</v>
      </c>
      <c r="J2424">
        <v>42480</v>
      </c>
      <c r="K2424">
        <v>20842.941955743096</v>
      </c>
    </row>
    <row r="2425" spans="1:11" x14ac:dyDescent="0.25">
      <c r="A2425" t="s">
        <v>811</v>
      </c>
      <c r="B2425" t="s">
        <v>812</v>
      </c>
      <c r="C2425" s="1">
        <v>41143</v>
      </c>
      <c r="D2425" s="1">
        <v>41146</v>
      </c>
      <c r="E2425">
        <v>5271</v>
      </c>
      <c r="F2425" t="s">
        <v>331</v>
      </c>
      <c r="G2425" t="s">
        <v>16</v>
      </c>
      <c r="H2425" t="s">
        <v>5760</v>
      </c>
      <c r="I2425">
        <v>2.0173000000000001</v>
      </c>
      <c r="J2425">
        <v>87246.77</v>
      </c>
      <c r="K2425">
        <v>43249.278738908441</v>
      </c>
    </row>
    <row r="2426" spans="1:11" x14ac:dyDescent="0.25">
      <c r="A2426" t="s">
        <v>811</v>
      </c>
      <c r="B2426" t="s">
        <v>812</v>
      </c>
      <c r="C2426" s="1">
        <v>41141</v>
      </c>
      <c r="D2426" s="1">
        <v>41146</v>
      </c>
      <c r="E2426">
        <v>5271</v>
      </c>
      <c r="F2426" t="s">
        <v>331</v>
      </c>
      <c r="G2426" t="s">
        <v>16</v>
      </c>
      <c r="H2426" t="s">
        <v>5761</v>
      </c>
      <c r="I2426">
        <v>2.0182000000000002</v>
      </c>
      <c r="J2426">
        <v>64485.760000000002</v>
      </c>
      <c r="K2426">
        <v>31952.115746704985</v>
      </c>
    </row>
    <row r="2427" spans="1:11" x14ac:dyDescent="0.25">
      <c r="A2427" t="s">
        <v>751</v>
      </c>
      <c r="B2427" t="s">
        <v>752</v>
      </c>
      <c r="C2427" s="1">
        <v>41123</v>
      </c>
      <c r="D2427" s="1">
        <v>41129</v>
      </c>
      <c r="E2427">
        <v>4250</v>
      </c>
      <c r="F2427" t="s">
        <v>689</v>
      </c>
      <c r="G2427" t="s">
        <v>16</v>
      </c>
      <c r="H2427" t="s">
        <v>2383</v>
      </c>
      <c r="I2427">
        <v>2.0432000000000001</v>
      </c>
      <c r="J2427">
        <v>33389.46</v>
      </c>
      <c r="K2427">
        <v>16341.748238057948</v>
      </c>
    </row>
    <row r="2428" spans="1:11" x14ac:dyDescent="0.25">
      <c r="A2428" t="s">
        <v>751</v>
      </c>
      <c r="B2428" t="s">
        <v>752</v>
      </c>
      <c r="C2428" s="1">
        <v>41124</v>
      </c>
      <c r="D2428" s="1">
        <v>41127</v>
      </c>
      <c r="E2428">
        <v>4250</v>
      </c>
      <c r="F2428" t="s">
        <v>689</v>
      </c>
      <c r="G2428" t="s">
        <v>16</v>
      </c>
      <c r="H2428" t="s">
        <v>2384</v>
      </c>
      <c r="I2428">
        <v>2.0474999999999999</v>
      </c>
      <c r="J2428">
        <v>33619.769999999997</v>
      </c>
      <c r="K2428">
        <v>16419.912087912089</v>
      </c>
    </row>
    <row r="2429" spans="1:11" x14ac:dyDescent="0.25">
      <c r="A2429" t="s">
        <v>751</v>
      </c>
      <c r="B2429" t="s">
        <v>752</v>
      </c>
      <c r="C2429" s="1">
        <v>41134</v>
      </c>
      <c r="D2429" s="1">
        <v>41138</v>
      </c>
      <c r="E2429">
        <v>4250</v>
      </c>
      <c r="F2429" t="s">
        <v>689</v>
      </c>
      <c r="G2429" t="s">
        <v>16</v>
      </c>
      <c r="H2429" t="s">
        <v>5762</v>
      </c>
      <c r="I2429">
        <v>2.0175000000000001</v>
      </c>
      <c r="J2429">
        <v>33185.46</v>
      </c>
      <c r="K2429">
        <v>16448.802973977694</v>
      </c>
    </row>
    <row r="2430" spans="1:11" x14ac:dyDescent="0.25">
      <c r="A2430" t="s">
        <v>751</v>
      </c>
      <c r="B2430" t="s">
        <v>752</v>
      </c>
      <c r="C2430" s="1">
        <v>41163</v>
      </c>
      <c r="D2430" s="1">
        <v>41164</v>
      </c>
      <c r="E2430">
        <v>4250</v>
      </c>
      <c r="F2430" t="s">
        <v>689</v>
      </c>
      <c r="G2430" t="s">
        <v>16</v>
      </c>
      <c r="H2430" t="s">
        <v>5763</v>
      </c>
      <c r="I2430">
        <v>2.0240999999999998</v>
      </c>
      <c r="J2430">
        <v>24913.77</v>
      </c>
      <c r="K2430">
        <v>12308.566770416481</v>
      </c>
    </row>
    <row r="2431" spans="1:11" x14ac:dyDescent="0.25">
      <c r="A2431" t="s">
        <v>751</v>
      </c>
      <c r="B2431" t="s">
        <v>752</v>
      </c>
      <c r="C2431" s="1">
        <v>41125</v>
      </c>
      <c r="D2431" s="1">
        <v>41127</v>
      </c>
      <c r="E2431">
        <v>4250</v>
      </c>
      <c r="F2431" t="s">
        <v>689</v>
      </c>
      <c r="G2431" t="s">
        <v>16</v>
      </c>
      <c r="H2431" t="s">
        <v>2385</v>
      </c>
      <c r="I2431">
        <v>2.0312999999999999</v>
      </c>
      <c r="J2431">
        <v>24518.94</v>
      </c>
      <c r="K2431">
        <v>12070.565647614829</v>
      </c>
    </row>
    <row r="2432" spans="1:11" x14ac:dyDescent="0.25">
      <c r="A2432" t="s">
        <v>751</v>
      </c>
      <c r="B2432" t="s">
        <v>752</v>
      </c>
      <c r="C2432" s="1">
        <v>41132</v>
      </c>
      <c r="D2432" s="1">
        <v>41134</v>
      </c>
      <c r="E2432">
        <v>4250</v>
      </c>
      <c r="F2432" t="s">
        <v>689</v>
      </c>
      <c r="G2432" t="s">
        <v>16</v>
      </c>
      <c r="H2432" t="s">
        <v>5764</v>
      </c>
      <c r="I2432">
        <v>2.0175000000000001</v>
      </c>
      <c r="J2432">
        <v>33178.879999999997</v>
      </c>
      <c r="K2432">
        <v>16445.541511771997</v>
      </c>
    </row>
    <row r="2433" spans="1:11" x14ac:dyDescent="0.25">
      <c r="A2433" t="s">
        <v>751</v>
      </c>
      <c r="B2433" t="s">
        <v>752</v>
      </c>
      <c r="C2433" s="1">
        <v>41130</v>
      </c>
      <c r="D2433" s="1">
        <v>41134</v>
      </c>
      <c r="E2433">
        <v>4250</v>
      </c>
      <c r="F2433" t="s">
        <v>689</v>
      </c>
      <c r="G2433" t="s">
        <v>16</v>
      </c>
      <c r="H2433" t="s">
        <v>5765</v>
      </c>
      <c r="I2433">
        <v>2.0272999999999999</v>
      </c>
      <c r="J2433">
        <v>24604.49</v>
      </c>
      <c r="K2433">
        <v>12136.580673802595</v>
      </c>
    </row>
    <row r="2434" spans="1:11" x14ac:dyDescent="0.25">
      <c r="A2434" t="s">
        <v>793</v>
      </c>
      <c r="B2434" t="s">
        <v>794</v>
      </c>
      <c r="C2434" s="1">
        <v>41149</v>
      </c>
      <c r="D2434" s="1">
        <v>41163</v>
      </c>
      <c r="E2434">
        <v>3</v>
      </c>
      <c r="F2434" t="s">
        <v>309</v>
      </c>
      <c r="G2434" t="s">
        <v>16</v>
      </c>
      <c r="H2434" t="s">
        <v>2386</v>
      </c>
      <c r="I2434">
        <v>2.0293000000000001</v>
      </c>
      <c r="J2434">
        <v>48351.97</v>
      </c>
      <c r="K2434">
        <v>23826.920613019269</v>
      </c>
    </row>
    <row r="2435" spans="1:11" x14ac:dyDescent="0.25">
      <c r="A2435" t="s">
        <v>1416</v>
      </c>
      <c r="B2435" t="s">
        <v>771</v>
      </c>
      <c r="C2435" s="1">
        <v>41163</v>
      </c>
      <c r="D2435" s="1">
        <v>41166</v>
      </c>
      <c r="E2435">
        <v>4821</v>
      </c>
      <c r="F2435" t="s">
        <v>331</v>
      </c>
      <c r="G2435" t="s">
        <v>16</v>
      </c>
      <c r="H2435" t="s">
        <v>5766</v>
      </c>
      <c r="I2435">
        <v>2.0240999999999998</v>
      </c>
      <c r="J2435">
        <v>42162.93</v>
      </c>
      <c r="K2435">
        <v>20830.457981325035</v>
      </c>
    </row>
    <row r="2436" spans="1:11" x14ac:dyDescent="0.25">
      <c r="A2436" t="s">
        <v>786</v>
      </c>
      <c r="B2436" t="s">
        <v>771</v>
      </c>
      <c r="C2436" s="1">
        <v>41165</v>
      </c>
      <c r="D2436" s="1">
        <v>41167</v>
      </c>
      <c r="E2436">
        <v>4823</v>
      </c>
      <c r="F2436" t="s">
        <v>331</v>
      </c>
      <c r="G2436" t="s">
        <v>16</v>
      </c>
      <c r="H2436" t="s">
        <v>5767</v>
      </c>
      <c r="I2436">
        <v>2.0204</v>
      </c>
      <c r="J2436">
        <v>56581.279999999999</v>
      </c>
      <c r="K2436">
        <v>28004.989111067116</v>
      </c>
    </row>
    <row r="2437" spans="1:11" x14ac:dyDescent="0.25">
      <c r="A2437" t="s">
        <v>748</v>
      </c>
      <c r="B2437" t="s">
        <v>749</v>
      </c>
      <c r="C2437" s="1">
        <v>41153</v>
      </c>
      <c r="D2437" s="1">
        <v>41157</v>
      </c>
      <c r="E2437">
        <v>4855</v>
      </c>
      <c r="F2437" t="s">
        <v>309</v>
      </c>
      <c r="G2437" t="s">
        <v>16</v>
      </c>
      <c r="H2437" t="s">
        <v>5768</v>
      </c>
      <c r="I2437">
        <v>2.0371999999999999</v>
      </c>
      <c r="J2437">
        <v>46539.34</v>
      </c>
      <c r="K2437">
        <v>22844.757510308267</v>
      </c>
    </row>
    <row r="2438" spans="1:11" x14ac:dyDescent="0.25">
      <c r="A2438" t="s">
        <v>751</v>
      </c>
      <c r="B2438" t="s">
        <v>752</v>
      </c>
      <c r="C2438" s="1">
        <v>41134</v>
      </c>
      <c r="D2438" s="1">
        <v>41136</v>
      </c>
      <c r="E2438">
        <v>4250</v>
      </c>
      <c r="F2438" t="s">
        <v>689</v>
      </c>
      <c r="G2438" t="s">
        <v>16</v>
      </c>
      <c r="H2438" t="s">
        <v>2387</v>
      </c>
      <c r="I2438">
        <v>2.0175000000000001</v>
      </c>
      <c r="J2438">
        <v>24314.95</v>
      </c>
      <c r="K2438">
        <v>12052.019826517968</v>
      </c>
    </row>
    <row r="2439" spans="1:11" x14ac:dyDescent="0.25">
      <c r="A2439" t="s">
        <v>748</v>
      </c>
      <c r="B2439" t="s">
        <v>749</v>
      </c>
      <c r="C2439" s="1">
        <v>41153</v>
      </c>
      <c r="D2439" s="1">
        <v>41157</v>
      </c>
      <c r="E2439">
        <v>4855</v>
      </c>
      <c r="F2439" t="s">
        <v>309</v>
      </c>
      <c r="G2439" t="s">
        <v>16</v>
      </c>
      <c r="H2439" t="s">
        <v>5769</v>
      </c>
      <c r="I2439">
        <v>2.0371999999999999</v>
      </c>
      <c r="J2439">
        <v>46539.34</v>
      </c>
      <c r="K2439">
        <v>22844.757510308267</v>
      </c>
    </row>
    <row r="2440" spans="1:11" x14ac:dyDescent="0.25">
      <c r="A2440" t="s">
        <v>799</v>
      </c>
      <c r="B2440" t="s">
        <v>800</v>
      </c>
      <c r="C2440" s="1">
        <v>41197</v>
      </c>
      <c r="D2440" s="1">
        <v>41202</v>
      </c>
      <c r="E2440">
        <v>4856</v>
      </c>
      <c r="F2440" t="s">
        <v>301</v>
      </c>
      <c r="G2440" t="s">
        <v>16</v>
      </c>
      <c r="H2440" t="s">
        <v>5770</v>
      </c>
      <c r="I2440">
        <v>2.0369000000000002</v>
      </c>
      <c r="J2440">
        <v>42524.99</v>
      </c>
      <c r="K2440">
        <v>20877.308655309538</v>
      </c>
    </row>
    <row r="2441" spans="1:11" x14ac:dyDescent="0.25">
      <c r="A2441" t="s">
        <v>1425</v>
      </c>
      <c r="B2441" t="s">
        <v>1426</v>
      </c>
      <c r="C2441" s="1">
        <v>41171</v>
      </c>
      <c r="D2441" s="1">
        <v>41180</v>
      </c>
      <c r="E2441">
        <v>35</v>
      </c>
      <c r="F2441" t="s">
        <v>331</v>
      </c>
      <c r="G2441" t="s">
        <v>16</v>
      </c>
      <c r="H2441" t="s">
        <v>2388</v>
      </c>
      <c r="I2441">
        <v>2.0274000000000001</v>
      </c>
      <c r="J2441">
        <v>49978.2</v>
      </c>
      <c r="K2441">
        <v>24651.376146788993</v>
      </c>
    </row>
    <row r="2442" spans="1:11" x14ac:dyDescent="0.25">
      <c r="A2442" t="s">
        <v>779</v>
      </c>
      <c r="B2442" t="s">
        <v>771</v>
      </c>
      <c r="C2442" s="1">
        <v>41176</v>
      </c>
      <c r="D2442" s="1">
        <v>41177</v>
      </c>
      <c r="E2442">
        <v>4822</v>
      </c>
      <c r="F2442" t="s">
        <v>331</v>
      </c>
      <c r="G2442" t="s">
        <v>16</v>
      </c>
      <c r="H2442" t="s">
        <v>2389</v>
      </c>
      <c r="I2442">
        <v>2.024</v>
      </c>
      <c r="J2442">
        <v>42345.14</v>
      </c>
      <c r="K2442">
        <v>20921.511857707508</v>
      </c>
    </row>
    <row r="2443" spans="1:11" x14ac:dyDescent="0.25">
      <c r="A2443" t="s">
        <v>2390</v>
      </c>
      <c r="B2443" t="s">
        <v>2391</v>
      </c>
      <c r="C2443" s="1">
        <v>41197</v>
      </c>
      <c r="D2443" s="1">
        <v>41204</v>
      </c>
      <c r="E2443">
        <v>4828</v>
      </c>
      <c r="F2443" t="s">
        <v>642</v>
      </c>
      <c r="G2443" t="s">
        <v>16</v>
      </c>
      <c r="H2443" t="s">
        <v>1550</v>
      </c>
      <c r="I2443">
        <v>2.0369000000000002</v>
      </c>
      <c r="J2443">
        <v>72342.320000000007</v>
      </c>
      <c r="K2443">
        <v>35515.891796357209</v>
      </c>
    </row>
    <row r="2444" spans="1:11" x14ac:dyDescent="0.25">
      <c r="A2444" t="s">
        <v>793</v>
      </c>
      <c r="B2444" t="s">
        <v>794</v>
      </c>
      <c r="C2444" s="1">
        <v>41160</v>
      </c>
      <c r="D2444" s="1">
        <v>41182</v>
      </c>
      <c r="E2444">
        <v>3</v>
      </c>
      <c r="F2444" t="s">
        <v>309</v>
      </c>
      <c r="G2444" t="s">
        <v>16</v>
      </c>
      <c r="H2444" t="s">
        <v>2392</v>
      </c>
      <c r="I2444">
        <v>2.0381</v>
      </c>
      <c r="J2444">
        <v>40693.019999999997</v>
      </c>
      <c r="K2444">
        <v>19966.154751974878</v>
      </c>
    </row>
    <row r="2445" spans="1:11" x14ac:dyDescent="0.25">
      <c r="A2445" t="s">
        <v>793</v>
      </c>
      <c r="B2445" t="s">
        <v>794</v>
      </c>
      <c r="C2445" s="1">
        <v>41182</v>
      </c>
      <c r="D2445" s="1">
        <v>41182</v>
      </c>
      <c r="E2445">
        <v>3</v>
      </c>
      <c r="F2445" t="s">
        <v>309</v>
      </c>
      <c r="G2445" t="s">
        <v>16</v>
      </c>
      <c r="H2445" t="s">
        <v>5771</v>
      </c>
      <c r="I2445">
        <v>2.0306000000000002</v>
      </c>
      <c r="J2445">
        <v>47051.3</v>
      </c>
      <c r="K2445">
        <v>23171.131685216191</v>
      </c>
    </row>
    <row r="2446" spans="1:11" x14ac:dyDescent="0.25">
      <c r="A2446" t="s">
        <v>793</v>
      </c>
      <c r="B2446" t="s">
        <v>794</v>
      </c>
      <c r="C2446" s="1">
        <v>41159</v>
      </c>
      <c r="D2446" s="1">
        <v>41182</v>
      </c>
      <c r="E2446">
        <v>3</v>
      </c>
      <c r="F2446" t="s">
        <v>309</v>
      </c>
      <c r="G2446" t="s">
        <v>16</v>
      </c>
      <c r="H2446" t="s">
        <v>2393</v>
      </c>
      <c r="I2446">
        <v>2.0381</v>
      </c>
      <c r="J2446">
        <v>44507.99</v>
      </c>
      <c r="K2446">
        <v>21837.981453314362</v>
      </c>
    </row>
    <row r="2447" spans="1:11" x14ac:dyDescent="0.25">
      <c r="A2447" t="s">
        <v>793</v>
      </c>
      <c r="B2447" t="s">
        <v>794</v>
      </c>
      <c r="C2447" s="1">
        <v>41159</v>
      </c>
      <c r="D2447" s="1">
        <v>41182</v>
      </c>
      <c r="E2447">
        <v>3</v>
      </c>
      <c r="F2447" t="s">
        <v>309</v>
      </c>
      <c r="G2447" t="s">
        <v>16</v>
      </c>
      <c r="H2447" t="s">
        <v>2394</v>
      </c>
      <c r="I2447">
        <v>2.0381</v>
      </c>
      <c r="J2447">
        <v>64854.5</v>
      </c>
      <c r="K2447">
        <v>31821.058829301801</v>
      </c>
    </row>
    <row r="2448" spans="1:11" x14ac:dyDescent="0.25">
      <c r="A2448" t="s">
        <v>804</v>
      </c>
      <c r="B2448" t="s">
        <v>805</v>
      </c>
      <c r="C2448" s="1">
        <v>41170</v>
      </c>
      <c r="D2448" s="1">
        <v>41185</v>
      </c>
      <c r="E2448">
        <v>34</v>
      </c>
      <c r="F2448" t="s">
        <v>331</v>
      </c>
      <c r="G2448" t="s">
        <v>16</v>
      </c>
      <c r="H2448" t="s">
        <v>5772</v>
      </c>
      <c r="I2448">
        <v>2.0312000000000001</v>
      </c>
      <c r="J2448">
        <v>50532.22</v>
      </c>
      <c r="K2448">
        <v>24878.012997243008</v>
      </c>
    </row>
    <row r="2449" spans="1:11" x14ac:dyDescent="0.25">
      <c r="A2449" t="s">
        <v>1421</v>
      </c>
      <c r="B2449" t="s">
        <v>1422</v>
      </c>
      <c r="C2449" s="1">
        <v>41208</v>
      </c>
      <c r="D2449" s="1">
        <v>41211</v>
      </c>
      <c r="E2449">
        <v>5710</v>
      </c>
      <c r="F2449" t="s">
        <v>309</v>
      </c>
      <c r="G2449" t="s">
        <v>16</v>
      </c>
      <c r="H2449" t="s">
        <v>5773</v>
      </c>
      <c r="I2449">
        <v>2.0261</v>
      </c>
      <c r="J2449">
        <v>60935.66</v>
      </c>
      <c r="K2449">
        <v>30075.346725235675</v>
      </c>
    </row>
    <row r="2450" spans="1:11" x14ac:dyDescent="0.25">
      <c r="A2450" t="s">
        <v>1421</v>
      </c>
      <c r="B2450" t="s">
        <v>1422</v>
      </c>
      <c r="C2450" s="1">
        <v>41208</v>
      </c>
      <c r="D2450" s="1">
        <v>41211</v>
      </c>
      <c r="E2450">
        <v>5710</v>
      </c>
      <c r="F2450" t="s">
        <v>309</v>
      </c>
      <c r="G2450" t="s">
        <v>16</v>
      </c>
      <c r="H2450" t="s">
        <v>5774</v>
      </c>
      <c r="I2450">
        <v>2.0261</v>
      </c>
      <c r="J2450">
        <v>60935.66</v>
      </c>
      <c r="K2450">
        <v>30075.346725235675</v>
      </c>
    </row>
    <row r="2451" spans="1:11" x14ac:dyDescent="0.25">
      <c r="A2451" t="s">
        <v>799</v>
      </c>
      <c r="B2451" t="s">
        <v>800</v>
      </c>
      <c r="C2451" s="1">
        <v>41200</v>
      </c>
      <c r="D2451" s="1">
        <v>41207</v>
      </c>
      <c r="E2451">
        <v>4856</v>
      </c>
      <c r="F2451" t="s">
        <v>301</v>
      </c>
      <c r="G2451" t="s">
        <v>16</v>
      </c>
      <c r="H2451" t="s">
        <v>2395</v>
      </c>
      <c r="I2451">
        <v>2.0335999999999999</v>
      </c>
      <c r="J2451">
        <v>42390.01</v>
      </c>
      <c r="K2451">
        <v>20844.812155782849</v>
      </c>
    </row>
    <row r="2452" spans="1:11" x14ac:dyDescent="0.25">
      <c r="A2452" t="s">
        <v>790</v>
      </c>
      <c r="B2452" t="s">
        <v>791</v>
      </c>
      <c r="C2452" s="1">
        <v>41142</v>
      </c>
      <c r="D2452" s="1">
        <v>41172</v>
      </c>
      <c r="E2452">
        <v>5356</v>
      </c>
      <c r="F2452" t="s">
        <v>311</v>
      </c>
      <c r="G2452" t="s">
        <v>16</v>
      </c>
      <c r="H2452" t="s">
        <v>5775</v>
      </c>
      <c r="I2452">
        <v>2.0209000000000001</v>
      </c>
      <c r="J2452">
        <v>352895.9</v>
      </c>
      <c r="K2452">
        <v>174623.13820574991</v>
      </c>
    </row>
    <row r="2453" spans="1:11" x14ac:dyDescent="0.25">
      <c r="A2453" t="s">
        <v>5355</v>
      </c>
      <c r="B2453" t="s">
        <v>5356</v>
      </c>
      <c r="C2453" s="1">
        <v>41151</v>
      </c>
      <c r="D2453" s="1">
        <v>41185</v>
      </c>
      <c r="E2453">
        <v>77</v>
      </c>
      <c r="F2453" t="s">
        <v>318</v>
      </c>
      <c r="G2453" t="s">
        <v>16</v>
      </c>
      <c r="H2453" t="s">
        <v>5776</v>
      </c>
      <c r="I2453">
        <v>2.0508999999999999</v>
      </c>
      <c r="J2453">
        <v>24757.46</v>
      </c>
      <c r="K2453">
        <v>12071.510068750305</v>
      </c>
    </row>
    <row r="2454" spans="1:11" x14ac:dyDescent="0.25">
      <c r="A2454" t="s">
        <v>808</v>
      </c>
      <c r="B2454" t="s">
        <v>809</v>
      </c>
      <c r="C2454" s="1">
        <v>41173</v>
      </c>
      <c r="D2454" s="1">
        <v>41181</v>
      </c>
      <c r="E2454">
        <v>4825</v>
      </c>
      <c r="F2454" t="s">
        <v>331</v>
      </c>
      <c r="G2454" t="s">
        <v>16</v>
      </c>
      <c r="H2454" t="s">
        <v>2396</v>
      </c>
      <c r="I2454">
        <v>2.0263</v>
      </c>
      <c r="J2454">
        <v>54752.88</v>
      </c>
      <c r="K2454">
        <v>27021.1123723042</v>
      </c>
    </row>
    <row r="2455" spans="1:11" x14ac:dyDescent="0.25">
      <c r="A2455" t="s">
        <v>2397</v>
      </c>
      <c r="B2455" t="s">
        <v>2398</v>
      </c>
      <c r="C2455" s="1">
        <v>41187</v>
      </c>
      <c r="D2455" s="1">
        <v>41193</v>
      </c>
      <c r="E2455">
        <v>4840</v>
      </c>
      <c r="F2455" t="s">
        <v>309</v>
      </c>
      <c r="G2455" t="s">
        <v>16</v>
      </c>
      <c r="H2455" t="s">
        <v>2399</v>
      </c>
      <c r="I2455">
        <v>2.0224000000000002</v>
      </c>
      <c r="J2455">
        <v>154948.23000000001</v>
      </c>
      <c r="K2455">
        <v>76616.015625</v>
      </c>
    </row>
    <row r="2456" spans="1:11" x14ac:dyDescent="0.25">
      <c r="A2456" t="s">
        <v>796</v>
      </c>
      <c r="B2456" t="s">
        <v>797</v>
      </c>
      <c r="C2456" s="1">
        <v>41192</v>
      </c>
      <c r="D2456" s="1">
        <v>41195</v>
      </c>
      <c r="E2456">
        <v>4842</v>
      </c>
      <c r="F2456" t="s">
        <v>309</v>
      </c>
      <c r="G2456" t="s">
        <v>16</v>
      </c>
      <c r="H2456" t="s">
        <v>2400</v>
      </c>
      <c r="I2456">
        <v>2.0337000000000001</v>
      </c>
      <c r="J2456">
        <v>76926.899999999994</v>
      </c>
      <c r="K2456">
        <v>37826.080542852927</v>
      </c>
    </row>
    <row r="2457" spans="1:11" x14ac:dyDescent="0.25">
      <c r="A2457" t="s">
        <v>817</v>
      </c>
      <c r="B2457" t="s">
        <v>818</v>
      </c>
      <c r="C2457" s="1">
        <v>41197</v>
      </c>
      <c r="D2457" s="1">
        <v>41207</v>
      </c>
      <c r="E2457">
        <v>5498</v>
      </c>
      <c r="F2457" t="s">
        <v>301</v>
      </c>
      <c r="G2457" t="s">
        <v>16</v>
      </c>
      <c r="H2457" t="s">
        <v>2401</v>
      </c>
      <c r="I2457">
        <v>2.0369000000000002</v>
      </c>
      <c r="J2457">
        <v>6360</v>
      </c>
      <c r="K2457">
        <v>3122.391869998527</v>
      </c>
    </row>
    <row r="2458" spans="1:11" x14ac:dyDescent="0.25">
      <c r="A2458" t="s">
        <v>787</v>
      </c>
      <c r="B2458" t="s">
        <v>788</v>
      </c>
      <c r="C2458" s="1">
        <v>41206</v>
      </c>
      <c r="D2458" s="1">
        <v>41208</v>
      </c>
      <c r="E2458">
        <v>5709</v>
      </c>
      <c r="F2458" t="s">
        <v>309</v>
      </c>
      <c r="G2458" t="s">
        <v>16</v>
      </c>
      <c r="H2458" t="s">
        <v>2402</v>
      </c>
      <c r="I2458">
        <v>2.0286</v>
      </c>
      <c r="J2458">
        <v>56554.87</v>
      </c>
      <c r="K2458">
        <v>27878.768608892831</v>
      </c>
    </row>
    <row r="2459" spans="1:11" x14ac:dyDescent="0.25">
      <c r="A2459" t="s">
        <v>799</v>
      </c>
      <c r="B2459" t="s">
        <v>800</v>
      </c>
      <c r="C2459" s="1">
        <v>41169</v>
      </c>
      <c r="D2459" s="1">
        <v>41173</v>
      </c>
      <c r="E2459">
        <v>4856</v>
      </c>
      <c r="F2459" t="s">
        <v>301</v>
      </c>
      <c r="G2459" t="s">
        <v>16</v>
      </c>
      <c r="H2459" t="s">
        <v>2403</v>
      </c>
      <c r="I2459">
        <v>2.0135999999999998</v>
      </c>
      <c r="J2459">
        <v>42029.99</v>
      </c>
      <c r="K2459">
        <v>20873.058204211364</v>
      </c>
    </row>
    <row r="2460" spans="1:11" x14ac:dyDescent="0.25">
      <c r="A2460" t="s">
        <v>808</v>
      </c>
      <c r="B2460" t="s">
        <v>809</v>
      </c>
      <c r="C2460" s="1">
        <v>41170</v>
      </c>
      <c r="D2460" s="1">
        <v>41177</v>
      </c>
      <c r="E2460">
        <v>4825</v>
      </c>
      <c r="F2460" t="s">
        <v>331</v>
      </c>
      <c r="G2460" t="s">
        <v>16</v>
      </c>
      <c r="H2460" t="s">
        <v>5777</v>
      </c>
      <c r="I2460">
        <v>2.0312000000000001</v>
      </c>
      <c r="J2460">
        <v>39143.29</v>
      </c>
      <c r="K2460">
        <v>19271.017132729419</v>
      </c>
    </row>
    <row r="2461" spans="1:11" x14ac:dyDescent="0.25">
      <c r="A2461" t="s">
        <v>808</v>
      </c>
      <c r="B2461" t="s">
        <v>809</v>
      </c>
      <c r="C2461" s="1">
        <v>41171</v>
      </c>
      <c r="D2461" s="1">
        <v>41177</v>
      </c>
      <c r="E2461">
        <v>4825</v>
      </c>
      <c r="F2461" t="s">
        <v>331</v>
      </c>
      <c r="G2461" t="s">
        <v>16</v>
      </c>
      <c r="H2461" t="s">
        <v>5778</v>
      </c>
      <c r="I2461">
        <v>2.0274000000000001</v>
      </c>
      <c r="J2461">
        <v>63392.78</v>
      </c>
      <c r="K2461">
        <v>31268.018151326822</v>
      </c>
    </row>
    <row r="2462" spans="1:11" x14ac:dyDescent="0.25">
      <c r="A2462" t="s">
        <v>808</v>
      </c>
      <c r="B2462" t="s">
        <v>809</v>
      </c>
      <c r="C2462" s="1">
        <v>41171</v>
      </c>
      <c r="D2462" s="1">
        <v>41177</v>
      </c>
      <c r="E2462">
        <v>4825</v>
      </c>
      <c r="F2462" t="s">
        <v>331</v>
      </c>
      <c r="G2462" t="s">
        <v>16</v>
      </c>
      <c r="H2462" t="s">
        <v>2404</v>
      </c>
      <c r="I2462">
        <v>2.0274000000000001</v>
      </c>
      <c r="J2462">
        <v>63782.080000000002</v>
      </c>
      <c r="K2462">
        <v>31460.037486435831</v>
      </c>
    </row>
    <row r="2463" spans="1:11" x14ac:dyDescent="0.25">
      <c r="A2463" t="s">
        <v>808</v>
      </c>
      <c r="B2463" t="s">
        <v>809</v>
      </c>
      <c r="C2463" s="1">
        <v>41170</v>
      </c>
      <c r="D2463" s="1">
        <v>41177</v>
      </c>
      <c r="E2463">
        <v>4825</v>
      </c>
      <c r="F2463" t="s">
        <v>331</v>
      </c>
      <c r="G2463" t="s">
        <v>16</v>
      </c>
      <c r="H2463" t="s">
        <v>5779</v>
      </c>
      <c r="I2463">
        <v>2.0312000000000001</v>
      </c>
      <c r="J2463">
        <v>39143.29</v>
      </c>
      <c r="K2463">
        <v>19271.017132729419</v>
      </c>
    </row>
    <row r="2464" spans="1:11" x14ac:dyDescent="0.25">
      <c r="A2464" t="s">
        <v>787</v>
      </c>
      <c r="B2464" t="s">
        <v>788</v>
      </c>
      <c r="C2464" s="1">
        <v>41206</v>
      </c>
      <c r="D2464" s="1">
        <v>41208</v>
      </c>
      <c r="E2464">
        <v>5709</v>
      </c>
      <c r="F2464" t="s">
        <v>309</v>
      </c>
      <c r="G2464" t="s">
        <v>16</v>
      </c>
      <c r="H2464" t="s">
        <v>5780</v>
      </c>
      <c r="I2464">
        <v>2.0286</v>
      </c>
      <c r="J2464">
        <v>56554.87</v>
      </c>
      <c r="K2464">
        <v>27878.768608892831</v>
      </c>
    </row>
    <row r="2465" spans="1:11" x14ac:dyDescent="0.25">
      <c r="A2465" t="s">
        <v>787</v>
      </c>
      <c r="B2465" t="s">
        <v>788</v>
      </c>
      <c r="C2465" s="1">
        <v>41206</v>
      </c>
      <c r="D2465" s="1">
        <v>41208</v>
      </c>
      <c r="E2465">
        <v>5709</v>
      </c>
      <c r="F2465" t="s">
        <v>309</v>
      </c>
      <c r="G2465" t="s">
        <v>16</v>
      </c>
      <c r="H2465" t="s">
        <v>2405</v>
      </c>
      <c r="I2465">
        <v>2.0286</v>
      </c>
      <c r="J2465">
        <v>58083.38</v>
      </c>
      <c r="K2465">
        <v>28632.248841565612</v>
      </c>
    </row>
    <row r="2466" spans="1:11" x14ac:dyDescent="0.25">
      <c r="A2466" t="s">
        <v>787</v>
      </c>
      <c r="B2466" t="s">
        <v>788</v>
      </c>
      <c r="C2466" s="1">
        <v>41205</v>
      </c>
      <c r="D2466" s="1">
        <v>41208</v>
      </c>
      <c r="E2466">
        <v>5709</v>
      </c>
      <c r="F2466" t="s">
        <v>309</v>
      </c>
      <c r="G2466" t="s">
        <v>16</v>
      </c>
      <c r="H2466" t="s">
        <v>5781</v>
      </c>
      <c r="I2466">
        <v>2.0266000000000002</v>
      </c>
      <c r="J2466">
        <v>76425.5</v>
      </c>
      <c r="K2466">
        <v>37711.191157603869</v>
      </c>
    </row>
    <row r="2467" spans="1:11" x14ac:dyDescent="0.25">
      <c r="A2467" t="s">
        <v>1444</v>
      </c>
      <c r="C2467" s="1">
        <v>41204</v>
      </c>
      <c r="D2467" s="1">
        <v>41205</v>
      </c>
      <c r="E2467">
        <v>8826</v>
      </c>
      <c r="F2467" t="s">
        <v>421</v>
      </c>
      <c r="G2467" t="s">
        <v>16</v>
      </c>
      <c r="H2467" t="s">
        <v>5782</v>
      </c>
      <c r="I2467">
        <v>2.0272000000000001</v>
      </c>
      <c r="J2467">
        <v>260.06</v>
      </c>
      <c r="K2467">
        <v>128.28531965272296</v>
      </c>
    </row>
    <row r="2468" spans="1:11" x14ac:dyDescent="0.25">
      <c r="A2468" t="s">
        <v>811</v>
      </c>
      <c r="B2468" t="s">
        <v>812</v>
      </c>
      <c r="C2468" s="1">
        <v>41186</v>
      </c>
      <c r="D2468" s="1">
        <v>41188</v>
      </c>
      <c r="E2468">
        <v>5271</v>
      </c>
      <c r="F2468" t="s">
        <v>331</v>
      </c>
      <c r="G2468" t="s">
        <v>16</v>
      </c>
      <c r="H2468" t="s">
        <v>5783</v>
      </c>
      <c r="I2468">
        <v>2.0266000000000002</v>
      </c>
      <c r="J2468">
        <v>42941.13</v>
      </c>
      <c r="K2468">
        <v>21188.754564294879</v>
      </c>
    </row>
    <row r="2469" spans="1:11" x14ac:dyDescent="0.25">
      <c r="A2469" t="s">
        <v>1421</v>
      </c>
      <c r="B2469" t="s">
        <v>1422</v>
      </c>
      <c r="C2469" s="1">
        <v>41208</v>
      </c>
      <c r="D2469" s="1">
        <v>41213</v>
      </c>
      <c r="E2469">
        <v>5710</v>
      </c>
      <c r="F2469" t="s">
        <v>309</v>
      </c>
      <c r="G2469" t="s">
        <v>16</v>
      </c>
      <c r="H2469" t="s">
        <v>2406</v>
      </c>
      <c r="I2469">
        <v>2.0261</v>
      </c>
      <c r="J2469">
        <v>59332.09</v>
      </c>
      <c r="K2469">
        <v>29283.890232466314</v>
      </c>
    </row>
    <row r="2470" spans="1:11" x14ac:dyDescent="0.25">
      <c r="A2470" t="s">
        <v>808</v>
      </c>
      <c r="B2470" t="s">
        <v>809</v>
      </c>
      <c r="C2470" s="1">
        <v>41168</v>
      </c>
      <c r="D2470" s="1">
        <v>41173</v>
      </c>
      <c r="E2470">
        <v>4825</v>
      </c>
      <c r="F2470" t="s">
        <v>331</v>
      </c>
      <c r="G2470" t="s">
        <v>16</v>
      </c>
      <c r="H2470" t="s">
        <v>5784</v>
      </c>
      <c r="I2470">
        <v>2.0139</v>
      </c>
      <c r="J2470">
        <v>47218.080000000002</v>
      </c>
      <c r="K2470">
        <v>23446.089676746611</v>
      </c>
    </row>
    <row r="2471" spans="1:11" x14ac:dyDescent="0.25">
      <c r="A2471" t="s">
        <v>808</v>
      </c>
      <c r="B2471" t="s">
        <v>809</v>
      </c>
      <c r="C2471" s="1">
        <v>41169</v>
      </c>
      <c r="D2471" s="1">
        <v>41173</v>
      </c>
      <c r="E2471">
        <v>4825</v>
      </c>
      <c r="F2471" t="s">
        <v>331</v>
      </c>
      <c r="G2471" t="s">
        <v>16</v>
      </c>
      <c r="H2471" t="s">
        <v>2407</v>
      </c>
      <c r="I2471">
        <v>2.0135999999999998</v>
      </c>
      <c r="J2471">
        <v>64108.59</v>
      </c>
      <c r="K2471">
        <v>31837.797973778306</v>
      </c>
    </row>
    <row r="2472" spans="1:11" x14ac:dyDescent="0.25">
      <c r="A2472" t="s">
        <v>808</v>
      </c>
      <c r="B2472" t="s">
        <v>809</v>
      </c>
      <c r="C2472" s="1">
        <v>41168</v>
      </c>
      <c r="D2472" s="1">
        <v>41173</v>
      </c>
      <c r="E2472">
        <v>4825</v>
      </c>
      <c r="F2472" t="s">
        <v>331</v>
      </c>
      <c r="G2472" t="s">
        <v>16</v>
      </c>
      <c r="H2472" t="s">
        <v>2408</v>
      </c>
      <c r="I2472">
        <v>2.0139</v>
      </c>
      <c r="J2472">
        <v>47117.62</v>
      </c>
      <c r="K2472">
        <v>23396.206365757982</v>
      </c>
    </row>
    <row r="2473" spans="1:11" x14ac:dyDescent="0.25">
      <c r="A2473" t="s">
        <v>2409</v>
      </c>
      <c r="B2473" t="s">
        <v>2410</v>
      </c>
      <c r="C2473" s="1">
        <v>41242</v>
      </c>
      <c r="D2473" s="1">
        <v>41247</v>
      </c>
      <c r="E2473">
        <v>10878</v>
      </c>
      <c r="F2473" t="s">
        <v>309</v>
      </c>
      <c r="G2473" t="s">
        <v>16</v>
      </c>
      <c r="H2473" t="s">
        <v>2411</v>
      </c>
      <c r="I2473">
        <v>2.0912000000000002</v>
      </c>
      <c r="J2473">
        <v>150299.92000000001</v>
      </c>
      <c r="K2473">
        <v>71872.570772762047</v>
      </c>
    </row>
    <row r="2474" spans="1:11" x14ac:dyDescent="0.25">
      <c r="A2474" t="s">
        <v>799</v>
      </c>
      <c r="B2474" t="s">
        <v>800</v>
      </c>
      <c r="C2474" s="1">
        <v>41237</v>
      </c>
      <c r="D2474" s="1">
        <v>41244</v>
      </c>
      <c r="E2474">
        <v>4856</v>
      </c>
      <c r="F2474" t="s">
        <v>301</v>
      </c>
      <c r="G2474" t="s">
        <v>16</v>
      </c>
      <c r="H2474" t="s">
        <v>5785</v>
      </c>
      <c r="I2474">
        <v>2.0985</v>
      </c>
      <c r="J2474">
        <v>37908</v>
      </c>
      <c r="K2474">
        <v>18064.33166547534</v>
      </c>
    </row>
    <row r="2475" spans="1:11" x14ac:dyDescent="0.25">
      <c r="A2475" t="s">
        <v>799</v>
      </c>
      <c r="B2475" t="s">
        <v>800</v>
      </c>
      <c r="C2475" s="1">
        <v>41238</v>
      </c>
      <c r="D2475" s="1">
        <v>41254</v>
      </c>
      <c r="E2475">
        <v>4856</v>
      </c>
      <c r="F2475" t="s">
        <v>301</v>
      </c>
      <c r="G2475" t="s">
        <v>16</v>
      </c>
      <c r="H2475" t="s">
        <v>2412</v>
      </c>
      <c r="I2475">
        <v>2.0985</v>
      </c>
      <c r="J2475">
        <v>43740</v>
      </c>
      <c r="K2475">
        <v>20843.459614010007</v>
      </c>
    </row>
    <row r="2476" spans="1:11" x14ac:dyDescent="0.25">
      <c r="A2476" t="s">
        <v>2413</v>
      </c>
      <c r="B2476" t="s">
        <v>2414</v>
      </c>
      <c r="C2476" s="1">
        <v>41227</v>
      </c>
      <c r="D2476" s="1">
        <v>41232</v>
      </c>
      <c r="E2476">
        <v>10147</v>
      </c>
      <c r="F2476" t="s">
        <v>665</v>
      </c>
      <c r="G2476" t="s">
        <v>16</v>
      </c>
      <c r="H2476" t="s">
        <v>2415</v>
      </c>
      <c r="I2476">
        <v>2.0613999999999999</v>
      </c>
      <c r="J2476">
        <v>30444.73</v>
      </c>
      <c r="K2476">
        <v>14768.957989715727</v>
      </c>
    </row>
    <row r="2477" spans="1:11" x14ac:dyDescent="0.25">
      <c r="A2477" t="s">
        <v>2416</v>
      </c>
      <c r="B2477" t="s">
        <v>2417</v>
      </c>
      <c r="C2477" s="1">
        <v>41232</v>
      </c>
      <c r="D2477" s="1">
        <v>41235</v>
      </c>
      <c r="E2477">
        <v>4851</v>
      </c>
      <c r="F2477" t="s">
        <v>689</v>
      </c>
      <c r="G2477" t="s">
        <v>16</v>
      </c>
      <c r="H2477" t="s">
        <v>2418</v>
      </c>
      <c r="I2477">
        <v>2.0712000000000002</v>
      </c>
      <c r="J2477">
        <v>41280</v>
      </c>
      <c r="K2477">
        <v>19930.475086906143</v>
      </c>
    </row>
    <row r="2478" spans="1:11" x14ac:dyDescent="0.25">
      <c r="A2478" t="s">
        <v>1429</v>
      </c>
      <c r="B2478" t="s">
        <v>1430</v>
      </c>
      <c r="C2478" s="1">
        <v>41220</v>
      </c>
      <c r="D2478" s="1">
        <v>41232</v>
      </c>
      <c r="E2478">
        <v>5441</v>
      </c>
      <c r="F2478" t="s">
        <v>301</v>
      </c>
      <c r="G2478" t="s">
        <v>16</v>
      </c>
      <c r="H2478" t="s">
        <v>5786</v>
      </c>
      <c r="I2478">
        <v>2.0341</v>
      </c>
      <c r="J2478">
        <v>21330</v>
      </c>
      <c r="K2478">
        <v>10486.210117496681</v>
      </c>
    </row>
    <row r="2479" spans="1:11" x14ac:dyDescent="0.25">
      <c r="A2479" t="s">
        <v>1429</v>
      </c>
      <c r="B2479" t="s">
        <v>1430</v>
      </c>
      <c r="C2479" s="1">
        <v>41238</v>
      </c>
      <c r="D2479" s="1">
        <v>41247</v>
      </c>
      <c r="E2479">
        <v>5441</v>
      </c>
      <c r="F2479" t="s">
        <v>301</v>
      </c>
      <c r="G2479" t="s">
        <v>16</v>
      </c>
      <c r="H2479" t="s">
        <v>5787</v>
      </c>
      <c r="I2479">
        <v>2.0985</v>
      </c>
      <c r="J2479">
        <v>43740</v>
      </c>
      <c r="K2479">
        <v>20843.459614010007</v>
      </c>
    </row>
    <row r="2480" spans="1:11" x14ac:dyDescent="0.25">
      <c r="A2480" t="s">
        <v>799</v>
      </c>
      <c r="B2480" t="s">
        <v>800</v>
      </c>
      <c r="C2480" s="1">
        <v>41233</v>
      </c>
      <c r="D2480" s="1">
        <v>41247</v>
      </c>
      <c r="E2480">
        <v>4856</v>
      </c>
      <c r="F2480" t="s">
        <v>301</v>
      </c>
      <c r="G2480" t="s">
        <v>16</v>
      </c>
      <c r="H2480" t="s">
        <v>5788</v>
      </c>
      <c r="I2480">
        <v>2.0834999999999999</v>
      </c>
      <c r="J2480">
        <v>43560</v>
      </c>
      <c r="K2480">
        <v>20907.127429805616</v>
      </c>
    </row>
    <row r="2481" spans="1:11" x14ac:dyDescent="0.25">
      <c r="A2481" t="s">
        <v>799</v>
      </c>
      <c r="B2481" t="s">
        <v>800</v>
      </c>
      <c r="C2481" s="1">
        <v>41208</v>
      </c>
      <c r="D2481" s="1">
        <v>41214</v>
      </c>
      <c r="E2481">
        <v>4856</v>
      </c>
      <c r="F2481" t="s">
        <v>301</v>
      </c>
      <c r="G2481" t="s">
        <v>16</v>
      </c>
      <c r="H2481" t="s">
        <v>5789</v>
      </c>
      <c r="I2481">
        <v>2.0261</v>
      </c>
      <c r="J2481">
        <v>42300</v>
      </c>
      <c r="K2481">
        <v>20877.547998618036</v>
      </c>
    </row>
    <row r="2482" spans="1:11" x14ac:dyDescent="0.25">
      <c r="A2482" t="s">
        <v>2419</v>
      </c>
      <c r="B2482" t="s">
        <v>2420</v>
      </c>
      <c r="C2482" s="1">
        <v>41247</v>
      </c>
      <c r="D2482" s="1">
        <v>41247</v>
      </c>
      <c r="E2482">
        <v>4845</v>
      </c>
      <c r="F2482" t="s">
        <v>280</v>
      </c>
      <c r="G2482" t="s">
        <v>16</v>
      </c>
      <c r="H2482" t="s">
        <v>2421</v>
      </c>
      <c r="I2482">
        <v>1.1121000000000001</v>
      </c>
      <c r="J2482">
        <v>47522.25</v>
      </c>
      <c r="K2482">
        <v>42731.993525762075</v>
      </c>
    </row>
    <row r="2483" spans="1:11" x14ac:dyDescent="0.25">
      <c r="A2483" t="s">
        <v>817</v>
      </c>
      <c r="B2483" t="s">
        <v>818</v>
      </c>
      <c r="C2483" s="1">
        <v>41258</v>
      </c>
      <c r="D2483" s="1">
        <v>41258</v>
      </c>
      <c r="E2483">
        <v>5498</v>
      </c>
      <c r="F2483" t="s">
        <v>301</v>
      </c>
      <c r="G2483" t="s">
        <v>16</v>
      </c>
      <c r="H2483" t="s">
        <v>5790</v>
      </c>
      <c r="I2483">
        <v>2.0840000000000001</v>
      </c>
      <c r="J2483">
        <v>7085</v>
      </c>
      <c r="K2483">
        <v>3399.7120921305182</v>
      </c>
    </row>
    <row r="2484" spans="1:11" x14ac:dyDescent="0.25">
      <c r="A2484" t="s">
        <v>835</v>
      </c>
      <c r="B2484" t="s">
        <v>836</v>
      </c>
      <c r="C2484" s="1">
        <v>41295</v>
      </c>
      <c r="D2484" s="1">
        <v>41298</v>
      </c>
      <c r="E2484">
        <v>11334</v>
      </c>
      <c r="F2484" t="s">
        <v>331</v>
      </c>
      <c r="G2484" t="s">
        <v>16</v>
      </c>
      <c r="H2484" t="s">
        <v>2422</v>
      </c>
      <c r="I2484">
        <v>2.0440999999999998</v>
      </c>
      <c r="J2484">
        <v>62485.15</v>
      </c>
      <c r="K2484">
        <v>30568.538721197594</v>
      </c>
    </row>
    <row r="2485" spans="1:11" x14ac:dyDescent="0.25">
      <c r="A2485" t="s">
        <v>835</v>
      </c>
      <c r="B2485" t="s">
        <v>836</v>
      </c>
      <c r="C2485" s="1">
        <v>41295</v>
      </c>
      <c r="D2485" s="1">
        <v>41298</v>
      </c>
      <c r="E2485">
        <v>11334</v>
      </c>
      <c r="F2485" t="s">
        <v>331</v>
      </c>
      <c r="G2485" t="s">
        <v>16</v>
      </c>
      <c r="H2485" t="s">
        <v>5791</v>
      </c>
      <c r="I2485">
        <v>2.0440999999999998</v>
      </c>
      <c r="J2485">
        <v>63050.7</v>
      </c>
      <c r="K2485">
        <v>30845.213052199011</v>
      </c>
    </row>
    <row r="2486" spans="1:11" x14ac:dyDescent="0.25">
      <c r="A2486" t="s">
        <v>825</v>
      </c>
      <c r="B2486" t="s">
        <v>826</v>
      </c>
      <c r="C2486" s="1">
        <v>41284</v>
      </c>
      <c r="D2486" s="1">
        <v>41290</v>
      </c>
      <c r="E2486">
        <v>11411</v>
      </c>
      <c r="F2486" t="s">
        <v>331</v>
      </c>
      <c r="G2486" t="s">
        <v>16</v>
      </c>
      <c r="H2486" t="s">
        <v>2423</v>
      </c>
      <c r="I2486">
        <v>2.0417000000000001</v>
      </c>
      <c r="J2486">
        <v>44464.75</v>
      </c>
      <c r="K2486">
        <v>21778.297497183721</v>
      </c>
    </row>
    <row r="2487" spans="1:11" x14ac:dyDescent="0.25">
      <c r="A2487" t="s">
        <v>838</v>
      </c>
      <c r="B2487" t="s">
        <v>839</v>
      </c>
      <c r="C2487" s="1">
        <v>41270</v>
      </c>
      <c r="D2487" s="1">
        <v>41276</v>
      </c>
      <c r="E2487">
        <v>11333</v>
      </c>
      <c r="F2487" t="s">
        <v>331</v>
      </c>
      <c r="G2487" t="s">
        <v>16</v>
      </c>
      <c r="H2487" t="s">
        <v>5792</v>
      </c>
      <c r="I2487">
        <v>2.0569000000000002</v>
      </c>
      <c r="J2487">
        <v>68140.69</v>
      </c>
      <c r="K2487">
        <v>33127.857455394042</v>
      </c>
    </row>
    <row r="2488" spans="1:11" x14ac:dyDescent="0.25">
      <c r="A2488" t="s">
        <v>774</v>
      </c>
      <c r="B2488" t="s">
        <v>775</v>
      </c>
      <c r="C2488" s="1">
        <v>41258</v>
      </c>
      <c r="D2488" s="1">
        <v>41277</v>
      </c>
      <c r="E2488">
        <v>4826</v>
      </c>
      <c r="F2488" t="s">
        <v>311</v>
      </c>
      <c r="G2488" t="s">
        <v>16</v>
      </c>
      <c r="H2488" t="s">
        <v>2424</v>
      </c>
      <c r="I2488">
        <v>2.0840000000000001</v>
      </c>
      <c r="J2488">
        <v>450538.66</v>
      </c>
      <c r="K2488">
        <v>216189.37619961612</v>
      </c>
    </row>
    <row r="2489" spans="1:11" x14ac:dyDescent="0.25">
      <c r="A2489" t="s">
        <v>821</v>
      </c>
      <c r="B2489" t="s">
        <v>822</v>
      </c>
      <c r="C2489" s="1">
        <v>41290</v>
      </c>
      <c r="D2489" s="1">
        <v>41292</v>
      </c>
      <c r="E2489">
        <v>11833</v>
      </c>
      <c r="F2489" t="s">
        <v>331</v>
      </c>
      <c r="G2489" t="s">
        <v>16</v>
      </c>
      <c r="H2489" t="s">
        <v>2425</v>
      </c>
      <c r="I2489">
        <v>2.0373999999999999</v>
      </c>
      <c r="J2489">
        <v>72161.009999999995</v>
      </c>
      <c r="K2489">
        <v>35418.184941592226</v>
      </c>
    </row>
    <row r="2490" spans="1:11" x14ac:dyDescent="0.25">
      <c r="A2490" t="s">
        <v>821</v>
      </c>
      <c r="B2490" t="s">
        <v>822</v>
      </c>
      <c r="C2490" s="1">
        <v>41286</v>
      </c>
      <c r="D2490" s="1">
        <v>41291</v>
      </c>
      <c r="E2490">
        <v>11833</v>
      </c>
      <c r="F2490" t="s">
        <v>331</v>
      </c>
      <c r="G2490" t="s">
        <v>16</v>
      </c>
      <c r="H2490" t="s">
        <v>2426</v>
      </c>
      <c r="I2490">
        <v>2.0341</v>
      </c>
      <c r="J2490">
        <v>51994.29</v>
      </c>
      <c r="K2490">
        <v>25561.324418661818</v>
      </c>
    </row>
    <row r="2491" spans="1:11" x14ac:dyDescent="0.25">
      <c r="A2491" t="s">
        <v>832</v>
      </c>
      <c r="B2491" t="s">
        <v>144</v>
      </c>
      <c r="C2491" s="1">
        <v>41264</v>
      </c>
      <c r="D2491" s="1">
        <v>41277</v>
      </c>
      <c r="E2491">
        <v>4889</v>
      </c>
      <c r="F2491" t="s">
        <v>318</v>
      </c>
      <c r="G2491" t="s">
        <v>16</v>
      </c>
      <c r="H2491" t="s">
        <v>5793</v>
      </c>
      <c r="I2491">
        <v>2.0653999999999999</v>
      </c>
      <c r="J2491">
        <v>41286.71</v>
      </c>
      <c r="K2491">
        <v>19989.692069332817</v>
      </c>
    </row>
    <row r="2492" spans="1:11" x14ac:dyDescent="0.25">
      <c r="A2492" t="s">
        <v>835</v>
      </c>
      <c r="B2492" t="s">
        <v>836</v>
      </c>
      <c r="C2492" s="1">
        <v>41296</v>
      </c>
      <c r="D2492" s="1">
        <v>41298</v>
      </c>
      <c r="E2492">
        <v>11334</v>
      </c>
      <c r="F2492" t="s">
        <v>331</v>
      </c>
      <c r="G2492" t="s">
        <v>16</v>
      </c>
      <c r="H2492" t="s">
        <v>5794</v>
      </c>
      <c r="I2492">
        <v>2.0419999999999998</v>
      </c>
      <c r="J2492">
        <v>63324.91</v>
      </c>
      <c r="K2492">
        <v>31011.219392752202</v>
      </c>
    </row>
    <row r="2493" spans="1:11" x14ac:dyDescent="0.25">
      <c r="A2493" t="s">
        <v>774</v>
      </c>
      <c r="B2493" t="s">
        <v>775</v>
      </c>
      <c r="C2493" s="1">
        <v>41260</v>
      </c>
      <c r="D2493" s="1">
        <v>41277</v>
      </c>
      <c r="E2493">
        <v>4826</v>
      </c>
      <c r="F2493" t="s">
        <v>311</v>
      </c>
      <c r="G2493" t="s">
        <v>16</v>
      </c>
      <c r="H2493" t="s">
        <v>5795</v>
      </c>
      <c r="I2493">
        <v>2.0840000000000001</v>
      </c>
      <c r="J2493">
        <v>373711.96</v>
      </c>
      <c r="K2493">
        <v>179324.35700575815</v>
      </c>
    </row>
    <row r="2494" spans="1:11" x14ac:dyDescent="0.25">
      <c r="A2494" t="s">
        <v>799</v>
      </c>
      <c r="B2494" t="s">
        <v>800</v>
      </c>
      <c r="C2494" s="1">
        <v>41260</v>
      </c>
      <c r="D2494" s="1">
        <v>41272</v>
      </c>
      <c r="E2494">
        <v>4856</v>
      </c>
      <c r="F2494" t="s">
        <v>301</v>
      </c>
      <c r="G2494" t="s">
        <v>16</v>
      </c>
      <c r="H2494" t="s">
        <v>5796</v>
      </c>
      <c r="I2494">
        <v>2.0840000000000001</v>
      </c>
      <c r="J2494">
        <v>129141.4</v>
      </c>
      <c r="K2494">
        <v>61968.042226487523</v>
      </c>
    </row>
    <row r="2495" spans="1:11" x14ac:dyDescent="0.25">
      <c r="A2495" t="s">
        <v>821</v>
      </c>
      <c r="B2495" t="s">
        <v>822</v>
      </c>
      <c r="C2495" s="1">
        <v>41290</v>
      </c>
      <c r="D2495" s="1">
        <v>41293</v>
      </c>
      <c r="E2495">
        <v>11833</v>
      </c>
      <c r="F2495" t="s">
        <v>331</v>
      </c>
      <c r="G2495" t="s">
        <v>16</v>
      </c>
      <c r="H2495" t="s">
        <v>5797</v>
      </c>
      <c r="I2495">
        <v>2.0373999999999999</v>
      </c>
      <c r="J2495">
        <v>70382</v>
      </c>
      <c r="K2495">
        <v>34545.008343967806</v>
      </c>
    </row>
    <row r="2496" spans="1:11" x14ac:dyDescent="0.25">
      <c r="A2496" t="s">
        <v>838</v>
      </c>
      <c r="B2496" t="s">
        <v>839</v>
      </c>
      <c r="C2496" s="1">
        <v>41264</v>
      </c>
      <c r="D2496" s="1">
        <v>41277</v>
      </c>
      <c r="E2496">
        <v>11333</v>
      </c>
      <c r="F2496" t="s">
        <v>331</v>
      </c>
      <c r="G2496" t="s">
        <v>16</v>
      </c>
      <c r="H2496" t="s">
        <v>5798</v>
      </c>
      <c r="I2496">
        <v>2.0653999999999999</v>
      </c>
      <c r="J2496">
        <v>63513.43</v>
      </c>
      <c r="K2496">
        <v>30751.152319163357</v>
      </c>
    </row>
    <row r="2497" spans="1:11" x14ac:dyDescent="0.25">
      <c r="A2497" t="s">
        <v>821</v>
      </c>
      <c r="B2497" t="s">
        <v>822</v>
      </c>
      <c r="C2497" s="1">
        <v>41291</v>
      </c>
      <c r="D2497" s="1">
        <v>41293</v>
      </c>
      <c r="E2497">
        <v>11833</v>
      </c>
      <c r="F2497" t="s">
        <v>331</v>
      </c>
      <c r="G2497" t="s">
        <v>16</v>
      </c>
      <c r="H2497" t="s">
        <v>2427</v>
      </c>
      <c r="I2497">
        <v>2.0409000000000002</v>
      </c>
      <c r="J2497">
        <v>70632.179999999993</v>
      </c>
      <c r="K2497">
        <v>34608.349257680435</v>
      </c>
    </row>
    <row r="2498" spans="1:11" x14ac:dyDescent="0.25">
      <c r="A2498" t="s">
        <v>821</v>
      </c>
      <c r="B2498" t="s">
        <v>822</v>
      </c>
      <c r="C2498" s="1">
        <v>41291</v>
      </c>
      <c r="D2498" s="1">
        <v>41293</v>
      </c>
      <c r="E2498">
        <v>11833</v>
      </c>
      <c r="F2498" t="s">
        <v>331</v>
      </c>
      <c r="G2498" t="s">
        <v>16</v>
      </c>
      <c r="H2498" t="s">
        <v>5799</v>
      </c>
      <c r="I2498">
        <v>2.0409000000000002</v>
      </c>
      <c r="J2498">
        <v>72216.61</v>
      </c>
      <c r="K2498">
        <v>35384.688127786758</v>
      </c>
    </row>
    <row r="2499" spans="1:11" x14ac:dyDescent="0.25">
      <c r="A2499" t="s">
        <v>821</v>
      </c>
      <c r="B2499" t="s">
        <v>822</v>
      </c>
      <c r="C2499" s="1">
        <v>41291</v>
      </c>
      <c r="D2499" s="1">
        <v>41293</v>
      </c>
      <c r="E2499">
        <v>11833</v>
      </c>
      <c r="F2499" t="s">
        <v>331</v>
      </c>
      <c r="G2499" t="s">
        <v>16</v>
      </c>
      <c r="H2499" t="s">
        <v>5800</v>
      </c>
      <c r="I2499">
        <v>2.0409000000000002</v>
      </c>
      <c r="J2499">
        <v>70854.55</v>
      </c>
      <c r="K2499">
        <v>34717.306090450293</v>
      </c>
    </row>
    <row r="2500" spans="1:11" x14ac:dyDescent="0.25">
      <c r="A2500" t="s">
        <v>825</v>
      </c>
      <c r="B2500" t="s">
        <v>826</v>
      </c>
      <c r="C2500" s="1">
        <v>41265</v>
      </c>
      <c r="D2500" s="1">
        <v>41272</v>
      </c>
      <c r="E2500">
        <v>11411</v>
      </c>
      <c r="F2500" t="s">
        <v>331</v>
      </c>
      <c r="G2500" t="s">
        <v>16</v>
      </c>
      <c r="H2500" t="s">
        <v>2428</v>
      </c>
      <c r="I2500">
        <v>2.0758000000000001</v>
      </c>
      <c r="J2500">
        <v>44464.75</v>
      </c>
      <c r="K2500">
        <v>21420.536660564601</v>
      </c>
    </row>
    <row r="2501" spans="1:11" x14ac:dyDescent="0.25">
      <c r="A2501" t="s">
        <v>835</v>
      </c>
      <c r="B2501" t="s">
        <v>836</v>
      </c>
      <c r="C2501" s="1">
        <v>41293</v>
      </c>
      <c r="D2501" s="1">
        <v>41296</v>
      </c>
      <c r="E2501">
        <v>11334</v>
      </c>
      <c r="F2501" t="s">
        <v>331</v>
      </c>
      <c r="G2501" t="s">
        <v>16</v>
      </c>
      <c r="H2501" t="s">
        <v>2429</v>
      </c>
      <c r="I2501">
        <v>2.0440999999999998</v>
      </c>
      <c r="J2501">
        <v>63821.91</v>
      </c>
      <c r="K2501">
        <v>31222.498899271071</v>
      </c>
    </row>
    <row r="2502" spans="1:11" x14ac:dyDescent="0.25">
      <c r="A2502" t="s">
        <v>1453</v>
      </c>
      <c r="B2502" t="s">
        <v>1454</v>
      </c>
      <c r="C2502" s="1">
        <v>41291</v>
      </c>
      <c r="D2502" s="1">
        <v>41295</v>
      </c>
      <c r="E2502">
        <v>8781</v>
      </c>
      <c r="F2502" t="s">
        <v>309</v>
      </c>
      <c r="G2502" t="s">
        <v>16</v>
      </c>
      <c r="H2502" t="s">
        <v>2430</v>
      </c>
      <c r="I2502">
        <v>2.0409000000000002</v>
      </c>
      <c r="J2502">
        <v>61754.94</v>
      </c>
      <c r="K2502">
        <v>30258.679994120241</v>
      </c>
    </row>
    <row r="2503" spans="1:11" x14ac:dyDescent="0.25">
      <c r="A2503" t="s">
        <v>838</v>
      </c>
      <c r="B2503" t="s">
        <v>839</v>
      </c>
      <c r="C2503" s="1">
        <v>41264</v>
      </c>
      <c r="D2503" s="1">
        <v>41270</v>
      </c>
      <c r="E2503">
        <v>11333</v>
      </c>
      <c r="F2503" t="s">
        <v>331</v>
      </c>
      <c r="G2503" t="s">
        <v>16</v>
      </c>
      <c r="H2503" t="s">
        <v>2431</v>
      </c>
      <c r="I2503">
        <v>2.0653999999999999</v>
      </c>
      <c r="J2503">
        <v>62776.49</v>
      </c>
      <c r="K2503">
        <v>30394.349762757818</v>
      </c>
    </row>
    <row r="2504" spans="1:11" x14ac:dyDescent="0.25">
      <c r="A2504" t="s">
        <v>838</v>
      </c>
      <c r="B2504" t="s">
        <v>839</v>
      </c>
      <c r="C2504" s="1">
        <v>41264</v>
      </c>
      <c r="D2504" s="1">
        <v>41270</v>
      </c>
      <c r="E2504">
        <v>11333</v>
      </c>
      <c r="F2504" t="s">
        <v>331</v>
      </c>
      <c r="G2504" t="s">
        <v>16</v>
      </c>
      <c r="H2504" t="s">
        <v>2432</v>
      </c>
      <c r="I2504">
        <v>2.0653999999999999</v>
      </c>
      <c r="J2504">
        <v>63462.01</v>
      </c>
      <c r="K2504">
        <v>30726.256415222233</v>
      </c>
    </row>
    <row r="2505" spans="1:11" x14ac:dyDescent="0.25">
      <c r="A2505" t="s">
        <v>821</v>
      </c>
      <c r="B2505" t="s">
        <v>822</v>
      </c>
      <c r="C2505" s="1">
        <v>41286</v>
      </c>
      <c r="D2505" s="1">
        <v>41289</v>
      </c>
      <c r="E2505">
        <v>11833</v>
      </c>
      <c r="F2505" t="s">
        <v>331</v>
      </c>
      <c r="G2505" t="s">
        <v>16</v>
      </c>
      <c r="H2505" t="s">
        <v>2433</v>
      </c>
      <c r="I2505">
        <v>2.0341</v>
      </c>
      <c r="J2505">
        <v>70076.240000000005</v>
      </c>
      <c r="K2505">
        <v>34450.734968782264</v>
      </c>
    </row>
    <row r="2506" spans="1:11" x14ac:dyDescent="0.25">
      <c r="A2506" t="s">
        <v>821</v>
      </c>
      <c r="B2506" t="s">
        <v>822</v>
      </c>
      <c r="C2506" s="1">
        <v>41286</v>
      </c>
      <c r="D2506" s="1">
        <v>41289</v>
      </c>
      <c r="E2506">
        <v>11833</v>
      </c>
      <c r="F2506" t="s">
        <v>331</v>
      </c>
      <c r="G2506" t="s">
        <v>16</v>
      </c>
      <c r="H2506" t="s">
        <v>2434</v>
      </c>
      <c r="I2506">
        <v>2.0341</v>
      </c>
      <c r="J2506">
        <v>69895.56</v>
      </c>
      <c r="K2506">
        <v>34361.909443980141</v>
      </c>
    </row>
    <row r="2507" spans="1:11" x14ac:dyDescent="0.25">
      <c r="A2507" t="s">
        <v>838</v>
      </c>
      <c r="B2507" t="s">
        <v>839</v>
      </c>
      <c r="C2507" s="1">
        <v>41265</v>
      </c>
      <c r="D2507" s="1">
        <v>41270</v>
      </c>
      <c r="E2507">
        <v>11333</v>
      </c>
      <c r="F2507" t="s">
        <v>331</v>
      </c>
      <c r="G2507" t="s">
        <v>16</v>
      </c>
      <c r="H2507" t="s">
        <v>5801</v>
      </c>
      <c r="I2507">
        <v>2.0758000000000001</v>
      </c>
      <c r="J2507">
        <v>63290.63</v>
      </c>
      <c r="K2507">
        <v>30489.753348106755</v>
      </c>
    </row>
    <row r="2508" spans="1:11" x14ac:dyDescent="0.25">
      <c r="A2508" t="s">
        <v>838</v>
      </c>
      <c r="B2508" t="s">
        <v>839</v>
      </c>
      <c r="C2508" s="1">
        <v>41265</v>
      </c>
      <c r="D2508" s="1">
        <v>41270</v>
      </c>
      <c r="E2508">
        <v>11333</v>
      </c>
      <c r="F2508" t="s">
        <v>331</v>
      </c>
      <c r="G2508" t="s">
        <v>16</v>
      </c>
      <c r="H2508" t="s">
        <v>5802</v>
      </c>
      <c r="I2508">
        <v>2.0758000000000001</v>
      </c>
      <c r="J2508">
        <v>63170.67</v>
      </c>
      <c r="K2508">
        <v>30431.963580306387</v>
      </c>
    </row>
    <row r="2509" spans="1:11" x14ac:dyDescent="0.25">
      <c r="A2509" t="s">
        <v>835</v>
      </c>
      <c r="B2509" t="s">
        <v>836</v>
      </c>
      <c r="C2509" s="1">
        <v>41293</v>
      </c>
      <c r="D2509" s="1">
        <v>41295</v>
      </c>
      <c r="E2509">
        <v>11334</v>
      </c>
      <c r="F2509" t="s">
        <v>331</v>
      </c>
      <c r="G2509" t="s">
        <v>16</v>
      </c>
      <c r="H2509" t="s">
        <v>2435</v>
      </c>
      <c r="I2509">
        <v>2.0440999999999998</v>
      </c>
      <c r="J2509">
        <v>63787.64</v>
      </c>
      <c r="K2509">
        <v>31205.733574678343</v>
      </c>
    </row>
    <row r="2510" spans="1:11" x14ac:dyDescent="0.25">
      <c r="A2510" t="s">
        <v>835</v>
      </c>
      <c r="B2510" t="s">
        <v>836</v>
      </c>
      <c r="C2510" s="1">
        <v>41293</v>
      </c>
      <c r="D2510" s="1">
        <v>41295</v>
      </c>
      <c r="E2510">
        <v>11334</v>
      </c>
      <c r="F2510" t="s">
        <v>331</v>
      </c>
      <c r="G2510" t="s">
        <v>16</v>
      </c>
      <c r="H2510" t="s">
        <v>5803</v>
      </c>
      <c r="I2510">
        <v>2.0440999999999998</v>
      </c>
      <c r="J2510">
        <v>61679.66</v>
      </c>
      <c r="K2510">
        <v>30174.482657404238</v>
      </c>
    </row>
    <row r="2511" spans="1:11" x14ac:dyDescent="0.25">
      <c r="A2511" t="s">
        <v>852</v>
      </c>
      <c r="B2511" t="s">
        <v>853</v>
      </c>
      <c r="C2511" s="1">
        <v>41312</v>
      </c>
      <c r="D2511" s="1">
        <v>41316</v>
      </c>
      <c r="E2511">
        <v>11335</v>
      </c>
      <c r="F2511" t="s">
        <v>331</v>
      </c>
      <c r="G2511" t="s">
        <v>16</v>
      </c>
      <c r="H2511" t="s">
        <v>5804</v>
      </c>
      <c r="I2511">
        <v>1.9883999999999999</v>
      </c>
      <c r="J2511">
        <v>45557.82</v>
      </c>
      <c r="K2511">
        <v>22911.798430899216</v>
      </c>
    </row>
    <row r="2512" spans="1:11" x14ac:dyDescent="0.25">
      <c r="A2512" t="s">
        <v>852</v>
      </c>
      <c r="B2512" t="s">
        <v>853</v>
      </c>
      <c r="C2512" s="1">
        <v>41311</v>
      </c>
      <c r="D2512" s="1">
        <v>41316</v>
      </c>
      <c r="E2512">
        <v>11335</v>
      </c>
      <c r="F2512" t="s">
        <v>331</v>
      </c>
      <c r="G2512" t="s">
        <v>16</v>
      </c>
      <c r="H2512" t="s">
        <v>5805</v>
      </c>
      <c r="I2512">
        <v>1.9881</v>
      </c>
      <c r="J2512">
        <v>48346.3</v>
      </c>
      <c r="K2512">
        <v>24317.841154871487</v>
      </c>
    </row>
    <row r="2513" spans="1:11" x14ac:dyDescent="0.25">
      <c r="A2513" t="s">
        <v>852</v>
      </c>
      <c r="B2513" t="s">
        <v>853</v>
      </c>
      <c r="C2513" s="1">
        <v>41311</v>
      </c>
      <c r="D2513" s="1">
        <v>41316</v>
      </c>
      <c r="E2513">
        <v>11335</v>
      </c>
      <c r="F2513" t="s">
        <v>331</v>
      </c>
      <c r="G2513" t="s">
        <v>16</v>
      </c>
      <c r="H2513" t="s">
        <v>5806</v>
      </c>
      <c r="I2513">
        <v>1.9881</v>
      </c>
      <c r="J2513">
        <v>41595.18</v>
      </c>
      <c r="K2513">
        <v>20922.076354308134</v>
      </c>
    </row>
    <row r="2514" spans="1:11" x14ac:dyDescent="0.25">
      <c r="A2514" t="s">
        <v>852</v>
      </c>
      <c r="B2514" t="s">
        <v>853</v>
      </c>
      <c r="C2514" s="1">
        <v>41312</v>
      </c>
      <c r="D2514" s="1">
        <v>41318</v>
      </c>
      <c r="E2514">
        <v>11335</v>
      </c>
      <c r="F2514" t="s">
        <v>331</v>
      </c>
      <c r="G2514" t="s">
        <v>16</v>
      </c>
      <c r="H2514" t="s">
        <v>5807</v>
      </c>
      <c r="I2514">
        <v>1.9883999999999999</v>
      </c>
      <c r="J2514">
        <v>46836.9</v>
      </c>
      <c r="K2514">
        <v>23555.0694025347</v>
      </c>
    </row>
    <row r="2515" spans="1:11" x14ac:dyDescent="0.25">
      <c r="A2515" t="s">
        <v>852</v>
      </c>
      <c r="B2515" t="s">
        <v>853</v>
      </c>
      <c r="C2515" s="1">
        <v>41312</v>
      </c>
      <c r="D2515" s="1">
        <v>41318</v>
      </c>
      <c r="E2515">
        <v>11335</v>
      </c>
      <c r="F2515" t="s">
        <v>331</v>
      </c>
      <c r="G2515" t="s">
        <v>16</v>
      </c>
      <c r="H2515" t="s">
        <v>444</v>
      </c>
      <c r="I2515">
        <v>1.9883999999999999</v>
      </c>
      <c r="J2515">
        <v>46435.62</v>
      </c>
      <c r="K2515">
        <v>23353.258901629451</v>
      </c>
    </row>
    <row r="2516" spans="1:11" x14ac:dyDescent="0.25">
      <c r="A2516" t="s">
        <v>848</v>
      </c>
      <c r="B2516" t="s">
        <v>849</v>
      </c>
      <c r="C2516" s="1">
        <v>41310</v>
      </c>
      <c r="D2516" s="1">
        <v>41314</v>
      </c>
      <c r="E2516">
        <v>11834</v>
      </c>
      <c r="F2516" t="s">
        <v>331</v>
      </c>
      <c r="G2516" t="s">
        <v>16</v>
      </c>
      <c r="H2516" t="s">
        <v>5808</v>
      </c>
      <c r="I2516">
        <v>1.9893000000000001</v>
      </c>
      <c r="J2516">
        <v>37109.730000000003</v>
      </c>
      <c r="K2516">
        <v>18654.667470969689</v>
      </c>
    </row>
    <row r="2517" spans="1:11" x14ac:dyDescent="0.25">
      <c r="A2517" t="s">
        <v>848</v>
      </c>
      <c r="B2517" t="s">
        <v>849</v>
      </c>
      <c r="C2517" s="1">
        <v>41309</v>
      </c>
      <c r="D2517" s="1">
        <v>41314</v>
      </c>
      <c r="E2517">
        <v>11834</v>
      </c>
      <c r="F2517" t="s">
        <v>331</v>
      </c>
      <c r="G2517" t="s">
        <v>16</v>
      </c>
      <c r="H2517" t="s">
        <v>5809</v>
      </c>
      <c r="I2517">
        <v>1.9843</v>
      </c>
      <c r="J2517">
        <v>36025.120000000003</v>
      </c>
      <c r="K2517">
        <v>18155.077357254446</v>
      </c>
    </row>
    <row r="2518" spans="1:11" x14ac:dyDescent="0.25">
      <c r="A2518" t="s">
        <v>848</v>
      </c>
      <c r="B2518" t="s">
        <v>849</v>
      </c>
      <c r="C2518" s="1">
        <v>41310</v>
      </c>
      <c r="D2518" s="1">
        <v>41314</v>
      </c>
      <c r="E2518">
        <v>11834</v>
      </c>
      <c r="F2518" t="s">
        <v>331</v>
      </c>
      <c r="G2518" t="s">
        <v>16</v>
      </c>
      <c r="H2518" t="s">
        <v>2436</v>
      </c>
      <c r="I2518">
        <v>1.9893000000000001</v>
      </c>
      <c r="J2518">
        <v>37059.040000000001</v>
      </c>
      <c r="K2518">
        <v>18629.18614588046</v>
      </c>
    </row>
    <row r="2519" spans="1:11" x14ac:dyDescent="0.25">
      <c r="A2519" t="s">
        <v>848</v>
      </c>
      <c r="B2519" t="s">
        <v>849</v>
      </c>
      <c r="C2519" s="1">
        <v>41310</v>
      </c>
      <c r="D2519" s="1">
        <v>41317</v>
      </c>
      <c r="E2519">
        <v>11834</v>
      </c>
      <c r="F2519" t="s">
        <v>331</v>
      </c>
      <c r="G2519" t="s">
        <v>16</v>
      </c>
      <c r="H2519" t="s">
        <v>5810</v>
      </c>
      <c r="I2519">
        <v>1.9893000000000001</v>
      </c>
      <c r="J2519">
        <v>37646.959999999999</v>
      </c>
      <c r="K2519">
        <v>18924.727291006886</v>
      </c>
    </row>
    <row r="2520" spans="1:11" x14ac:dyDescent="0.25">
      <c r="A2520" t="s">
        <v>852</v>
      </c>
      <c r="B2520" t="s">
        <v>853</v>
      </c>
      <c r="C2520" s="1">
        <v>41311</v>
      </c>
      <c r="D2520" s="1">
        <v>41318</v>
      </c>
      <c r="E2520">
        <v>11335</v>
      </c>
      <c r="F2520" t="s">
        <v>331</v>
      </c>
      <c r="G2520" t="s">
        <v>16</v>
      </c>
      <c r="H2520" t="s">
        <v>2437</v>
      </c>
      <c r="I2520">
        <v>1.9881</v>
      </c>
      <c r="J2520">
        <v>49123.78</v>
      </c>
      <c r="K2520">
        <v>24708.908002615564</v>
      </c>
    </row>
    <row r="2521" spans="1:11" x14ac:dyDescent="0.25">
      <c r="A2521" t="s">
        <v>848</v>
      </c>
      <c r="B2521" t="s">
        <v>849</v>
      </c>
      <c r="C2521" s="1">
        <v>41310</v>
      </c>
      <c r="D2521" s="1">
        <v>41316</v>
      </c>
      <c r="E2521">
        <v>11834</v>
      </c>
      <c r="F2521" t="s">
        <v>331</v>
      </c>
      <c r="G2521" t="s">
        <v>16</v>
      </c>
      <c r="H2521" t="s">
        <v>5811</v>
      </c>
      <c r="I2521">
        <v>1.9893000000000001</v>
      </c>
      <c r="J2521">
        <v>23729.55</v>
      </c>
      <c r="K2521">
        <v>11928.592972402352</v>
      </c>
    </row>
    <row r="2522" spans="1:11" x14ac:dyDescent="0.25">
      <c r="A2522" t="s">
        <v>852</v>
      </c>
      <c r="B2522" t="s">
        <v>853</v>
      </c>
      <c r="C2522" s="1">
        <v>41311</v>
      </c>
      <c r="D2522" s="1">
        <v>41316</v>
      </c>
      <c r="E2522">
        <v>11335</v>
      </c>
      <c r="F2522" t="s">
        <v>331</v>
      </c>
      <c r="G2522" t="s">
        <v>16</v>
      </c>
      <c r="H2522" t="s">
        <v>2438</v>
      </c>
      <c r="I2522">
        <v>1.9881</v>
      </c>
      <c r="J2522">
        <v>46510.86</v>
      </c>
      <c r="K2522">
        <v>23394.628036819075</v>
      </c>
    </row>
    <row r="2523" spans="1:11" x14ac:dyDescent="0.25">
      <c r="A2523" t="s">
        <v>852</v>
      </c>
      <c r="B2523" t="s">
        <v>853</v>
      </c>
      <c r="C2523" s="1">
        <v>41313</v>
      </c>
      <c r="D2523" s="1">
        <v>41320</v>
      </c>
      <c r="E2523">
        <v>11335</v>
      </c>
      <c r="F2523" t="s">
        <v>331</v>
      </c>
      <c r="G2523" t="s">
        <v>16</v>
      </c>
      <c r="H2523" t="s">
        <v>5812</v>
      </c>
      <c r="I2523">
        <v>1.9789000000000001</v>
      </c>
      <c r="J2523">
        <v>48657.29</v>
      </c>
      <c r="K2523">
        <v>24588.048916064479</v>
      </c>
    </row>
    <row r="2524" spans="1:11" x14ac:dyDescent="0.25">
      <c r="A2524" t="s">
        <v>852</v>
      </c>
      <c r="B2524" t="s">
        <v>853</v>
      </c>
      <c r="C2524" s="1">
        <v>41312</v>
      </c>
      <c r="D2524" s="1">
        <v>41320</v>
      </c>
      <c r="E2524">
        <v>11335</v>
      </c>
      <c r="F2524" t="s">
        <v>331</v>
      </c>
      <c r="G2524" t="s">
        <v>16</v>
      </c>
      <c r="H2524" t="s">
        <v>2439</v>
      </c>
      <c r="I2524">
        <v>1.9883999999999999</v>
      </c>
      <c r="J2524">
        <v>45269.4</v>
      </c>
      <c r="K2524">
        <v>22766.747133373567</v>
      </c>
    </row>
    <row r="2525" spans="1:11" x14ac:dyDescent="0.25">
      <c r="A2525" t="s">
        <v>852</v>
      </c>
      <c r="B2525" t="s">
        <v>853</v>
      </c>
      <c r="C2525" s="1">
        <v>41312</v>
      </c>
      <c r="D2525" s="1">
        <v>41317</v>
      </c>
      <c r="E2525">
        <v>11335</v>
      </c>
      <c r="F2525" t="s">
        <v>331</v>
      </c>
      <c r="G2525" t="s">
        <v>16</v>
      </c>
      <c r="H2525" t="s">
        <v>5813</v>
      </c>
      <c r="I2525">
        <v>1.9883999999999999</v>
      </c>
      <c r="J2525">
        <v>48100.1</v>
      </c>
      <c r="K2525">
        <v>24190.35405351036</v>
      </c>
    </row>
    <row r="2526" spans="1:11" x14ac:dyDescent="0.25">
      <c r="A2526" t="s">
        <v>852</v>
      </c>
      <c r="B2526" t="s">
        <v>853</v>
      </c>
      <c r="C2526" s="1">
        <v>41313</v>
      </c>
      <c r="D2526" s="1">
        <v>41320</v>
      </c>
      <c r="E2526">
        <v>11335</v>
      </c>
      <c r="F2526" t="s">
        <v>331</v>
      </c>
      <c r="G2526" t="s">
        <v>16</v>
      </c>
      <c r="H2526" t="s">
        <v>2440</v>
      </c>
      <c r="I2526">
        <v>1.9789000000000001</v>
      </c>
      <c r="J2526">
        <v>47685.440000000002</v>
      </c>
      <c r="K2526">
        <v>24096.942745969984</v>
      </c>
    </row>
    <row r="2527" spans="1:11" x14ac:dyDescent="0.25">
      <c r="A2527" t="s">
        <v>852</v>
      </c>
      <c r="B2527" t="s">
        <v>853</v>
      </c>
      <c r="C2527" s="1">
        <v>41313</v>
      </c>
      <c r="D2527" s="1">
        <v>41320</v>
      </c>
      <c r="E2527">
        <v>11335</v>
      </c>
      <c r="F2527" t="s">
        <v>331</v>
      </c>
      <c r="G2527" t="s">
        <v>16</v>
      </c>
      <c r="H2527" t="s">
        <v>5814</v>
      </c>
      <c r="I2527">
        <v>1.9789000000000001</v>
      </c>
      <c r="J2527">
        <v>47802.06</v>
      </c>
      <c r="K2527">
        <v>24155.874475718832</v>
      </c>
    </row>
    <row r="2528" spans="1:11" x14ac:dyDescent="0.25">
      <c r="A2528" t="s">
        <v>832</v>
      </c>
      <c r="B2528" t="s">
        <v>144</v>
      </c>
      <c r="C2528" s="1">
        <v>41304</v>
      </c>
      <c r="D2528" s="1">
        <v>41310</v>
      </c>
      <c r="E2528">
        <v>4889</v>
      </c>
      <c r="F2528" t="s">
        <v>318</v>
      </c>
      <c r="G2528" t="s">
        <v>16</v>
      </c>
      <c r="H2528" t="s">
        <v>5815</v>
      </c>
      <c r="I2528">
        <v>1.9912000000000001</v>
      </c>
      <c r="J2528">
        <v>50216.77</v>
      </c>
      <c r="K2528">
        <v>25219.350140618721</v>
      </c>
    </row>
    <row r="2529" spans="1:11" x14ac:dyDescent="0.25">
      <c r="A2529" t="s">
        <v>852</v>
      </c>
      <c r="B2529" t="s">
        <v>853</v>
      </c>
      <c r="C2529" s="1">
        <v>41315</v>
      </c>
      <c r="D2529" s="1">
        <v>41321</v>
      </c>
      <c r="E2529">
        <v>11335</v>
      </c>
      <c r="F2529" t="s">
        <v>331</v>
      </c>
      <c r="G2529" t="s">
        <v>16</v>
      </c>
      <c r="H2529" t="s">
        <v>2441</v>
      </c>
      <c r="I2529">
        <v>1.9636</v>
      </c>
      <c r="J2529">
        <v>47957.56</v>
      </c>
      <c r="K2529">
        <v>24423.283764514159</v>
      </c>
    </row>
    <row r="2530" spans="1:11" x14ac:dyDescent="0.25">
      <c r="A2530" t="s">
        <v>852</v>
      </c>
      <c r="B2530" t="s">
        <v>853</v>
      </c>
      <c r="C2530" s="1">
        <v>41312</v>
      </c>
      <c r="D2530" s="1">
        <v>41321</v>
      </c>
      <c r="E2530">
        <v>11335</v>
      </c>
      <c r="F2530" t="s">
        <v>331</v>
      </c>
      <c r="G2530" t="s">
        <v>16</v>
      </c>
      <c r="H2530" t="s">
        <v>2442</v>
      </c>
      <c r="I2530">
        <v>1.9883999999999999</v>
      </c>
      <c r="J2530">
        <v>48644.33</v>
      </c>
      <c r="K2530">
        <v>24464.056527861598</v>
      </c>
    </row>
    <row r="2531" spans="1:11" x14ac:dyDescent="0.25">
      <c r="A2531" t="s">
        <v>852</v>
      </c>
      <c r="B2531" t="s">
        <v>853</v>
      </c>
      <c r="C2531" s="1">
        <v>41314</v>
      </c>
      <c r="D2531" s="1">
        <v>41321</v>
      </c>
      <c r="E2531">
        <v>11335</v>
      </c>
      <c r="F2531" t="s">
        <v>331</v>
      </c>
      <c r="G2531" t="s">
        <v>16</v>
      </c>
      <c r="H2531" t="s">
        <v>5816</v>
      </c>
      <c r="I2531">
        <v>1.9636</v>
      </c>
      <c r="J2531">
        <v>48488.84</v>
      </c>
      <c r="K2531">
        <v>24693.848034222858</v>
      </c>
    </row>
    <row r="2532" spans="1:11" x14ac:dyDescent="0.25">
      <c r="A2532" t="s">
        <v>852</v>
      </c>
      <c r="B2532" t="s">
        <v>853</v>
      </c>
      <c r="C2532" s="1">
        <v>41311</v>
      </c>
      <c r="D2532" s="1">
        <v>41321</v>
      </c>
      <c r="E2532">
        <v>11335</v>
      </c>
      <c r="F2532" t="s">
        <v>331</v>
      </c>
      <c r="G2532" t="s">
        <v>16</v>
      </c>
      <c r="H2532" t="s">
        <v>2443</v>
      </c>
      <c r="I2532">
        <v>1.9881</v>
      </c>
      <c r="J2532">
        <v>49097.86</v>
      </c>
      <c r="K2532">
        <v>24695.870429052866</v>
      </c>
    </row>
    <row r="2533" spans="1:11" x14ac:dyDescent="0.25">
      <c r="A2533" t="s">
        <v>852</v>
      </c>
      <c r="B2533" t="s">
        <v>853</v>
      </c>
      <c r="C2533" s="1">
        <v>41315</v>
      </c>
      <c r="D2533" s="1">
        <v>41321</v>
      </c>
      <c r="E2533">
        <v>11335</v>
      </c>
      <c r="F2533" t="s">
        <v>331</v>
      </c>
      <c r="G2533" t="s">
        <v>16</v>
      </c>
      <c r="H2533" t="s">
        <v>5817</v>
      </c>
      <c r="I2533">
        <v>1.9636</v>
      </c>
      <c r="J2533">
        <v>47309.66</v>
      </c>
      <c r="K2533">
        <v>24093.328580158894</v>
      </c>
    </row>
    <row r="2534" spans="1:11" x14ac:dyDescent="0.25">
      <c r="A2534" t="s">
        <v>852</v>
      </c>
      <c r="B2534" t="s">
        <v>853</v>
      </c>
      <c r="C2534" s="1">
        <v>41310</v>
      </c>
      <c r="D2534" s="1">
        <v>41316</v>
      </c>
      <c r="E2534">
        <v>11335</v>
      </c>
      <c r="F2534" t="s">
        <v>331</v>
      </c>
      <c r="G2534" t="s">
        <v>16</v>
      </c>
      <c r="H2534" t="s">
        <v>5818</v>
      </c>
      <c r="I2534">
        <v>1.9893000000000001</v>
      </c>
      <c r="J2534">
        <v>48488.84</v>
      </c>
      <c r="K2534">
        <v>24374.825315437593</v>
      </c>
    </row>
    <row r="2535" spans="1:11" x14ac:dyDescent="0.25">
      <c r="A2535" t="s">
        <v>856</v>
      </c>
      <c r="B2535" t="s">
        <v>857</v>
      </c>
      <c r="C2535" s="1">
        <v>41314</v>
      </c>
      <c r="D2535" s="1">
        <v>41321</v>
      </c>
      <c r="E2535">
        <v>11832</v>
      </c>
      <c r="F2535" t="s">
        <v>331</v>
      </c>
      <c r="G2535" t="s">
        <v>16</v>
      </c>
      <c r="H2535" t="s">
        <v>2444</v>
      </c>
      <c r="I2535">
        <v>1.9636</v>
      </c>
      <c r="J2535">
        <v>48113.05</v>
      </c>
      <c r="K2535">
        <v>24502.46995314728</v>
      </c>
    </row>
    <row r="2536" spans="1:11" x14ac:dyDescent="0.25">
      <c r="A2536" t="s">
        <v>856</v>
      </c>
      <c r="B2536" t="s">
        <v>857</v>
      </c>
      <c r="C2536" s="1">
        <v>41314</v>
      </c>
      <c r="D2536" s="1">
        <v>41321</v>
      </c>
      <c r="E2536">
        <v>11832</v>
      </c>
      <c r="F2536" t="s">
        <v>331</v>
      </c>
      <c r="G2536" t="s">
        <v>16</v>
      </c>
      <c r="H2536" t="s">
        <v>2445</v>
      </c>
      <c r="I2536">
        <v>1.9636</v>
      </c>
      <c r="J2536">
        <v>48553.63</v>
      </c>
      <c r="K2536">
        <v>24726.843552658382</v>
      </c>
    </row>
    <row r="2537" spans="1:11" x14ac:dyDescent="0.25">
      <c r="A2537" t="s">
        <v>856</v>
      </c>
      <c r="B2537" t="s">
        <v>857</v>
      </c>
      <c r="C2537" s="1">
        <v>41316</v>
      </c>
      <c r="D2537" s="1">
        <v>41322</v>
      </c>
      <c r="E2537">
        <v>11832</v>
      </c>
      <c r="F2537" t="s">
        <v>331</v>
      </c>
      <c r="G2537" t="s">
        <v>16</v>
      </c>
      <c r="H2537" t="s">
        <v>2446</v>
      </c>
      <c r="I2537">
        <v>1.9636</v>
      </c>
      <c r="J2537">
        <v>64297.599999999999</v>
      </c>
      <c r="K2537">
        <v>32744.754532491341</v>
      </c>
    </row>
    <row r="2538" spans="1:11" x14ac:dyDescent="0.25">
      <c r="A2538" t="s">
        <v>856</v>
      </c>
      <c r="B2538" t="s">
        <v>857</v>
      </c>
      <c r="C2538" s="1">
        <v>41314</v>
      </c>
      <c r="D2538" s="1">
        <v>41322</v>
      </c>
      <c r="E2538">
        <v>11832</v>
      </c>
      <c r="F2538" t="s">
        <v>331</v>
      </c>
      <c r="G2538" t="s">
        <v>16</v>
      </c>
      <c r="H2538" t="s">
        <v>5819</v>
      </c>
      <c r="I2538">
        <v>1.9636</v>
      </c>
      <c r="J2538">
        <v>47970.52</v>
      </c>
      <c r="K2538">
        <v>24429.883886738644</v>
      </c>
    </row>
    <row r="2539" spans="1:11" x14ac:dyDescent="0.25">
      <c r="A2539" t="s">
        <v>856</v>
      </c>
      <c r="B2539" t="s">
        <v>857</v>
      </c>
      <c r="C2539" s="1">
        <v>41316</v>
      </c>
      <c r="D2539" s="1">
        <v>41322</v>
      </c>
      <c r="E2539">
        <v>11832</v>
      </c>
      <c r="F2539" t="s">
        <v>331</v>
      </c>
      <c r="G2539" t="s">
        <v>16</v>
      </c>
      <c r="H2539" t="s">
        <v>5820</v>
      </c>
      <c r="I2539">
        <v>1.9636</v>
      </c>
      <c r="J2539">
        <v>48916.45</v>
      </c>
      <c r="K2539">
        <v>24911.61641882257</v>
      </c>
    </row>
    <row r="2540" spans="1:11" x14ac:dyDescent="0.25">
      <c r="A2540" t="s">
        <v>856</v>
      </c>
      <c r="B2540" t="s">
        <v>857</v>
      </c>
      <c r="C2540" s="1">
        <v>41314</v>
      </c>
      <c r="D2540" s="1">
        <v>41322</v>
      </c>
      <c r="E2540">
        <v>11832</v>
      </c>
      <c r="F2540" t="s">
        <v>331</v>
      </c>
      <c r="G2540" t="s">
        <v>16</v>
      </c>
      <c r="H2540" t="s">
        <v>5821</v>
      </c>
      <c r="I2540">
        <v>1.9636</v>
      </c>
      <c r="J2540">
        <v>45921.48</v>
      </c>
      <c r="K2540">
        <v>23386.371969851294</v>
      </c>
    </row>
    <row r="2541" spans="1:11" x14ac:dyDescent="0.25">
      <c r="A2541" t="s">
        <v>856</v>
      </c>
      <c r="B2541" t="s">
        <v>857</v>
      </c>
      <c r="C2541" s="1">
        <v>41317</v>
      </c>
      <c r="D2541" s="1">
        <v>41330</v>
      </c>
      <c r="E2541">
        <v>11832</v>
      </c>
      <c r="F2541" t="s">
        <v>331</v>
      </c>
      <c r="G2541" t="s">
        <v>16</v>
      </c>
      <c r="H2541" t="s">
        <v>2447</v>
      </c>
      <c r="I2541">
        <v>1.9636</v>
      </c>
      <c r="J2541">
        <v>46372.92</v>
      </c>
      <c r="K2541">
        <v>23616.276227337545</v>
      </c>
    </row>
    <row r="2542" spans="1:11" x14ac:dyDescent="0.25">
      <c r="A2542" t="s">
        <v>856</v>
      </c>
      <c r="B2542" t="s">
        <v>857</v>
      </c>
      <c r="C2542" s="1">
        <v>41316</v>
      </c>
      <c r="D2542" s="1">
        <v>41324</v>
      </c>
      <c r="E2542">
        <v>11832</v>
      </c>
      <c r="F2542" t="s">
        <v>331</v>
      </c>
      <c r="G2542" t="s">
        <v>16</v>
      </c>
      <c r="H2542" t="s">
        <v>2448</v>
      </c>
      <c r="I2542">
        <v>1.9636</v>
      </c>
      <c r="J2542">
        <v>47931.64</v>
      </c>
      <c r="K2542">
        <v>24410.083520065185</v>
      </c>
    </row>
    <row r="2543" spans="1:11" x14ac:dyDescent="0.25">
      <c r="A2543" t="s">
        <v>1480</v>
      </c>
      <c r="B2543" t="s">
        <v>1481</v>
      </c>
      <c r="C2543" s="1">
        <v>41347</v>
      </c>
      <c r="D2543" s="1">
        <v>41351</v>
      </c>
      <c r="E2543">
        <v>13993</v>
      </c>
      <c r="F2543" t="s">
        <v>331</v>
      </c>
      <c r="G2543" t="s">
        <v>16</v>
      </c>
      <c r="H2543" t="s">
        <v>5822</v>
      </c>
      <c r="I2543">
        <v>1.9619</v>
      </c>
      <c r="J2543">
        <v>44409.47</v>
      </c>
      <c r="K2543">
        <v>22635.949844538456</v>
      </c>
    </row>
    <row r="2544" spans="1:11" x14ac:dyDescent="0.25">
      <c r="A2544" t="s">
        <v>5823</v>
      </c>
      <c r="B2544" t="s">
        <v>5824</v>
      </c>
      <c r="C2544" s="1">
        <v>41346</v>
      </c>
      <c r="D2544" s="1">
        <v>41355</v>
      </c>
      <c r="E2544">
        <v>13634</v>
      </c>
      <c r="F2544" t="s">
        <v>338</v>
      </c>
      <c r="G2544" t="s">
        <v>16</v>
      </c>
      <c r="H2544" t="s">
        <v>514</v>
      </c>
      <c r="I2544">
        <v>1.9584999999999999</v>
      </c>
      <c r="J2544">
        <v>38386.6</v>
      </c>
      <c r="K2544">
        <v>19600</v>
      </c>
    </row>
    <row r="2545" spans="1:11" x14ac:dyDescent="0.25">
      <c r="A2545" t="s">
        <v>1483</v>
      </c>
      <c r="B2545" t="s">
        <v>1484</v>
      </c>
      <c r="C2545" s="1">
        <v>41374</v>
      </c>
      <c r="D2545" s="1">
        <v>41381</v>
      </c>
      <c r="E2545">
        <v>14662</v>
      </c>
      <c r="F2545" t="s">
        <v>887</v>
      </c>
      <c r="G2545" t="s">
        <v>16</v>
      </c>
      <c r="H2545" t="s">
        <v>5825</v>
      </c>
      <c r="I2545">
        <v>1.9861</v>
      </c>
      <c r="J2545">
        <v>46663.94</v>
      </c>
      <c r="K2545">
        <v>23495.262071396202</v>
      </c>
    </row>
    <row r="2546" spans="1:11" x14ac:dyDescent="0.25">
      <c r="A2546" t="s">
        <v>848</v>
      </c>
      <c r="B2546" t="s">
        <v>849</v>
      </c>
      <c r="C2546" s="1">
        <v>41333</v>
      </c>
      <c r="D2546" s="1">
        <v>41339</v>
      </c>
      <c r="E2546">
        <v>11834</v>
      </c>
      <c r="F2546" t="s">
        <v>331</v>
      </c>
      <c r="G2546" t="s">
        <v>16</v>
      </c>
      <c r="H2546" t="s">
        <v>5826</v>
      </c>
      <c r="I2546">
        <v>1.9806999999999999</v>
      </c>
      <c r="J2546">
        <v>37353</v>
      </c>
      <c r="K2546">
        <v>18858.484374211137</v>
      </c>
    </row>
    <row r="2547" spans="1:11" x14ac:dyDescent="0.25">
      <c r="A2547" t="s">
        <v>848</v>
      </c>
      <c r="B2547" t="s">
        <v>849</v>
      </c>
      <c r="C2547" s="1">
        <v>41331</v>
      </c>
      <c r="D2547" s="1">
        <v>41339</v>
      </c>
      <c r="E2547">
        <v>11834</v>
      </c>
      <c r="F2547" t="s">
        <v>331</v>
      </c>
      <c r="G2547" t="s">
        <v>16</v>
      </c>
      <c r="H2547" t="s">
        <v>5827</v>
      </c>
      <c r="I2547">
        <v>1.9676</v>
      </c>
      <c r="J2547">
        <v>31676.560000000001</v>
      </c>
      <c r="K2547">
        <v>16099.085179914617</v>
      </c>
    </row>
    <row r="2548" spans="1:11" x14ac:dyDescent="0.25">
      <c r="A2548" t="s">
        <v>848</v>
      </c>
      <c r="B2548" t="s">
        <v>849</v>
      </c>
      <c r="C2548" s="1">
        <v>41332</v>
      </c>
      <c r="D2548" s="1">
        <v>41339</v>
      </c>
      <c r="E2548">
        <v>11834</v>
      </c>
      <c r="F2548" t="s">
        <v>331</v>
      </c>
      <c r="G2548" t="s">
        <v>16</v>
      </c>
      <c r="H2548" t="s">
        <v>2449</v>
      </c>
      <c r="I2548">
        <v>1.9818</v>
      </c>
      <c r="J2548">
        <v>37383.410000000003</v>
      </c>
      <c r="K2548">
        <v>18863.361590473309</v>
      </c>
    </row>
    <row r="2549" spans="1:11" x14ac:dyDescent="0.25">
      <c r="A2549" t="s">
        <v>1480</v>
      </c>
      <c r="B2549" t="s">
        <v>1481</v>
      </c>
      <c r="C2549" s="1">
        <v>41352</v>
      </c>
      <c r="D2549" s="1">
        <v>41359</v>
      </c>
      <c r="E2549">
        <v>13993</v>
      </c>
      <c r="F2549" t="s">
        <v>331</v>
      </c>
      <c r="G2549" t="s">
        <v>16</v>
      </c>
      <c r="H2549" t="s">
        <v>2450</v>
      </c>
      <c r="I2549">
        <v>1.9871000000000001</v>
      </c>
      <c r="J2549">
        <v>43103.17</v>
      </c>
      <c r="K2549">
        <v>21691.495143676715</v>
      </c>
    </row>
    <row r="2550" spans="1:11" x14ac:dyDescent="0.25">
      <c r="A2550" t="s">
        <v>848</v>
      </c>
      <c r="B2550" t="s">
        <v>849</v>
      </c>
      <c r="C2550" s="1">
        <v>41331</v>
      </c>
      <c r="D2550" s="1">
        <v>41339</v>
      </c>
      <c r="E2550">
        <v>11834</v>
      </c>
      <c r="F2550" t="s">
        <v>331</v>
      </c>
      <c r="G2550" t="s">
        <v>16</v>
      </c>
      <c r="H2550" t="s">
        <v>2451</v>
      </c>
      <c r="I2550">
        <v>1.9676</v>
      </c>
      <c r="J2550">
        <v>37636.82</v>
      </c>
      <c r="K2550">
        <v>19128.288269973571</v>
      </c>
    </row>
    <row r="2551" spans="1:11" x14ac:dyDescent="0.25">
      <c r="A2551" t="s">
        <v>848</v>
      </c>
      <c r="B2551" t="s">
        <v>849</v>
      </c>
      <c r="C2551" s="1">
        <v>41330</v>
      </c>
      <c r="D2551" s="1">
        <v>41339</v>
      </c>
      <c r="E2551">
        <v>11834</v>
      </c>
      <c r="F2551" t="s">
        <v>331</v>
      </c>
      <c r="G2551" t="s">
        <v>16</v>
      </c>
      <c r="H2551" t="s">
        <v>2452</v>
      </c>
      <c r="I2551">
        <v>1.9704999999999999</v>
      </c>
      <c r="J2551">
        <v>38001.74</v>
      </c>
      <c r="K2551">
        <v>19285.328596802843</v>
      </c>
    </row>
    <row r="2552" spans="1:11" x14ac:dyDescent="0.25">
      <c r="A2552" t="s">
        <v>848</v>
      </c>
      <c r="B2552" t="s">
        <v>849</v>
      </c>
      <c r="C2552" s="1">
        <v>41331</v>
      </c>
      <c r="D2552" s="1">
        <v>41339</v>
      </c>
      <c r="E2552">
        <v>11834</v>
      </c>
      <c r="F2552" t="s">
        <v>331</v>
      </c>
      <c r="G2552" t="s">
        <v>16</v>
      </c>
      <c r="H2552" t="s">
        <v>5828</v>
      </c>
      <c r="I2552">
        <v>1.9676</v>
      </c>
      <c r="J2552">
        <v>36501.54</v>
      </c>
      <c r="K2552">
        <v>18551.301077454766</v>
      </c>
    </row>
    <row r="2553" spans="1:11" x14ac:dyDescent="0.25">
      <c r="A2553" t="s">
        <v>848</v>
      </c>
      <c r="B2553" t="s">
        <v>849</v>
      </c>
      <c r="C2553" s="1">
        <v>41331</v>
      </c>
      <c r="D2553" s="1">
        <v>41339</v>
      </c>
      <c r="E2553">
        <v>11834</v>
      </c>
      <c r="F2553" t="s">
        <v>331</v>
      </c>
      <c r="G2553" t="s">
        <v>16</v>
      </c>
      <c r="H2553" t="s">
        <v>5829</v>
      </c>
      <c r="I2553">
        <v>1.9676</v>
      </c>
      <c r="J2553">
        <v>51158.92</v>
      </c>
      <c r="K2553">
        <v>26000.670868062614</v>
      </c>
    </row>
    <row r="2554" spans="1:11" x14ac:dyDescent="0.25">
      <c r="A2554" t="s">
        <v>848</v>
      </c>
      <c r="B2554" t="s">
        <v>849</v>
      </c>
      <c r="C2554" s="1">
        <v>41332</v>
      </c>
      <c r="D2554" s="1">
        <v>41339</v>
      </c>
      <c r="E2554">
        <v>11834</v>
      </c>
      <c r="F2554" t="s">
        <v>331</v>
      </c>
      <c r="G2554" t="s">
        <v>16</v>
      </c>
      <c r="H2554" t="s">
        <v>5830</v>
      </c>
      <c r="I2554">
        <v>1.9818</v>
      </c>
      <c r="J2554">
        <v>32071.89</v>
      </c>
      <c r="K2554">
        <v>16183.212231304875</v>
      </c>
    </row>
    <row r="2555" spans="1:11" x14ac:dyDescent="0.25">
      <c r="A2555" t="s">
        <v>1483</v>
      </c>
      <c r="B2555" t="s">
        <v>1484</v>
      </c>
      <c r="C2555" s="1">
        <v>41373</v>
      </c>
      <c r="D2555" s="1">
        <v>41379</v>
      </c>
      <c r="E2555">
        <v>14662</v>
      </c>
      <c r="F2555" t="s">
        <v>887</v>
      </c>
      <c r="G2555" t="s">
        <v>16</v>
      </c>
      <c r="H2555" t="s">
        <v>2453</v>
      </c>
      <c r="I2555">
        <v>1.9902</v>
      </c>
      <c r="J2555">
        <v>46663.94</v>
      </c>
      <c r="K2555">
        <v>23446.859612099288</v>
      </c>
    </row>
    <row r="2556" spans="1:11" x14ac:dyDescent="0.25">
      <c r="A2556" t="s">
        <v>832</v>
      </c>
      <c r="B2556" t="s">
        <v>144</v>
      </c>
      <c r="C2556" s="1">
        <v>41330</v>
      </c>
      <c r="D2556" s="1">
        <v>41333</v>
      </c>
      <c r="E2556">
        <v>4889</v>
      </c>
      <c r="F2556" t="s">
        <v>318</v>
      </c>
      <c r="G2556" t="s">
        <v>16</v>
      </c>
      <c r="H2556" t="s">
        <v>514</v>
      </c>
      <c r="I2556">
        <v>1.9704999999999999</v>
      </c>
      <c r="J2556">
        <v>69805.83</v>
      </c>
      <c r="K2556">
        <v>35425.440243592995</v>
      </c>
    </row>
    <row r="2557" spans="1:11" x14ac:dyDescent="0.25">
      <c r="A2557" t="s">
        <v>848</v>
      </c>
      <c r="B2557" t="s">
        <v>849</v>
      </c>
      <c r="C2557" s="1">
        <v>41332</v>
      </c>
      <c r="D2557" s="1">
        <v>41339</v>
      </c>
      <c r="E2557">
        <v>11834</v>
      </c>
      <c r="F2557" t="s">
        <v>331</v>
      </c>
      <c r="G2557" t="s">
        <v>16</v>
      </c>
      <c r="H2557" t="s">
        <v>5831</v>
      </c>
      <c r="I2557">
        <v>1.9818</v>
      </c>
      <c r="J2557">
        <v>36937.410000000003</v>
      </c>
      <c r="K2557">
        <v>18638.31365425371</v>
      </c>
    </row>
    <row r="2558" spans="1:11" x14ac:dyDescent="0.25">
      <c r="A2558" t="s">
        <v>848</v>
      </c>
      <c r="B2558" t="s">
        <v>849</v>
      </c>
      <c r="C2558" s="1">
        <v>41332</v>
      </c>
      <c r="D2558" s="1">
        <v>41339</v>
      </c>
      <c r="E2558">
        <v>11834</v>
      </c>
      <c r="F2558" t="s">
        <v>331</v>
      </c>
      <c r="G2558" t="s">
        <v>16</v>
      </c>
      <c r="H2558" t="s">
        <v>2454</v>
      </c>
      <c r="I2558">
        <v>1.9818</v>
      </c>
      <c r="J2558">
        <v>49344.480000000003</v>
      </c>
      <c r="K2558">
        <v>24898.819255222526</v>
      </c>
    </row>
    <row r="2559" spans="1:11" x14ac:dyDescent="0.25">
      <c r="A2559" t="s">
        <v>1483</v>
      </c>
      <c r="B2559" t="s">
        <v>1484</v>
      </c>
      <c r="C2559" s="1">
        <v>41373</v>
      </c>
      <c r="D2559" s="1">
        <v>41379</v>
      </c>
      <c r="E2559">
        <v>14662</v>
      </c>
      <c r="F2559" t="s">
        <v>887</v>
      </c>
      <c r="G2559" t="s">
        <v>16</v>
      </c>
      <c r="H2559" t="s">
        <v>2455</v>
      </c>
      <c r="I2559">
        <v>1.9902</v>
      </c>
      <c r="J2559">
        <v>46663.94</v>
      </c>
      <c r="K2559">
        <v>23446.859612099288</v>
      </c>
    </row>
    <row r="2560" spans="1:11" x14ac:dyDescent="0.25">
      <c r="A2560" t="s">
        <v>2456</v>
      </c>
      <c r="B2560" t="s">
        <v>2457</v>
      </c>
      <c r="C2560" s="1">
        <v>41307</v>
      </c>
      <c r="D2560" s="1">
        <v>41348</v>
      </c>
      <c r="E2560">
        <v>13446</v>
      </c>
      <c r="F2560" t="s">
        <v>675</v>
      </c>
      <c r="G2560" t="s">
        <v>16</v>
      </c>
      <c r="H2560" t="s">
        <v>2458</v>
      </c>
      <c r="I2560">
        <v>1.9843</v>
      </c>
      <c r="J2560">
        <v>85660</v>
      </c>
      <c r="K2560">
        <v>43168.875674041221</v>
      </c>
    </row>
    <row r="2561" spans="1:11" x14ac:dyDescent="0.25">
      <c r="A2561" t="s">
        <v>799</v>
      </c>
      <c r="B2561" t="s">
        <v>800</v>
      </c>
      <c r="C2561" s="1">
        <v>41356</v>
      </c>
      <c r="D2561" s="1">
        <v>41365</v>
      </c>
      <c r="E2561">
        <v>4856</v>
      </c>
      <c r="F2561" t="s">
        <v>301</v>
      </c>
      <c r="G2561" t="s">
        <v>16</v>
      </c>
      <c r="H2561" t="s">
        <v>2459</v>
      </c>
      <c r="I2561">
        <v>2.0125999999999999</v>
      </c>
      <c r="J2561">
        <v>6151.2</v>
      </c>
      <c r="K2561">
        <v>3056.3450263340951</v>
      </c>
    </row>
    <row r="2562" spans="1:11" x14ac:dyDescent="0.25">
      <c r="A2562" t="s">
        <v>848</v>
      </c>
      <c r="B2562" t="s">
        <v>849</v>
      </c>
      <c r="C2562" s="1">
        <v>41333</v>
      </c>
      <c r="D2562" s="1">
        <v>41342</v>
      </c>
      <c r="E2562">
        <v>11834</v>
      </c>
      <c r="F2562" t="s">
        <v>331</v>
      </c>
      <c r="G2562" t="s">
        <v>16</v>
      </c>
      <c r="H2562" t="s">
        <v>5832</v>
      </c>
      <c r="I2562">
        <v>1.9806999999999999</v>
      </c>
      <c r="J2562">
        <v>50054.04</v>
      </c>
      <c r="K2562">
        <v>25270.884030898167</v>
      </c>
    </row>
    <row r="2563" spans="1:11" x14ac:dyDescent="0.25">
      <c r="A2563" t="s">
        <v>1480</v>
      </c>
      <c r="B2563" t="s">
        <v>1481</v>
      </c>
      <c r="C2563" s="1">
        <v>41346</v>
      </c>
      <c r="D2563" s="1">
        <v>41352</v>
      </c>
      <c r="E2563">
        <v>13993</v>
      </c>
      <c r="F2563" t="s">
        <v>331</v>
      </c>
      <c r="G2563" t="s">
        <v>16</v>
      </c>
      <c r="H2563" t="s">
        <v>5833</v>
      </c>
      <c r="I2563">
        <v>1.9584999999999999</v>
      </c>
      <c r="J2563">
        <v>44601.75</v>
      </c>
      <c r="K2563">
        <v>22773.423538422263</v>
      </c>
    </row>
    <row r="2564" spans="1:11" x14ac:dyDescent="0.25">
      <c r="A2564" t="s">
        <v>1480</v>
      </c>
      <c r="B2564" t="s">
        <v>1481</v>
      </c>
      <c r="C2564" s="1">
        <v>41341</v>
      </c>
      <c r="D2564" s="1">
        <v>41348</v>
      </c>
      <c r="E2564">
        <v>13993</v>
      </c>
      <c r="F2564" t="s">
        <v>331</v>
      </c>
      <c r="G2564" t="s">
        <v>16</v>
      </c>
      <c r="H2564" t="s">
        <v>2460</v>
      </c>
      <c r="I2564">
        <v>1.9528000000000001</v>
      </c>
      <c r="J2564">
        <v>44313.33</v>
      </c>
      <c r="K2564">
        <v>22692.200942236788</v>
      </c>
    </row>
    <row r="2565" spans="1:11" x14ac:dyDescent="0.25">
      <c r="A2565" t="s">
        <v>1480</v>
      </c>
      <c r="B2565" t="s">
        <v>1481</v>
      </c>
      <c r="C2565" s="1">
        <v>41341</v>
      </c>
      <c r="D2565" s="1">
        <v>41348</v>
      </c>
      <c r="E2565">
        <v>13993</v>
      </c>
      <c r="F2565" t="s">
        <v>331</v>
      </c>
      <c r="G2565" t="s">
        <v>16</v>
      </c>
      <c r="H2565" t="s">
        <v>5834</v>
      </c>
      <c r="I2565">
        <v>1.9528000000000001</v>
      </c>
      <c r="J2565">
        <v>44265.26</v>
      </c>
      <c r="K2565">
        <v>22667.585006145022</v>
      </c>
    </row>
    <row r="2566" spans="1:11" x14ac:dyDescent="0.25">
      <c r="A2566" t="s">
        <v>869</v>
      </c>
      <c r="B2566" t="s">
        <v>870</v>
      </c>
      <c r="C2566" s="1">
        <v>41347</v>
      </c>
      <c r="D2566" s="1">
        <v>41352</v>
      </c>
      <c r="E2566">
        <v>13711</v>
      </c>
      <c r="F2566" t="s">
        <v>331</v>
      </c>
      <c r="G2566" t="s">
        <v>16</v>
      </c>
      <c r="H2566" t="s">
        <v>5835</v>
      </c>
      <c r="I2566">
        <v>1.9619</v>
      </c>
      <c r="J2566">
        <v>29909.4</v>
      </c>
      <c r="K2566">
        <v>15245.119526989143</v>
      </c>
    </row>
    <row r="2567" spans="1:11" x14ac:dyDescent="0.25">
      <c r="A2567" t="s">
        <v>799</v>
      </c>
      <c r="B2567" t="s">
        <v>800</v>
      </c>
      <c r="C2567" s="1">
        <v>41355</v>
      </c>
      <c r="D2567" s="1">
        <v>41365</v>
      </c>
      <c r="E2567">
        <v>4856</v>
      </c>
      <c r="F2567" t="s">
        <v>301</v>
      </c>
      <c r="G2567" t="s">
        <v>16</v>
      </c>
      <c r="H2567" t="s">
        <v>5836</v>
      </c>
      <c r="I2567">
        <v>1.9931000000000001</v>
      </c>
      <c r="J2567">
        <v>41535.01</v>
      </c>
      <c r="K2567">
        <v>20839.400933219607</v>
      </c>
    </row>
    <row r="2568" spans="1:11" x14ac:dyDescent="0.25">
      <c r="A2568" t="s">
        <v>5837</v>
      </c>
      <c r="B2568" t="s">
        <v>5838</v>
      </c>
      <c r="C2568" s="1">
        <v>41379</v>
      </c>
      <c r="D2568" s="1">
        <v>41388</v>
      </c>
      <c r="E2568">
        <v>14827</v>
      </c>
      <c r="F2568" t="s">
        <v>309</v>
      </c>
      <c r="G2568" t="s">
        <v>16</v>
      </c>
      <c r="H2568" t="s">
        <v>1335</v>
      </c>
      <c r="I2568">
        <v>1.9761</v>
      </c>
      <c r="J2568">
        <v>150520.5</v>
      </c>
      <c r="K2568">
        <v>76170.487323516019</v>
      </c>
    </row>
    <row r="2569" spans="1:11" x14ac:dyDescent="0.25">
      <c r="A2569" t="s">
        <v>872</v>
      </c>
      <c r="B2569" t="s">
        <v>873</v>
      </c>
      <c r="C2569" s="1">
        <v>41416</v>
      </c>
      <c r="D2569" s="1">
        <v>41421</v>
      </c>
      <c r="E2569">
        <v>4</v>
      </c>
      <c r="F2569" t="s">
        <v>309</v>
      </c>
      <c r="G2569" t="s">
        <v>16</v>
      </c>
      <c r="H2569" t="s">
        <v>2461</v>
      </c>
      <c r="I2569">
        <v>2.0402</v>
      </c>
      <c r="J2569">
        <v>50240.45</v>
      </c>
      <c r="K2569">
        <v>24625.25732771297</v>
      </c>
    </row>
    <row r="2570" spans="1:11" x14ac:dyDescent="0.25">
      <c r="A2570" t="s">
        <v>875</v>
      </c>
      <c r="B2570" t="s">
        <v>876</v>
      </c>
      <c r="C2570" s="1">
        <v>41450</v>
      </c>
      <c r="D2570" s="1">
        <v>41454</v>
      </c>
      <c r="E2570">
        <v>8</v>
      </c>
      <c r="F2570" t="s">
        <v>309</v>
      </c>
      <c r="G2570" t="s">
        <v>16</v>
      </c>
      <c r="H2570" t="s">
        <v>2462</v>
      </c>
      <c r="I2570">
        <v>2.2515000000000001</v>
      </c>
      <c r="J2570">
        <v>31418.6</v>
      </c>
      <c r="K2570">
        <v>13954.519209415945</v>
      </c>
    </row>
    <row r="2571" spans="1:11" x14ac:dyDescent="0.25">
      <c r="A2571" t="s">
        <v>875</v>
      </c>
      <c r="B2571" t="s">
        <v>876</v>
      </c>
      <c r="C2571" s="1">
        <v>41444</v>
      </c>
      <c r="D2571" s="1">
        <v>41449</v>
      </c>
      <c r="E2571">
        <v>8</v>
      </c>
      <c r="F2571" t="s">
        <v>309</v>
      </c>
      <c r="G2571" t="s">
        <v>16</v>
      </c>
      <c r="H2571" t="s">
        <v>5839</v>
      </c>
      <c r="I2571">
        <v>2.1705999999999999</v>
      </c>
      <c r="J2571">
        <v>31024.5</v>
      </c>
      <c r="K2571">
        <v>14293.052612180963</v>
      </c>
    </row>
    <row r="2572" spans="1:11" x14ac:dyDescent="0.25">
      <c r="A2572" t="s">
        <v>875</v>
      </c>
      <c r="B2572" t="s">
        <v>876</v>
      </c>
      <c r="C2572" s="1">
        <v>41445</v>
      </c>
      <c r="D2572" s="1">
        <v>41450</v>
      </c>
      <c r="E2572">
        <v>8</v>
      </c>
      <c r="F2572" t="s">
        <v>309</v>
      </c>
      <c r="G2572" t="s">
        <v>16</v>
      </c>
      <c r="H2572" t="s">
        <v>5840</v>
      </c>
      <c r="I2572">
        <v>2.1743999999999999</v>
      </c>
      <c r="J2572">
        <v>26915.85</v>
      </c>
      <c r="K2572">
        <v>12378.518211920529</v>
      </c>
    </row>
    <row r="2573" spans="1:11" x14ac:dyDescent="0.25">
      <c r="A2573" t="s">
        <v>875</v>
      </c>
      <c r="B2573" t="s">
        <v>876</v>
      </c>
      <c r="C2573" s="1">
        <v>41440</v>
      </c>
      <c r="D2573" s="1">
        <v>41446</v>
      </c>
      <c r="E2573">
        <v>8</v>
      </c>
      <c r="F2573" t="s">
        <v>309</v>
      </c>
      <c r="G2573" t="s">
        <v>16</v>
      </c>
      <c r="H2573" t="s">
        <v>2463</v>
      </c>
      <c r="I2573">
        <v>2.1366999999999998</v>
      </c>
      <c r="J2573">
        <v>26613.99</v>
      </c>
      <c r="K2573">
        <v>12455.651237890204</v>
      </c>
    </row>
    <row r="2574" spans="1:11" x14ac:dyDescent="0.25">
      <c r="A2574" t="s">
        <v>875</v>
      </c>
      <c r="B2574" t="s">
        <v>876</v>
      </c>
      <c r="C2574" s="1">
        <v>41440</v>
      </c>
      <c r="D2574" s="1">
        <v>41446</v>
      </c>
      <c r="E2574">
        <v>8</v>
      </c>
      <c r="F2574" t="s">
        <v>309</v>
      </c>
      <c r="G2574" t="s">
        <v>16</v>
      </c>
      <c r="H2574" t="s">
        <v>2464</v>
      </c>
      <c r="I2574">
        <v>2.1366999999999998</v>
      </c>
      <c r="J2574">
        <v>26832</v>
      </c>
      <c r="K2574">
        <v>12557.682407450742</v>
      </c>
    </row>
    <row r="2575" spans="1:11" x14ac:dyDescent="0.25">
      <c r="A2575" t="s">
        <v>875</v>
      </c>
      <c r="B2575" t="s">
        <v>876</v>
      </c>
      <c r="C2575" s="1">
        <v>41439</v>
      </c>
      <c r="D2575" s="1">
        <v>41444</v>
      </c>
      <c r="E2575">
        <v>8</v>
      </c>
      <c r="F2575" t="s">
        <v>309</v>
      </c>
      <c r="G2575" t="s">
        <v>16</v>
      </c>
      <c r="H2575" t="s">
        <v>2465</v>
      </c>
      <c r="I2575">
        <v>2.1446999999999998</v>
      </c>
      <c r="J2575">
        <v>31317.98</v>
      </c>
      <c r="K2575">
        <v>14602.499184035063</v>
      </c>
    </row>
    <row r="2576" spans="1:11" x14ac:dyDescent="0.25">
      <c r="A2576" t="s">
        <v>875</v>
      </c>
      <c r="B2576" t="s">
        <v>876</v>
      </c>
      <c r="C2576" s="1">
        <v>41440</v>
      </c>
      <c r="D2576" s="1">
        <v>41444</v>
      </c>
      <c r="E2576">
        <v>8</v>
      </c>
      <c r="F2576" t="s">
        <v>309</v>
      </c>
      <c r="G2576" t="s">
        <v>16</v>
      </c>
      <c r="H2576" t="s">
        <v>2466</v>
      </c>
      <c r="I2576">
        <v>2.1366999999999998</v>
      </c>
      <c r="J2576">
        <v>31192.2</v>
      </c>
      <c r="K2576">
        <v>14598.305798661488</v>
      </c>
    </row>
    <row r="2577" spans="1:11" x14ac:dyDescent="0.25">
      <c r="A2577" t="s">
        <v>875</v>
      </c>
      <c r="B2577" t="s">
        <v>876</v>
      </c>
      <c r="C2577" s="1">
        <v>41437</v>
      </c>
      <c r="D2577" s="1">
        <v>41444</v>
      </c>
      <c r="E2577">
        <v>8</v>
      </c>
      <c r="F2577" t="s">
        <v>309</v>
      </c>
      <c r="G2577" t="s">
        <v>16</v>
      </c>
      <c r="H2577" t="s">
        <v>5841</v>
      </c>
      <c r="I2577">
        <v>2.1520999999999999</v>
      </c>
      <c r="J2577">
        <v>31234.13</v>
      </c>
      <c r="K2577">
        <v>14513.326518284466</v>
      </c>
    </row>
    <row r="2578" spans="1:11" x14ac:dyDescent="0.25">
      <c r="A2578" t="s">
        <v>875</v>
      </c>
      <c r="B2578" t="s">
        <v>876</v>
      </c>
      <c r="C2578" s="1">
        <v>41440</v>
      </c>
      <c r="D2578" s="1">
        <v>41457</v>
      </c>
      <c r="E2578">
        <v>8</v>
      </c>
      <c r="F2578" t="s">
        <v>309</v>
      </c>
      <c r="G2578" t="s">
        <v>16</v>
      </c>
      <c r="H2578" t="s">
        <v>2467</v>
      </c>
      <c r="I2578">
        <v>2.1366999999999998</v>
      </c>
      <c r="J2578">
        <v>41992.08</v>
      </c>
      <c r="K2578">
        <v>19652.77296766041</v>
      </c>
    </row>
    <row r="2579" spans="1:11" x14ac:dyDescent="0.25">
      <c r="A2579" t="s">
        <v>2468</v>
      </c>
      <c r="B2579" t="s">
        <v>2469</v>
      </c>
      <c r="C2579" s="1">
        <v>41227</v>
      </c>
      <c r="D2579" s="1">
        <v>41426</v>
      </c>
      <c r="E2579">
        <v>62</v>
      </c>
      <c r="F2579" t="s">
        <v>301</v>
      </c>
      <c r="G2579" t="s">
        <v>16</v>
      </c>
      <c r="H2579" t="s">
        <v>2470</v>
      </c>
      <c r="I2579">
        <v>2.0613999999999999</v>
      </c>
      <c r="J2579">
        <v>21093.01</v>
      </c>
      <c r="K2579">
        <v>10232.371204036092</v>
      </c>
    </row>
    <row r="2580" spans="1:11" x14ac:dyDescent="0.25">
      <c r="A2580" t="s">
        <v>811</v>
      </c>
      <c r="B2580" t="s">
        <v>812</v>
      </c>
      <c r="C2580" s="1">
        <v>41153</v>
      </c>
      <c r="D2580" s="1">
        <v>41431</v>
      </c>
      <c r="E2580">
        <v>5271</v>
      </c>
      <c r="F2580" t="s">
        <v>331</v>
      </c>
      <c r="G2580" t="s">
        <v>16</v>
      </c>
      <c r="H2580" t="s">
        <v>5842</v>
      </c>
      <c r="I2580">
        <v>2.0371999999999999</v>
      </c>
      <c r="J2580">
        <v>65355.35</v>
      </c>
      <c r="K2580">
        <v>32080.968977027293</v>
      </c>
    </row>
    <row r="2581" spans="1:11" x14ac:dyDescent="0.25">
      <c r="A2581" t="s">
        <v>885</v>
      </c>
      <c r="B2581" t="s">
        <v>886</v>
      </c>
      <c r="C2581" s="1">
        <v>41506</v>
      </c>
      <c r="D2581" s="1">
        <v>41512</v>
      </c>
      <c r="E2581">
        <v>4</v>
      </c>
      <c r="F2581" t="s">
        <v>887</v>
      </c>
      <c r="G2581" t="s">
        <v>16</v>
      </c>
      <c r="H2581" t="s">
        <v>5843</v>
      </c>
      <c r="I2581">
        <v>2.3980000000000001</v>
      </c>
      <c r="J2581">
        <v>60072.78</v>
      </c>
      <c r="K2581">
        <v>25051.201000834029</v>
      </c>
    </row>
    <row r="2582" spans="1:11" x14ac:dyDescent="0.25">
      <c r="A2582" t="s">
        <v>885</v>
      </c>
      <c r="B2582" t="s">
        <v>886</v>
      </c>
      <c r="C2582" s="1">
        <v>41503</v>
      </c>
      <c r="D2582" s="1">
        <v>41508</v>
      </c>
      <c r="E2582">
        <v>4</v>
      </c>
      <c r="F2582" t="s">
        <v>887</v>
      </c>
      <c r="G2582" t="s">
        <v>16</v>
      </c>
      <c r="H2582" t="s">
        <v>2471</v>
      </c>
      <c r="I2582">
        <v>2.3559000000000001</v>
      </c>
      <c r="J2582">
        <v>59481.83</v>
      </c>
      <c r="K2582">
        <v>25248.028354344413</v>
      </c>
    </row>
    <row r="2583" spans="1:11" x14ac:dyDescent="0.25">
      <c r="A2583" t="s">
        <v>885</v>
      </c>
      <c r="B2583" t="s">
        <v>886</v>
      </c>
      <c r="C2583" s="1">
        <v>41503</v>
      </c>
      <c r="D2583" s="1">
        <v>41508</v>
      </c>
      <c r="E2583">
        <v>4</v>
      </c>
      <c r="F2583" t="s">
        <v>887</v>
      </c>
      <c r="G2583" t="s">
        <v>16</v>
      </c>
      <c r="H2583" t="s">
        <v>2472</v>
      </c>
      <c r="I2583">
        <v>2.3559000000000001</v>
      </c>
      <c r="J2583">
        <v>58632.55</v>
      </c>
      <c r="K2583">
        <v>24887.537671378243</v>
      </c>
    </row>
    <row r="2584" spans="1:11" x14ac:dyDescent="0.25">
      <c r="A2584" t="s">
        <v>2004</v>
      </c>
      <c r="B2584" t="s">
        <v>2005</v>
      </c>
      <c r="C2584" s="1">
        <v>41447</v>
      </c>
      <c r="D2584" s="1">
        <v>41521</v>
      </c>
      <c r="E2584">
        <v>304</v>
      </c>
      <c r="F2584" t="s">
        <v>642</v>
      </c>
      <c r="G2584" t="s">
        <v>16</v>
      </c>
      <c r="H2584" t="s">
        <v>5844</v>
      </c>
      <c r="I2584">
        <v>2.2648000000000001</v>
      </c>
      <c r="J2584">
        <v>454032</v>
      </c>
      <c r="K2584">
        <v>200473.33097845284</v>
      </c>
    </row>
    <row r="2585" spans="1:11" x14ac:dyDescent="0.25">
      <c r="A2585" t="s">
        <v>4620</v>
      </c>
      <c r="B2585" t="s">
        <v>4621</v>
      </c>
      <c r="C2585" s="1">
        <v>41479</v>
      </c>
      <c r="D2585" s="1">
        <v>41487</v>
      </c>
      <c r="E2585">
        <v>17667</v>
      </c>
      <c r="F2585" t="s">
        <v>311</v>
      </c>
      <c r="G2585" t="s">
        <v>16</v>
      </c>
      <c r="H2585" t="s">
        <v>5845</v>
      </c>
      <c r="I2585">
        <v>2.2267000000000001</v>
      </c>
      <c r="J2585">
        <v>106852.8</v>
      </c>
      <c r="K2585">
        <v>47987.0660618853</v>
      </c>
    </row>
    <row r="2586" spans="1:11" x14ac:dyDescent="0.25">
      <c r="A2586" t="s">
        <v>893</v>
      </c>
      <c r="B2586" t="s">
        <v>894</v>
      </c>
      <c r="C2586" s="1">
        <v>41506</v>
      </c>
      <c r="D2586" s="1">
        <v>41537</v>
      </c>
      <c r="E2586">
        <v>4</v>
      </c>
      <c r="F2586" t="s">
        <v>311</v>
      </c>
      <c r="G2586" t="s">
        <v>16</v>
      </c>
      <c r="H2586" t="s">
        <v>5846</v>
      </c>
      <c r="I2586">
        <v>2.3980000000000001</v>
      </c>
      <c r="J2586">
        <v>89798.94</v>
      </c>
      <c r="K2586">
        <v>37447.431192660551</v>
      </c>
    </row>
    <row r="2587" spans="1:11" x14ac:dyDescent="0.25">
      <c r="A2587" t="s">
        <v>2473</v>
      </c>
      <c r="B2587" t="s">
        <v>2161</v>
      </c>
      <c r="C2587" s="1">
        <v>41535</v>
      </c>
      <c r="D2587" s="1">
        <v>41543</v>
      </c>
      <c r="E2587">
        <v>16366</v>
      </c>
      <c r="F2587" t="s">
        <v>303</v>
      </c>
      <c r="G2587" t="s">
        <v>16</v>
      </c>
      <c r="H2587" t="s">
        <v>2474</v>
      </c>
      <c r="I2587">
        <v>2.2616999999999998</v>
      </c>
      <c r="J2587">
        <v>81826.98</v>
      </c>
      <c r="K2587">
        <v>36179.413715346862</v>
      </c>
    </row>
    <row r="2588" spans="1:11" x14ac:dyDescent="0.25">
      <c r="A2588" t="s">
        <v>1650</v>
      </c>
      <c r="B2588" t="s">
        <v>1651</v>
      </c>
      <c r="C2588" s="1">
        <v>41522</v>
      </c>
      <c r="D2588" s="1">
        <v>41543</v>
      </c>
      <c r="E2588">
        <v>23</v>
      </c>
      <c r="F2588" t="s">
        <v>887</v>
      </c>
      <c r="G2588" t="s">
        <v>16</v>
      </c>
      <c r="H2588" t="s">
        <v>5847</v>
      </c>
      <c r="I2588">
        <v>2.3538000000000001</v>
      </c>
      <c r="J2588">
        <v>84573.67</v>
      </c>
      <c r="K2588">
        <v>35930.695046308101</v>
      </c>
    </row>
    <row r="2589" spans="1:11" x14ac:dyDescent="0.25">
      <c r="A2589" t="s">
        <v>896</v>
      </c>
      <c r="B2589" t="s">
        <v>897</v>
      </c>
      <c r="C2589" s="1">
        <v>41536</v>
      </c>
      <c r="D2589" s="1">
        <v>41540</v>
      </c>
      <c r="E2589">
        <v>296</v>
      </c>
      <c r="F2589" t="s">
        <v>887</v>
      </c>
      <c r="G2589" t="s">
        <v>16</v>
      </c>
      <c r="H2589" t="s">
        <v>5848</v>
      </c>
      <c r="I2589">
        <v>2.2488999999999999</v>
      </c>
      <c r="J2589">
        <v>50990.879999999997</v>
      </c>
      <c r="K2589">
        <v>22673.698252478989</v>
      </c>
    </row>
    <row r="2590" spans="1:11" x14ac:dyDescent="0.25">
      <c r="A2590" t="s">
        <v>896</v>
      </c>
      <c r="B2590" t="s">
        <v>897</v>
      </c>
      <c r="C2590" s="1">
        <v>41536</v>
      </c>
      <c r="D2590" s="1">
        <v>41540</v>
      </c>
      <c r="E2590">
        <v>296</v>
      </c>
      <c r="F2590" t="s">
        <v>887</v>
      </c>
      <c r="G2590" t="s">
        <v>16</v>
      </c>
      <c r="H2590" t="s">
        <v>5849</v>
      </c>
      <c r="I2590">
        <v>2.2488999999999999</v>
      </c>
      <c r="J2590">
        <v>50062.09</v>
      </c>
      <c r="K2590">
        <v>22260.700787051446</v>
      </c>
    </row>
    <row r="2591" spans="1:11" x14ac:dyDescent="0.25">
      <c r="A2591" t="s">
        <v>885</v>
      </c>
      <c r="B2591" t="s">
        <v>886</v>
      </c>
      <c r="C2591" s="1">
        <v>41527</v>
      </c>
      <c r="D2591" s="1">
        <v>41531</v>
      </c>
      <c r="E2591">
        <v>4</v>
      </c>
      <c r="F2591" t="s">
        <v>887</v>
      </c>
      <c r="G2591" t="s">
        <v>16</v>
      </c>
      <c r="H2591" t="s">
        <v>5850</v>
      </c>
      <c r="I2591">
        <v>2.2867999999999999</v>
      </c>
      <c r="J2591">
        <v>57855.88</v>
      </c>
      <c r="K2591">
        <v>25299.930033234214</v>
      </c>
    </row>
    <row r="2592" spans="1:11" x14ac:dyDescent="0.25">
      <c r="A2592" t="s">
        <v>5851</v>
      </c>
      <c r="B2592" t="s">
        <v>5852</v>
      </c>
      <c r="C2592" s="1">
        <v>41529</v>
      </c>
      <c r="D2592" s="1">
        <v>41531</v>
      </c>
      <c r="E2592">
        <v>5</v>
      </c>
      <c r="F2592" t="s">
        <v>912</v>
      </c>
      <c r="G2592" t="s">
        <v>16</v>
      </c>
      <c r="H2592" t="s">
        <v>5853</v>
      </c>
      <c r="I2592">
        <v>2.2947000000000002</v>
      </c>
      <c r="J2592">
        <v>75961.8</v>
      </c>
      <c r="K2592">
        <v>33103.150738658645</v>
      </c>
    </row>
    <row r="2593" spans="1:11" x14ac:dyDescent="0.25">
      <c r="A2593" t="s">
        <v>885</v>
      </c>
      <c r="B2593" t="s">
        <v>886</v>
      </c>
      <c r="C2593" s="1">
        <v>41528</v>
      </c>
      <c r="D2593" s="1">
        <v>41542</v>
      </c>
      <c r="E2593">
        <v>4</v>
      </c>
      <c r="F2593" t="s">
        <v>887</v>
      </c>
      <c r="G2593" t="s">
        <v>16</v>
      </c>
      <c r="H2593" t="s">
        <v>5854</v>
      </c>
      <c r="I2593">
        <v>2.2778999999999998</v>
      </c>
      <c r="J2593">
        <v>80844.33</v>
      </c>
      <c r="K2593">
        <v>35490.728302383774</v>
      </c>
    </row>
    <row r="2594" spans="1:11" x14ac:dyDescent="0.25">
      <c r="A2594" t="s">
        <v>896</v>
      </c>
      <c r="B2594" t="s">
        <v>897</v>
      </c>
      <c r="C2594" s="1">
        <v>41537</v>
      </c>
      <c r="D2594" s="1">
        <v>41542</v>
      </c>
      <c r="E2594">
        <v>296</v>
      </c>
      <c r="F2594" t="s">
        <v>887</v>
      </c>
      <c r="G2594" t="s">
        <v>16</v>
      </c>
      <c r="H2594" t="s">
        <v>2475</v>
      </c>
      <c r="I2594">
        <v>2.2035999999999998</v>
      </c>
      <c r="J2594">
        <v>41566.160000000003</v>
      </c>
      <c r="K2594">
        <v>18862.842621165364</v>
      </c>
    </row>
    <row r="2595" spans="1:11" x14ac:dyDescent="0.25">
      <c r="A2595" t="s">
        <v>901</v>
      </c>
      <c r="B2595" t="s">
        <v>902</v>
      </c>
      <c r="C2595" s="1">
        <v>41516</v>
      </c>
      <c r="D2595" s="1">
        <v>41522</v>
      </c>
      <c r="E2595">
        <v>16315</v>
      </c>
      <c r="F2595" t="s">
        <v>887</v>
      </c>
      <c r="G2595" t="s">
        <v>16</v>
      </c>
      <c r="H2595" t="s">
        <v>5855</v>
      </c>
      <c r="I2595">
        <v>2.3578000000000001</v>
      </c>
      <c r="J2595">
        <v>53481.53</v>
      </c>
      <c r="K2595">
        <v>22682.810246840276</v>
      </c>
    </row>
    <row r="2596" spans="1:11" x14ac:dyDescent="0.25">
      <c r="A2596" t="s">
        <v>904</v>
      </c>
      <c r="B2596" t="s">
        <v>905</v>
      </c>
      <c r="C2596" s="1">
        <v>41522</v>
      </c>
      <c r="D2596" s="1">
        <v>41533</v>
      </c>
      <c r="E2596">
        <v>16316</v>
      </c>
      <c r="F2596" t="s">
        <v>887</v>
      </c>
      <c r="G2596" t="s">
        <v>16</v>
      </c>
      <c r="H2596" t="s">
        <v>2476</v>
      </c>
      <c r="I2596">
        <v>2.3538000000000001</v>
      </c>
      <c r="J2596">
        <v>61787.63</v>
      </c>
      <c r="K2596">
        <v>26250.161441074008</v>
      </c>
    </row>
    <row r="2597" spans="1:11" x14ac:dyDescent="0.25">
      <c r="A2597" t="s">
        <v>5034</v>
      </c>
      <c r="B2597" t="s">
        <v>5035</v>
      </c>
      <c r="C2597" s="1">
        <v>41523</v>
      </c>
      <c r="D2597" s="1">
        <v>41529</v>
      </c>
      <c r="E2597">
        <v>18160</v>
      </c>
      <c r="F2597" t="s">
        <v>642</v>
      </c>
      <c r="G2597" t="s">
        <v>16</v>
      </c>
      <c r="H2597" t="s">
        <v>5856</v>
      </c>
      <c r="I2597">
        <v>2.3313999999999999</v>
      </c>
      <c r="J2597">
        <v>192972.88</v>
      </c>
      <c r="K2597">
        <v>82771.2447456464</v>
      </c>
    </row>
    <row r="2598" spans="1:11" x14ac:dyDescent="0.25">
      <c r="A2598" t="s">
        <v>885</v>
      </c>
      <c r="B2598" t="s">
        <v>886</v>
      </c>
      <c r="C2598" s="1">
        <v>41526</v>
      </c>
      <c r="D2598" s="1">
        <v>41530</v>
      </c>
      <c r="E2598">
        <v>4</v>
      </c>
      <c r="F2598" t="s">
        <v>887</v>
      </c>
      <c r="G2598" t="s">
        <v>16</v>
      </c>
      <c r="H2598" t="s">
        <v>5857</v>
      </c>
      <c r="I2598">
        <v>2.2978999999999998</v>
      </c>
      <c r="J2598">
        <v>59218.51</v>
      </c>
      <c r="K2598">
        <v>25770.70803777362</v>
      </c>
    </row>
    <row r="2599" spans="1:11" x14ac:dyDescent="0.25">
      <c r="A2599" t="s">
        <v>885</v>
      </c>
      <c r="B2599" t="s">
        <v>886</v>
      </c>
      <c r="C2599" s="1">
        <v>41522</v>
      </c>
      <c r="D2599" s="1">
        <v>41530</v>
      </c>
      <c r="E2599">
        <v>4</v>
      </c>
      <c r="F2599" t="s">
        <v>887</v>
      </c>
      <c r="G2599" t="s">
        <v>16</v>
      </c>
      <c r="H2599" t="s">
        <v>2477</v>
      </c>
      <c r="I2599">
        <v>2.3538000000000001</v>
      </c>
      <c r="J2599">
        <v>57006.239999999998</v>
      </c>
      <c r="K2599">
        <v>24218.812133571246</v>
      </c>
    </row>
    <row r="2600" spans="1:11" x14ac:dyDescent="0.25">
      <c r="A2600" t="s">
        <v>885</v>
      </c>
      <c r="B2600" t="s">
        <v>886</v>
      </c>
      <c r="C2600" s="1">
        <v>41523</v>
      </c>
      <c r="D2600" s="1">
        <v>41530</v>
      </c>
      <c r="E2600">
        <v>4</v>
      </c>
      <c r="F2600" t="s">
        <v>887</v>
      </c>
      <c r="G2600" t="s">
        <v>16</v>
      </c>
      <c r="H2600" t="s">
        <v>5858</v>
      </c>
      <c r="I2600">
        <v>2.3313999999999999</v>
      </c>
      <c r="J2600">
        <v>80427.53</v>
      </c>
      <c r="K2600">
        <v>34497.525092219264</v>
      </c>
    </row>
    <row r="2601" spans="1:11" x14ac:dyDescent="0.25">
      <c r="A2601" t="s">
        <v>885</v>
      </c>
      <c r="B2601" t="s">
        <v>886</v>
      </c>
      <c r="C2601" s="1">
        <v>41523</v>
      </c>
      <c r="D2601" s="1">
        <v>41530</v>
      </c>
      <c r="E2601">
        <v>4</v>
      </c>
      <c r="F2601" t="s">
        <v>887</v>
      </c>
      <c r="G2601" t="s">
        <v>16</v>
      </c>
      <c r="H2601" t="s">
        <v>5859</v>
      </c>
      <c r="I2601">
        <v>2.3313999999999999</v>
      </c>
      <c r="J2601">
        <v>58801.71</v>
      </c>
      <c r="K2601">
        <v>25221.630779788968</v>
      </c>
    </row>
    <row r="2602" spans="1:11" x14ac:dyDescent="0.25">
      <c r="A2602" t="s">
        <v>885</v>
      </c>
      <c r="B2602" t="s">
        <v>886</v>
      </c>
      <c r="C2602" s="1">
        <v>41526</v>
      </c>
      <c r="D2602" s="1">
        <v>41530</v>
      </c>
      <c r="E2602">
        <v>4</v>
      </c>
      <c r="F2602" t="s">
        <v>887</v>
      </c>
      <c r="G2602" t="s">
        <v>16</v>
      </c>
      <c r="H2602" t="s">
        <v>2478</v>
      </c>
      <c r="I2602">
        <v>2.2978999999999998</v>
      </c>
      <c r="J2602">
        <v>59058.2</v>
      </c>
      <c r="K2602">
        <v>25700.944340484792</v>
      </c>
    </row>
    <row r="2603" spans="1:11" x14ac:dyDescent="0.25">
      <c r="A2603" t="s">
        <v>907</v>
      </c>
      <c r="B2603" t="s">
        <v>908</v>
      </c>
      <c r="C2603" s="1">
        <v>41530</v>
      </c>
      <c r="D2603" s="1">
        <v>41534</v>
      </c>
      <c r="E2603">
        <v>1</v>
      </c>
      <c r="F2603" t="s">
        <v>887</v>
      </c>
      <c r="G2603" t="s">
        <v>16</v>
      </c>
      <c r="H2603" t="s">
        <v>5860</v>
      </c>
      <c r="I2603">
        <v>2.2768999999999999</v>
      </c>
      <c r="J2603">
        <v>49677.86</v>
      </c>
      <c r="K2603">
        <v>21818.20018446133</v>
      </c>
    </row>
    <row r="2604" spans="1:11" x14ac:dyDescent="0.25">
      <c r="A2604" t="s">
        <v>1521</v>
      </c>
      <c r="B2604" t="s">
        <v>1522</v>
      </c>
      <c r="C2604" s="1">
        <v>41534</v>
      </c>
      <c r="D2604" s="1">
        <v>41538</v>
      </c>
      <c r="E2604">
        <v>435</v>
      </c>
      <c r="F2604" t="s">
        <v>303</v>
      </c>
      <c r="G2604" t="s">
        <v>16</v>
      </c>
      <c r="H2604" t="s">
        <v>2538</v>
      </c>
      <c r="I2604">
        <v>2.2648999999999999</v>
      </c>
      <c r="J2604">
        <v>214766.88</v>
      </c>
      <c r="K2604">
        <v>94824.001059649439</v>
      </c>
    </row>
    <row r="2605" spans="1:11" x14ac:dyDescent="0.25">
      <c r="A2605" t="s">
        <v>2479</v>
      </c>
      <c r="B2605" t="s">
        <v>2480</v>
      </c>
      <c r="C2605" s="1">
        <v>41529</v>
      </c>
      <c r="D2605" s="1">
        <v>41538</v>
      </c>
      <c r="E2605">
        <v>380</v>
      </c>
      <c r="F2605" t="s">
        <v>2481</v>
      </c>
      <c r="G2605" t="s">
        <v>16</v>
      </c>
      <c r="H2605" t="s">
        <v>2482</v>
      </c>
      <c r="I2605">
        <v>2.2947000000000002</v>
      </c>
      <c r="J2605">
        <v>165150</v>
      </c>
      <c r="K2605">
        <v>71970.192181984574</v>
      </c>
    </row>
    <row r="2606" spans="1:11" x14ac:dyDescent="0.25">
      <c r="A2606" t="s">
        <v>896</v>
      </c>
      <c r="B2606" t="s">
        <v>897</v>
      </c>
      <c r="C2606" s="1">
        <v>41536</v>
      </c>
      <c r="D2606" s="1">
        <v>41542</v>
      </c>
      <c r="E2606">
        <v>296</v>
      </c>
      <c r="F2606" t="s">
        <v>887</v>
      </c>
      <c r="G2606" t="s">
        <v>16</v>
      </c>
      <c r="H2606" t="s">
        <v>2483</v>
      </c>
      <c r="I2606">
        <v>2.2488999999999999</v>
      </c>
      <c r="J2606">
        <v>65578.259999999995</v>
      </c>
      <c r="K2606">
        <v>29160.149406376451</v>
      </c>
    </row>
    <row r="2607" spans="1:11" x14ac:dyDescent="0.25">
      <c r="A2607" t="s">
        <v>907</v>
      </c>
      <c r="B2607" t="s">
        <v>908</v>
      </c>
      <c r="C2607" s="1">
        <v>41531</v>
      </c>
      <c r="D2607" s="1">
        <v>41535</v>
      </c>
      <c r="E2607">
        <v>1</v>
      </c>
      <c r="F2607" t="s">
        <v>887</v>
      </c>
      <c r="G2607" t="s">
        <v>16</v>
      </c>
      <c r="H2607" t="s">
        <v>2484</v>
      </c>
      <c r="I2607">
        <v>2.2785000000000002</v>
      </c>
      <c r="J2607">
        <v>50438.7</v>
      </c>
      <c r="K2607">
        <v>22136.800526662279</v>
      </c>
    </row>
    <row r="2608" spans="1:11" x14ac:dyDescent="0.25">
      <c r="A2608" t="s">
        <v>907</v>
      </c>
      <c r="B2608" t="s">
        <v>908</v>
      </c>
      <c r="C2608" s="1">
        <v>41531</v>
      </c>
      <c r="D2608" s="1">
        <v>41542</v>
      </c>
      <c r="E2608">
        <v>1</v>
      </c>
      <c r="F2608" t="s">
        <v>887</v>
      </c>
      <c r="G2608" t="s">
        <v>16</v>
      </c>
      <c r="H2608" t="s">
        <v>2485</v>
      </c>
      <c r="I2608">
        <v>2.2785000000000002</v>
      </c>
      <c r="J2608">
        <v>69706.61</v>
      </c>
      <c r="K2608">
        <v>30593.201667763879</v>
      </c>
    </row>
    <row r="2609" spans="1:11" x14ac:dyDescent="0.25">
      <c r="A2609" t="s">
        <v>896</v>
      </c>
      <c r="B2609" t="s">
        <v>897</v>
      </c>
      <c r="C2609" s="1">
        <v>41528</v>
      </c>
      <c r="D2609" s="1">
        <v>41533</v>
      </c>
      <c r="E2609">
        <v>296</v>
      </c>
      <c r="F2609" t="s">
        <v>887</v>
      </c>
      <c r="G2609" t="s">
        <v>16</v>
      </c>
      <c r="H2609" t="s">
        <v>2486</v>
      </c>
      <c r="I2609">
        <v>2.2778999999999998</v>
      </c>
      <c r="J2609">
        <v>65961.61</v>
      </c>
      <c r="K2609">
        <v>28957.201808683436</v>
      </c>
    </row>
    <row r="2610" spans="1:11" x14ac:dyDescent="0.25">
      <c r="A2610" t="s">
        <v>885</v>
      </c>
      <c r="B2610" t="s">
        <v>886</v>
      </c>
      <c r="C2610" s="1">
        <v>41528</v>
      </c>
      <c r="D2610" s="1">
        <v>41534</v>
      </c>
      <c r="E2610">
        <v>4</v>
      </c>
      <c r="F2610" t="s">
        <v>887</v>
      </c>
      <c r="G2610" t="s">
        <v>16</v>
      </c>
      <c r="H2610" t="s">
        <v>5861</v>
      </c>
      <c r="I2610">
        <v>2.2778999999999998</v>
      </c>
      <c r="J2610">
        <v>78712.210000000006</v>
      </c>
      <c r="K2610">
        <v>34554.725843979104</v>
      </c>
    </row>
    <row r="2611" spans="1:11" x14ac:dyDescent="0.25">
      <c r="A2611" t="s">
        <v>885</v>
      </c>
      <c r="B2611" t="s">
        <v>886</v>
      </c>
      <c r="C2611" s="1">
        <v>41526</v>
      </c>
      <c r="D2611" s="1">
        <v>41533</v>
      </c>
      <c r="E2611">
        <v>4</v>
      </c>
      <c r="F2611" t="s">
        <v>887</v>
      </c>
      <c r="G2611" t="s">
        <v>16</v>
      </c>
      <c r="H2611" t="s">
        <v>5862</v>
      </c>
      <c r="I2611">
        <v>2.2978999999999998</v>
      </c>
      <c r="J2611">
        <v>58865.83</v>
      </c>
      <c r="K2611">
        <v>25617.22877409809</v>
      </c>
    </row>
    <row r="2612" spans="1:11" x14ac:dyDescent="0.25">
      <c r="A2612" t="s">
        <v>896</v>
      </c>
      <c r="B2612" t="s">
        <v>897</v>
      </c>
      <c r="C2612" s="1">
        <v>41534</v>
      </c>
      <c r="D2612" s="1">
        <v>41538</v>
      </c>
      <c r="E2612">
        <v>296</v>
      </c>
      <c r="F2612" t="s">
        <v>887</v>
      </c>
      <c r="G2612" t="s">
        <v>16</v>
      </c>
      <c r="H2612" t="s">
        <v>5863</v>
      </c>
      <c r="I2612">
        <v>2.2648999999999999</v>
      </c>
      <c r="J2612">
        <v>48814.71</v>
      </c>
      <c r="K2612">
        <v>21552.699898450264</v>
      </c>
    </row>
    <row r="2613" spans="1:11" x14ac:dyDescent="0.25">
      <c r="A2613" t="s">
        <v>896</v>
      </c>
      <c r="B2613" t="s">
        <v>897</v>
      </c>
      <c r="C2613" s="1">
        <v>41534</v>
      </c>
      <c r="D2613" s="1">
        <v>41538</v>
      </c>
      <c r="E2613">
        <v>296</v>
      </c>
      <c r="F2613" t="s">
        <v>887</v>
      </c>
      <c r="G2613" t="s">
        <v>16</v>
      </c>
      <c r="H2613" t="s">
        <v>5864</v>
      </c>
      <c r="I2613">
        <v>2.2648999999999999</v>
      </c>
      <c r="J2613">
        <v>49362.59</v>
      </c>
      <c r="K2613">
        <v>21794.600203099475</v>
      </c>
    </row>
    <row r="2614" spans="1:11" x14ac:dyDescent="0.25">
      <c r="A2614" t="s">
        <v>885</v>
      </c>
      <c r="B2614" t="s">
        <v>886</v>
      </c>
      <c r="C2614" s="1">
        <v>41555</v>
      </c>
      <c r="D2614" s="1">
        <v>41562</v>
      </c>
      <c r="E2614">
        <v>4</v>
      </c>
      <c r="F2614" t="s">
        <v>887</v>
      </c>
      <c r="G2614" t="s">
        <v>16</v>
      </c>
      <c r="H2614" t="s">
        <v>2487</v>
      </c>
      <c r="I2614">
        <v>2.2086999999999999</v>
      </c>
      <c r="J2614">
        <v>55697.13</v>
      </c>
      <c r="K2614">
        <v>25217.154887490378</v>
      </c>
    </row>
    <row r="2615" spans="1:11" x14ac:dyDescent="0.25">
      <c r="A2615" t="s">
        <v>1558</v>
      </c>
      <c r="B2615" t="s">
        <v>1559</v>
      </c>
      <c r="C2615" s="1">
        <v>41544</v>
      </c>
      <c r="D2615" s="1">
        <v>41562</v>
      </c>
      <c r="E2615">
        <v>2</v>
      </c>
      <c r="F2615" t="s">
        <v>887</v>
      </c>
      <c r="G2615" t="s">
        <v>16</v>
      </c>
      <c r="H2615" t="s">
        <v>5865</v>
      </c>
      <c r="I2615">
        <v>2.2284999999999999</v>
      </c>
      <c r="J2615">
        <v>73493.84</v>
      </c>
      <c r="K2615">
        <v>32979.062149427868</v>
      </c>
    </row>
    <row r="2616" spans="1:11" x14ac:dyDescent="0.25">
      <c r="A2616" t="s">
        <v>885</v>
      </c>
      <c r="B2616" t="s">
        <v>886</v>
      </c>
      <c r="C2616" s="1">
        <v>41552</v>
      </c>
      <c r="D2616" s="1">
        <v>41562</v>
      </c>
      <c r="E2616">
        <v>4</v>
      </c>
      <c r="F2616" t="s">
        <v>887</v>
      </c>
      <c r="G2616" t="s">
        <v>16</v>
      </c>
      <c r="H2616" t="s">
        <v>2488</v>
      </c>
      <c r="I2616">
        <v>2.2050999999999998</v>
      </c>
      <c r="J2616">
        <v>76816.13</v>
      </c>
      <c r="K2616">
        <v>34835.667316674982</v>
      </c>
    </row>
    <row r="2617" spans="1:11" x14ac:dyDescent="0.25">
      <c r="A2617" t="s">
        <v>896</v>
      </c>
      <c r="B2617" t="s">
        <v>897</v>
      </c>
      <c r="C2617" s="1">
        <v>41554</v>
      </c>
      <c r="D2617" s="1">
        <v>41562</v>
      </c>
      <c r="E2617">
        <v>296</v>
      </c>
      <c r="F2617" t="s">
        <v>887</v>
      </c>
      <c r="G2617" t="s">
        <v>16</v>
      </c>
      <c r="H2617" t="s">
        <v>5866</v>
      </c>
      <c r="I2617">
        <v>2.2050999999999998</v>
      </c>
      <c r="J2617">
        <v>64425.97</v>
      </c>
      <c r="K2617">
        <v>29216.801959094824</v>
      </c>
    </row>
    <row r="2618" spans="1:11" x14ac:dyDescent="0.25">
      <c r="A2618" t="s">
        <v>924</v>
      </c>
      <c r="B2618" t="s">
        <v>925</v>
      </c>
      <c r="C2618" s="1">
        <v>41551</v>
      </c>
      <c r="D2618" s="1">
        <v>41558</v>
      </c>
      <c r="E2618">
        <v>696</v>
      </c>
      <c r="F2618" t="s">
        <v>278</v>
      </c>
      <c r="G2618" t="s">
        <v>16</v>
      </c>
      <c r="H2618" t="s">
        <v>2489</v>
      </c>
      <c r="I2618">
        <v>2.2069000000000001</v>
      </c>
      <c r="J2618">
        <v>68500</v>
      </c>
      <c r="K2618">
        <v>31039.014001540621</v>
      </c>
    </row>
    <row r="2619" spans="1:11" x14ac:dyDescent="0.25">
      <c r="A2619" t="s">
        <v>896</v>
      </c>
      <c r="B2619" t="s">
        <v>897</v>
      </c>
      <c r="C2619" s="1">
        <v>41541</v>
      </c>
      <c r="D2619" s="1">
        <v>41548</v>
      </c>
      <c r="E2619">
        <v>296</v>
      </c>
      <c r="F2619" t="s">
        <v>887</v>
      </c>
      <c r="G2619" t="s">
        <v>16</v>
      </c>
      <c r="H2619" t="s">
        <v>5867</v>
      </c>
      <c r="I2619">
        <v>2.2033</v>
      </c>
      <c r="J2619">
        <v>77977.19</v>
      </c>
      <c r="K2619">
        <v>35391.090636772118</v>
      </c>
    </row>
    <row r="2620" spans="1:11" x14ac:dyDescent="0.25">
      <c r="A2620" t="s">
        <v>885</v>
      </c>
      <c r="B2620" t="s">
        <v>886</v>
      </c>
      <c r="C2620" s="1">
        <v>41550</v>
      </c>
      <c r="D2620" s="1">
        <v>41555</v>
      </c>
      <c r="E2620">
        <v>4</v>
      </c>
      <c r="F2620" t="s">
        <v>887</v>
      </c>
      <c r="G2620" t="s">
        <v>16</v>
      </c>
      <c r="H2620" t="s">
        <v>2490</v>
      </c>
      <c r="I2620">
        <v>2.2088000000000001</v>
      </c>
      <c r="J2620">
        <v>74212.899999999994</v>
      </c>
      <c r="K2620">
        <v>33598.741398044185</v>
      </c>
    </row>
    <row r="2621" spans="1:11" x14ac:dyDescent="0.25">
      <c r="A2621" t="s">
        <v>917</v>
      </c>
      <c r="B2621" t="s">
        <v>918</v>
      </c>
      <c r="C2621" s="1">
        <v>41502</v>
      </c>
      <c r="D2621" s="1">
        <v>41515</v>
      </c>
      <c r="E2621">
        <v>16313</v>
      </c>
      <c r="F2621" t="s">
        <v>311</v>
      </c>
      <c r="G2621" t="s">
        <v>16</v>
      </c>
      <c r="H2621" t="s">
        <v>2491</v>
      </c>
      <c r="I2621">
        <v>2.3433999999999999</v>
      </c>
      <c r="J2621">
        <v>14122.85</v>
      </c>
      <c r="K2621">
        <v>6026.6493129640694</v>
      </c>
    </row>
    <row r="2622" spans="1:11" x14ac:dyDescent="0.25">
      <c r="A2622" t="s">
        <v>5868</v>
      </c>
      <c r="B2622" t="s">
        <v>597</v>
      </c>
      <c r="C2622" s="1">
        <v>41549</v>
      </c>
      <c r="D2622" s="1">
        <v>41556</v>
      </c>
      <c r="E2622">
        <v>540</v>
      </c>
      <c r="F2622" t="s">
        <v>303</v>
      </c>
      <c r="G2622" t="s">
        <v>16</v>
      </c>
      <c r="H2622" t="s">
        <v>340</v>
      </c>
      <c r="I2622">
        <v>2.2122999999999999</v>
      </c>
      <c r="J2622">
        <v>95571.36</v>
      </c>
      <c r="K2622">
        <v>43200</v>
      </c>
    </row>
    <row r="2623" spans="1:11" x14ac:dyDescent="0.25">
      <c r="A2623" t="s">
        <v>1521</v>
      </c>
      <c r="B2623" t="s">
        <v>1522</v>
      </c>
      <c r="C2623" s="1">
        <v>41547</v>
      </c>
      <c r="D2623" s="1">
        <v>41556</v>
      </c>
      <c r="E2623">
        <v>435</v>
      </c>
      <c r="F2623" t="s">
        <v>303</v>
      </c>
      <c r="G2623" t="s">
        <v>16</v>
      </c>
      <c r="H2623" t="s">
        <v>5869</v>
      </c>
      <c r="I2623">
        <v>2.2570999999999999</v>
      </c>
      <c r="J2623">
        <v>339219.02</v>
      </c>
      <c r="K2623">
        <v>150289.76119799743</v>
      </c>
    </row>
    <row r="2624" spans="1:11" x14ac:dyDescent="0.25">
      <c r="A2624" t="s">
        <v>907</v>
      </c>
      <c r="B2624" t="s">
        <v>908</v>
      </c>
      <c r="C2624" s="1">
        <v>41537</v>
      </c>
      <c r="D2624" s="1">
        <v>41545</v>
      </c>
      <c r="E2624">
        <v>1</v>
      </c>
      <c r="F2624" t="s">
        <v>887</v>
      </c>
      <c r="G2624" t="s">
        <v>16</v>
      </c>
      <c r="H2624" t="s">
        <v>5870</v>
      </c>
      <c r="I2624">
        <v>2.2035999999999998</v>
      </c>
      <c r="J2624">
        <v>70876.59</v>
      </c>
      <c r="K2624">
        <v>32163.999818478853</v>
      </c>
    </row>
    <row r="2625" spans="1:11" x14ac:dyDescent="0.25">
      <c r="A2625" t="s">
        <v>896</v>
      </c>
      <c r="B2625" t="s">
        <v>897</v>
      </c>
      <c r="C2625" s="1">
        <v>41551</v>
      </c>
      <c r="D2625" s="1">
        <v>41555</v>
      </c>
      <c r="E2625">
        <v>296</v>
      </c>
      <c r="F2625" t="s">
        <v>887</v>
      </c>
      <c r="G2625" t="s">
        <v>16</v>
      </c>
      <c r="H2625" t="s">
        <v>5871</v>
      </c>
      <c r="I2625">
        <v>2.2069000000000001</v>
      </c>
      <c r="J2625">
        <v>47890.14</v>
      </c>
      <c r="K2625">
        <v>21700.185780959717</v>
      </c>
    </row>
    <row r="2626" spans="1:11" x14ac:dyDescent="0.25">
      <c r="A2626" t="s">
        <v>896</v>
      </c>
      <c r="B2626" t="s">
        <v>897</v>
      </c>
      <c r="C2626" s="1">
        <v>41548</v>
      </c>
      <c r="D2626" s="1">
        <v>41555</v>
      </c>
      <c r="E2626">
        <v>296</v>
      </c>
      <c r="F2626" t="s">
        <v>887</v>
      </c>
      <c r="G2626" t="s">
        <v>16</v>
      </c>
      <c r="H2626" t="s">
        <v>5872</v>
      </c>
      <c r="I2626">
        <v>2.23</v>
      </c>
      <c r="J2626">
        <v>66258.649999999994</v>
      </c>
      <c r="K2626">
        <v>29712.399103139014</v>
      </c>
    </row>
    <row r="2627" spans="1:11" x14ac:dyDescent="0.25">
      <c r="A2627" t="s">
        <v>921</v>
      </c>
      <c r="B2627" t="s">
        <v>922</v>
      </c>
      <c r="C2627" s="1">
        <v>41550</v>
      </c>
      <c r="D2627" s="1">
        <v>41564</v>
      </c>
      <c r="E2627">
        <v>18399</v>
      </c>
      <c r="F2627" t="s">
        <v>887</v>
      </c>
      <c r="G2627" t="s">
        <v>16</v>
      </c>
      <c r="H2627" t="s">
        <v>2492</v>
      </c>
      <c r="I2627">
        <v>2.2088000000000001</v>
      </c>
      <c r="J2627">
        <v>56176.5</v>
      </c>
      <c r="K2627">
        <v>25433.040565012678</v>
      </c>
    </row>
    <row r="2628" spans="1:11" x14ac:dyDescent="0.25">
      <c r="A2628" t="s">
        <v>885</v>
      </c>
      <c r="B2628" t="s">
        <v>886</v>
      </c>
      <c r="C2628" s="1">
        <v>41556</v>
      </c>
      <c r="D2628" s="1">
        <v>41561</v>
      </c>
      <c r="E2628">
        <v>4</v>
      </c>
      <c r="F2628" t="s">
        <v>887</v>
      </c>
      <c r="G2628" t="s">
        <v>16</v>
      </c>
      <c r="H2628" t="s">
        <v>5873</v>
      </c>
      <c r="I2628">
        <v>2.2016</v>
      </c>
      <c r="J2628">
        <v>56582.62</v>
      </c>
      <c r="K2628">
        <v>25700.68132267442</v>
      </c>
    </row>
    <row r="2629" spans="1:11" x14ac:dyDescent="0.25">
      <c r="A2629" t="s">
        <v>885</v>
      </c>
      <c r="B2629" t="s">
        <v>886</v>
      </c>
      <c r="C2629" s="1">
        <v>41556</v>
      </c>
      <c r="D2629" s="1">
        <v>41561</v>
      </c>
      <c r="E2629">
        <v>4</v>
      </c>
      <c r="F2629" t="s">
        <v>887</v>
      </c>
      <c r="G2629" t="s">
        <v>16</v>
      </c>
      <c r="H2629" t="s">
        <v>2493</v>
      </c>
      <c r="I2629">
        <v>2.2016</v>
      </c>
      <c r="J2629">
        <v>58347.44</v>
      </c>
      <c r="K2629">
        <v>26502.289244186046</v>
      </c>
    </row>
    <row r="2630" spans="1:11" x14ac:dyDescent="0.25">
      <c r="A2630" t="s">
        <v>896</v>
      </c>
      <c r="B2630" t="s">
        <v>897</v>
      </c>
      <c r="C2630" s="1">
        <v>41551</v>
      </c>
      <c r="D2630" s="1">
        <v>41556</v>
      </c>
      <c r="E2630">
        <v>296</v>
      </c>
      <c r="F2630" t="s">
        <v>887</v>
      </c>
      <c r="G2630" t="s">
        <v>16</v>
      </c>
      <c r="H2630" t="s">
        <v>5874</v>
      </c>
      <c r="I2630">
        <v>2.2069000000000001</v>
      </c>
      <c r="J2630">
        <v>48007.360000000001</v>
      </c>
      <c r="K2630">
        <v>21753.30101046717</v>
      </c>
    </row>
    <row r="2631" spans="1:11" x14ac:dyDescent="0.25">
      <c r="A2631" t="s">
        <v>896</v>
      </c>
      <c r="B2631" t="s">
        <v>897</v>
      </c>
      <c r="C2631" s="1">
        <v>41543</v>
      </c>
      <c r="D2631" s="1">
        <v>41550</v>
      </c>
      <c r="E2631">
        <v>296</v>
      </c>
      <c r="F2631" t="s">
        <v>887</v>
      </c>
      <c r="G2631" t="s">
        <v>16</v>
      </c>
      <c r="H2631" t="s">
        <v>5875</v>
      </c>
      <c r="I2631">
        <v>2.2223999999999999</v>
      </c>
      <c r="J2631">
        <v>41788.449999999997</v>
      </c>
      <c r="K2631">
        <v>18803.298236141109</v>
      </c>
    </row>
    <row r="2632" spans="1:11" x14ac:dyDescent="0.25">
      <c r="A2632" t="s">
        <v>5876</v>
      </c>
      <c r="B2632" t="s">
        <v>5877</v>
      </c>
      <c r="C2632" s="1">
        <v>41535</v>
      </c>
      <c r="D2632" s="1">
        <v>41550</v>
      </c>
      <c r="E2632">
        <v>4</v>
      </c>
      <c r="F2632" t="s">
        <v>303</v>
      </c>
      <c r="G2632" t="s">
        <v>16</v>
      </c>
      <c r="H2632" t="s">
        <v>5878</v>
      </c>
      <c r="I2632">
        <v>2.2616999999999998</v>
      </c>
      <c r="J2632">
        <v>36814.93</v>
      </c>
      <c r="K2632">
        <v>16277.547862227528</v>
      </c>
    </row>
    <row r="2633" spans="1:11" x14ac:dyDescent="0.25">
      <c r="A2633" t="s">
        <v>2494</v>
      </c>
      <c r="B2633" t="s">
        <v>2495</v>
      </c>
      <c r="C2633" s="1">
        <v>41551</v>
      </c>
      <c r="D2633" s="1">
        <v>41558</v>
      </c>
      <c r="E2633">
        <v>697</v>
      </c>
      <c r="F2633" t="s">
        <v>278</v>
      </c>
      <c r="G2633" t="s">
        <v>16</v>
      </c>
      <c r="H2633" t="s">
        <v>2496</v>
      </c>
      <c r="I2633">
        <v>2.2069000000000001</v>
      </c>
      <c r="J2633">
        <v>68500</v>
      </c>
      <c r="K2633">
        <v>31039.014001540621</v>
      </c>
    </row>
    <row r="2634" spans="1:11" x14ac:dyDescent="0.25">
      <c r="A2634" t="s">
        <v>924</v>
      </c>
      <c r="B2634" t="s">
        <v>925</v>
      </c>
      <c r="C2634" s="1">
        <v>41551</v>
      </c>
      <c r="D2634" s="1">
        <v>41558</v>
      </c>
      <c r="E2634">
        <v>696</v>
      </c>
      <c r="F2634" t="s">
        <v>278</v>
      </c>
      <c r="G2634" t="s">
        <v>16</v>
      </c>
      <c r="H2634" t="s">
        <v>2497</v>
      </c>
      <c r="I2634">
        <v>2.2069000000000001</v>
      </c>
      <c r="J2634">
        <v>6377.4</v>
      </c>
      <c r="K2634">
        <v>2889.7548597580317</v>
      </c>
    </row>
    <row r="2635" spans="1:11" x14ac:dyDescent="0.25">
      <c r="A2635" t="s">
        <v>907</v>
      </c>
      <c r="B2635" t="s">
        <v>908</v>
      </c>
      <c r="C2635" s="1">
        <v>41535</v>
      </c>
      <c r="D2635" s="1">
        <v>41540</v>
      </c>
      <c r="E2635">
        <v>1</v>
      </c>
      <c r="F2635" t="s">
        <v>887</v>
      </c>
      <c r="G2635" t="s">
        <v>16</v>
      </c>
      <c r="H2635" t="s">
        <v>2498</v>
      </c>
      <c r="I2635">
        <v>2.2616999999999998</v>
      </c>
      <c r="J2635">
        <v>57135.07</v>
      </c>
      <c r="K2635">
        <v>25262.002033868328</v>
      </c>
    </row>
    <row r="2636" spans="1:11" x14ac:dyDescent="0.25">
      <c r="A2636" t="s">
        <v>896</v>
      </c>
      <c r="B2636" t="s">
        <v>897</v>
      </c>
      <c r="C2636" s="1">
        <v>41543</v>
      </c>
      <c r="D2636" s="1">
        <v>41552</v>
      </c>
      <c r="E2636">
        <v>296</v>
      </c>
      <c r="F2636" t="s">
        <v>887</v>
      </c>
      <c r="G2636" t="s">
        <v>16</v>
      </c>
      <c r="H2636" t="s">
        <v>5879</v>
      </c>
      <c r="I2636">
        <v>2.2223999999999999</v>
      </c>
      <c r="J2636">
        <v>46473.599999999999</v>
      </c>
      <c r="K2636">
        <v>20911.447084233263</v>
      </c>
    </row>
    <row r="2637" spans="1:11" x14ac:dyDescent="0.25">
      <c r="A2637" t="s">
        <v>1994</v>
      </c>
      <c r="B2637" t="s">
        <v>1995</v>
      </c>
      <c r="C2637" s="1">
        <v>41542</v>
      </c>
      <c r="D2637" s="1">
        <v>41561</v>
      </c>
      <c r="E2637">
        <v>3</v>
      </c>
      <c r="F2637" t="s">
        <v>887</v>
      </c>
      <c r="G2637" t="s">
        <v>16</v>
      </c>
      <c r="H2637" t="s">
        <v>2499</v>
      </c>
      <c r="I2637">
        <v>2.2031000000000001</v>
      </c>
      <c r="J2637">
        <v>37165.19</v>
      </c>
      <c r="K2637">
        <v>16869.497526213065</v>
      </c>
    </row>
    <row r="2638" spans="1:11" x14ac:dyDescent="0.25">
      <c r="A2638" t="s">
        <v>1544</v>
      </c>
      <c r="B2638" t="s">
        <v>1545</v>
      </c>
      <c r="C2638" s="1">
        <v>41570</v>
      </c>
      <c r="D2638" s="1">
        <v>41584</v>
      </c>
      <c r="E2638">
        <v>18825</v>
      </c>
      <c r="F2638" t="s">
        <v>301</v>
      </c>
      <c r="G2638" t="s">
        <v>16</v>
      </c>
      <c r="H2638" t="s">
        <v>2500</v>
      </c>
      <c r="I2638">
        <v>2.1760000000000002</v>
      </c>
      <c r="J2638">
        <v>61605</v>
      </c>
      <c r="K2638">
        <v>28311.121323529413</v>
      </c>
    </row>
    <row r="2639" spans="1:11" x14ac:dyDescent="0.25">
      <c r="A2639" t="s">
        <v>950</v>
      </c>
      <c r="B2639" t="s">
        <v>951</v>
      </c>
      <c r="C2639" s="1">
        <v>41568</v>
      </c>
      <c r="D2639" s="1">
        <v>41571</v>
      </c>
      <c r="E2639">
        <v>501</v>
      </c>
      <c r="F2639" t="s">
        <v>309</v>
      </c>
      <c r="G2639" t="s">
        <v>16</v>
      </c>
      <c r="H2639" t="s">
        <v>5880</v>
      </c>
      <c r="I2639">
        <v>2.1616</v>
      </c>
      <c r="J2639">
        <v>147480</v>
      </c>
      <c r="K2639">
        <v>68227.239082161366</v>
      </c>
    </row>
    <row r="2640" spans="1:11" x14ac:dyDescent="0.25">
      <c r="A2640" t="s">
        <v>1544</v>
      </c>
      <c r="B2640" t="s">
        <v>1545</v>
      </c>
      <c r="C2640" s="1">
        <v>41576</v>
      </c>
      <c r="D2640" s="1">
        <v>41584</v>
      </c>
      <c r="E2640">
        <v>18825</v>
      </c>
      <c r="F2640" t="s">
        <v>301</v>
      </c>
      <c r="G2640" t="s">
        <v>16</v>
      </c>
      <c r="H2640" t="s">
        <v>5881</v>
      </c>
      <c r="I2640">
        <v>2.1846000000000001</v>
      </c>
      <c r="J2640">
        <v>61920</v>
      </c>
      <c r="K2640">
        <v>28343.861576489977</v>
      </c>
    </row>
    <row r="2641" spans="1:11" x14ac:dyDescent="0.25">
      <c r="A2641" t="s">
        <v>1544</v>
      </c>
      <c r="B2641" t="s">
        <v>1545</v>
      </c>
      <c r="C2641" s="1">
        <v>41576</v>
      </c>
      <c r="D2641" s="1">
        <v>41584</v>
      </c>
      <c r="E2641">
        <v>18825</v>
      </c>
      <c r="F2641" t="s">
        <v>301</v>
      </c>
      <c r="G2641" t="s">
        <v>16</v>
      </c>
      <c r="H2641" t="s">
        <v>5882</v>
      </c>
      <c r="I2641">
        <v>2.1846000000000001</v>
      </c>
      <c r="J2641">
        <v>61920</v>
      </c>
      <c r="K2641">
        <v>28343.861576489977</v>
      </c>
    </row>
    <row r="2642" spans="1:11" x14ac:dyDescent="0.25">
      <c r="A2642" t="s">
        <v>1544</v>
      </c>
      <c r="B2642" t="s">
        <v>1545</v>
      </c>
      <c r="C2642" s="1">
        <v>41576</v>
      </c>
      <c r="D2642" s="1">
        <v>41584</v>
      </c>
      <c r="E2642">
        <v>18825</v>
      </c>
      <c r="F2642" t="s">
        <v>301</v>
      </c>
      <c r="G2642" t="s">
        <v>16</v>
      </c>
      <c r="H2642" t="s">
        <v>2501</v>
      </c>
      <c r="I2642">
        <v>2.1846000000000001</v>
      </c>
      <c r="J2642">
        <v>61920</v>
      </c>
      <c r="K2642">
        <v>28343.861576489977</v>
      </c>
    </row>
    <row r="2643" spans="1:11" x14ac:dyDescent="0.25">
      <c r="A2643" t="s">
        <v>946</v>
      </c>
      <c r="B2643" t="s">
        <v>947</v>
      </c>
      <c r="C2643" s="1">
        <v>41570</v>
      </c>
      <c r="D2643" s="1">
        <v>41573</v>
      </c>
      <c r="E2643">
        <v>1006</v>
      </c>
      <c r="F2643" t="s">
        <v>301</v>
      </c>
      <c r="G2643" t="s">
        <v>16</v>
      </c>
      <c r="H2643" t="s">
        <v>5883</v>
      </c>
      <c r="I2643">
        <v>2.1760000000000002</v>
      </c>
      <c r="J2643">
        <v>61605</v>
      </c>
      <c r="K2643">
        <v>28311.121323529413</v>
      </c>
    </row>
    <row r="2644" spans="1:11" x14ac:dyDescent="0.25">
      <c r="A2644" t="s">
        <v>1555</v>
      </c>
      <c r="B2644" t="s">
        <v>1556</v>
      </c>
      <c r="C2644" s="1">
        <v>41570</v>
      </c>
      <c r="D2644" s="1">
        <v>41575</v>
      </c>
      <c r="E2644">
        <v>18573</v>
      </c>
      <c r="F2644" t="s">
        <v>301</v>
      </c>
      <c r="G2644" t="s">
        <v>16</v>
      </c>
      <c r="H2644" t="s">
        <v>2502</v>
      </c>
      <c r="I2644">
        <v>2.1760000000000002</v>
      </c>
      <c r="J2644">
        <v>28660.01</v>
      </c>
      <c r="K2644">
        <v>13170.960477941177</v>
      </c>
    </row>
    <row r="2645" spans="1:11" x14ac:dyDescent="0.25">
      <c r="A2645" t="s">
        <v>896</v>
      </c>
      <c r="B2645" t="s">
        <v>897</v>
      </c>
      <c r="C2645" s="1">
        <v>41563</v>
      </c>
      <c r="D2645" s="1">
        <v>41571</v>
      </c>
      <c r="E2645">
        <v>296</v>
      </c>
      <c r="F2645" t="s">
        <v>887</v>
      </c>
      <c r="G2645" t="s">
        <v>16</v>
      </c>
      <c r="H2645" t="s">
        <v>2503</v>
      </c>
      <c r="I2645">
        <v>2.1818</v>
      </c>
      <c r="J2645">
        <v>48300.58</v>
      </c>
      <c r="K2645">
        <v>22137.950316252634</v>
      </c>
    </row>
    <row r="2646" spans="1:11" x14ac:dyDescent="0.25">
      <c r="A2646" t="s">
        <v>896</v>
      </c>
      <c r="B2646" t="s">
        <v>897</v>
      </c>
      <c r="C2646" s="1">
        <v>41563</v>
      </c>
      <c r="D2646" s="1">
        <v>41571</v>
      </c>
      <c r="E2646">
        <v>296</v>
      </c>
      <c r="F2646" t="s">
        <v>887</v>
      </c>
      <c r="G2646" t="s">
        <v>16</v>
      </c>
      <c r="H2646" t="s">
        <v>2504</v>
      </c>
      <c r="I2646">
        <v>2.1818</v>
      </c>
      <c r="J2646">
        <v>49004.18</v>
      </c>
      <c r="K2646">
        <v>22460.436336969477</v>
      </c>
    </row>
    <row r="2647" spans="1:11" x14ac:dyDescent="0.25">
      <c r="A2647" t="s">
        <v>896</v>
      </c>
      <c r="B2647" t="s">
        <v>897</v>
      </c>
      <c r="C2647" s="1">
        <v>41564</v>
      </c>
      <c r="D2647" s="1">
        <v>41571</v>
      </c>
      <c r="E2647">
        <v>296</v>
      </c>
      <c r="F2647" t="s">
        <v>887</v>
      </c>
      <c r="G2647" t="s">
        <v>16</v>
      </c>
      <c r="H2647" t="s">
        <v>2505</v>
      </c>
      <c r="I2647">
        <v>2.1629</v>
      </c>
      <c r="J2647">
        <v>40261.339999999997</v>
      </c>
      <c r="K2647">
        <v>18614.517545887466</v>
      </c>
    </row>
    <row r="2648" spans="1:11" x14ac:dyDescent="0.25">
      <c r="A2648" t="s">
        <v>896</v>
      </c>
      <c r="B2648" t="s">
        <v>897</v>
      </c>
      <c r="C2648" s="1">
        <v>41563</v>
      </c>
      <c r="D2648" s="1">
        <v>41571</v>
      </c>
      <c r="E2648">
        <v>296</v>
      </c>
      <c r="F2648" t="s">
        <v>887</v>
      </c>
      <c r="G2648" t="s">
        <v>16</v>
      </c>
      <c r="H2648" t="s">
        <v>5884</v>
      </c>
      <c r="I2648">
        <v>2.1818</v>
      </c>
      <c r="J2648">
        <v>48860.85</v>
      </c>
      <c r="K2648">
        <v>22394.742872857274</v>
      </c>
    </row>
    <row r="2649" spans="1:11" x14ac:dyDescent="0.25">
      <c r="A2649" t="s">
        <v>896</v>
      </c>
      <c r="B2649" t="s">
        <v>897</v>
      </c>
      <c r="C2649" s="1">
        <v>41563</v>
      </c>
      <c r="D2649" s="1">
        <v>41571</v>
      </c>
      <c r="E2649">
        <v>296</v>
      </c>
      <c r="F2649" t="s">
        <v>887</v>
      </c>
      <c r="G2649" t="s">
        <v>16</v>
      </c>
      <c r="H2649" t="s">
        <v>2506</v>
      </c>
      <c r="I2649">
        <v>2.1818</v>
      </c>
      <c r="J2649">
        <v>49082.35</v>
      </c>
      <c r="K2649">
        <v>22496.2645522046</v>
      </c>
    </row>
    <row r="2650" spans="1:11" x14ac:dyDescent="0.25">
      <c r="A2650" t="s">
        <v>896</v>
      </c>
      <c r="B2650" t="s">
        <v>897</v>
      </c>
      <c r="C2650" s="1">
        <v>41563</v>
      </c>
      <c r="D2650" s="1">
        <v>41571</v>
      </c>
      <c r="E2650">
        <v>296</v>
      </c>
      <c r="F2650" t="s">
        <v>887</v>
      </c>
      <c r="G2650" t="s">
        <v>16</v>
      </c>
      <c r="H2650" t="s">
        <v>5885</v>
      </c>
      <c r="I2650">
        <v>2.1818</v>
      </c>
      <c r="J2650">
        <v>49421.120000000003</v>
      </c>
      <c r="K2650">
        <v>22651.535429461914</v>
      </c>
    </row>
    <row r="2651" spans="1:11" x14ac:dyDescent="0.25">
      <c r="A2651" t="s">
        <v>896</v>
      </c>
      <c r="B2651" t="s">
        <v>897</v>
      </c>
      <c r="C2651" s="1">
        <v>41564</v>
      </c>
      <c r="D2651" s="1">
        <v>41571</v>
      </c>
      <c r="E2651">
        <v>296</v>
      </c>
      <c r="F2651" t="s">
        <v>887</v>
      </c>
      <c r="G2651" t="s">
        <v>16</v>
      </c>
      <c r="H2651" t="s">
        <v>2507</v>
      </c>
      <c r="I2651">
        <v>2.1629</v>
      </c>
      <c r="J2651">
        <v>50658.93</v>
      </c>
      <c r="K2651">
        <v>23421.762448564426</v>
      </c>
    </row>
    <row r="2652" spans="1:11" x14ac:dyDescent="0.25">
      <c r="A2652" t="s">
        <v>896</v>
      </c>
      <c r="B2652" t="s">
        <v>897</v>
      </c>
      <c r="C2652" s="1">
        <v>41564</v>
      </c>
      <c r="D2652" s="1">
        <v>41571</v>
      </c>
      <c r="E2652">
        <v>296</v>
      </c>
      <c r="F2652" t="s">
        <v>887</v>
      </c>
      <c r="G2652" t="s">
        <v>16</v>
      </c>
      <c r="H2652" t="s">
        <v>5886</v>
      </c>
      <c r="I2652">
        <v>2.1629</v>
      </c>
      <c r="J2652">
        <v>48378.76</v>
      </c>
      <c r="K2652">
        <v>22367.543575754775</v>
      </c>
    </row>
    <row r="2653" spans="1:11" x14ac:dyDescent="0.25">
      <c r="A2653" t="s">
        <v>896</v>
      </c>
      <c r="B2653" t="s">
        <v>897</v>
      </c>
      <c r="C2653" s="1">
        <v>41564</v>
      </c>
      <c r="D2653" s="1">
        <v>41571</v>
      </c>
      <c r="E2653">
        <v>296</v>
      </c>
      <c r="F2653" t="s">
        <v>887</v>
      </c>
      <c r="G2653" t="s">
        <v>16</v>
      </c>
      <c r="H2653" t="s">
        <v>2508</v>
      </c>
      <c r="I2653">
        <v>2.1629</v>
      </c>
      <c r="J2653">
        <v>11092.05</v>
      </c>
      <c r="K2653">
        <v>5128.3230847473296</v>
      </c>
    </row>
    <row r="2654" spans="1:11" x14ac:dyDescent="0.25">
      <c r="A2654" t="s">
        <v>896</v>
      </c>
      <c r="B2654" t="s">
        <v>897</v>
      </c>
      <c r="C2654" s="1">
        <v>41564</v>
      </c>
      <c r="D2654" s="1">
        <v>41571</v>
      </c>
      <c r="E2654">
        <v>296</v>
      </c>
      <c r="F2654" t="s">
        <v>887</v>
      </c>
      <c r="G2654" t="s">
        <v>16</v>
      </c>
      <c r="H2654" t="s">
        <v>5887</v>
      </c>
      <c r="I2654">
        <v>2.1629</v>
      </c>
      <c r="J2654">
        <v>49369</v>
      </c>
      <c r="K2654">
        <v>22825.373341347266</v>
      </c>
    </row>
    <row r="2655" spans="1:11" x14ac:dyDescent="0.25">
      <c r="A2655" t="s">
        <v>5888</v>
      </c>
      <c r="B2655" t="s">
        <v>5889</v>
      </c>
      <c r="C2655" s="1">
        <v>41586</v>
      </c>
      <c r="D2655" s="1">
        <v>41590</v>
      </c>
      <c r="E2655">
        <v>18530</v>
      </c>
      <c r="F2655" t="s">
        <v>301</v>
      </c>
      <c r="G2655" t="s">
        <v>16</v>
      </c>
      <c r="H2655" t="s">
        <v>5890</v>
      </c>
      <c r="I2655">
        <v>2.2825000000000002</v>
      </c>
      <c r="J2655">
        <v>64619.99</v>
      </c>
      <c r="K2655">
        <v>28311.058050383352</v>
      </c>
    </row>
    <row r="2656" spans="1:11" x14ac:dyDescent="0.25">
      <c r="A2656" t="s">
        <v>958</v>
      </c>
      <c r="B2656" t="s">
        <v>959</v>
      </c>
      <c r="C2656" s="1">
        <v>41634</v>
      </c>
      <c r="D2656" s="1">
        <v>41647</v>
      </c>
      <c r="E2656">
        <v>20364</v>
      </c>
      <c r="F2656" t="s">
        <v>318</v>
      </c>
      <c r="G2656" t="s">
        <v>16</v>
      </c>
      <c r="H2656" t="s">
        <v>5891</v>
      </c>
      <c r="I2656">
        <v>2.3553999999999999</v>
      </c>
      <c r="J2656">
        <v>74548.41</v>
      </c>
      <c r="K2656">
        <v>31650</v>
      </c>
    </row>
    <row r="2657" spans="1:11" x14ac:dyDescent="0.25">
      <c r="A2657" t="s">
        <v>958</v>
      </c>
      <c r="B2657" t="s">
        <v>959</v>
      </c>
      <c r="C2657" s="1">
        <v>41634</v>
      </c>
      <c r="D2657" s="1">
        <v>41647</v>
      </c>
      <c r="E2657">
        <v>20364</v>
      </c>
      <c r="F2657" t="s">
        <v>318</v>
      </c>
      <c r="G2657" t="s">
        <v>16</v>
      </c>
      <c r="H2657" t="s">
        <v>5892</v>
      </c>
      <c r="I2657">
        <v>2.3553999999999999</v>
      </c>
      <c r="J2657">
        <v>74548.41</v>
      </c>
      <c r="K2657">
        <v>31650</v>
      </c>
    </row>
    <row r="2658" spans="1:11" x14ac:dyDescent="0.25">
      <c r="A2658" t="s">
        <v>1020</v>
      </c>
      <c r="B2658" t="s">
        <v>1021</v>
      </c>
      <c r="C2658" s="1">
        <v>41632</v>
      </c>
      <c r="D2658" s="1">
        <v>41638</v>
      </c>
      <c r="E2658">
        <v>19971</v>
      </c>
      <c r="F2658" t="s">
        <v>309</v>
      </c>
      <c r="G2658" t="s">
        <v>16</v>
      </c>
      <c r="H2658" t="s">
        <v>5893</v>
      </c>
      <c r="I2658">
        <v>2.3706</v>
      </c>
      <c r="J2658">
        <v>50439.51</v>
      </c>
      <c r="K2658">
        <v>21277.107061503419</v>
      </c>
    </row>
    <row r="2659" spans="1:11" x14ac:dyDescent="0.25">
      <c r="A2659" t="s">
        <v>972</v>
      </c>
      <c r="B2659" t="s">
        <v>973</v>
      </c>
      <c r="C2659" s="1">
        <v>41605</v>
      </c>
      <c r="D2659" s="1">
        <v>41612</v>
      </c>
      <c r="E2659">
        <v>19543</v>
      </c>
      <c r="F2659" t="s">
        <v>301</v>
      </c>
      <c r="G2659" t="s">
        <v>16</v>
      </c>
      <c r="H2659" t="s">
        <v>5894</v>
      </c>
      <c r="I2659">
        <v>2.3039999999999998</v>
      </c>
      <c r="J2659">
        <v>155544.1</v>
      </c>
      <c r="K2659">
        <v>67510.460069444438</v>
      </c>
    </row>
    <row r="2660" spans="1:11" x14ac:dyDescent="0.25">
      <c r="A2660" t="s">
        <v>972</v>
      </c>
      <c r="B2660" t="s">
        <v>973</v>
      </c>
      <c r="C2660" s="1">
        <v>41607</v>
      </c>
      <c r="D2660" s="1">
        <v>41612</v>
      </c>
      <c r="E2660">
        <v>19543</v>
      </c>
      <c r="F2660" t="s">
        <v>301</v>
      </c>
      <c r="G2660" t="s">
        <v>16</v>
      </c>
      <c r="H2660" t="s">
        <v>2509</v>
      </c>
      <c r="I2660">
        <v>1</v>
      </c>
      <c r="J2660">
        <v>28747.19</v>
      </c>
      <c r="K2660">
        <v>28747.19</v>
      </c>
    </row>
    <row r="2661" spans="1:11" x14ac:dyDescent="0.25">
      <c r="A2661" t="s">
        <v>2510</v>
      </c>
      <c r="B2661" t="s">
        <v>144</v>
      </c>
      <c r="C2661" s="1">
        <v>41600</v>
      </c>
      <c r="D2661" s="1">
        <v>41605</v>
      </c>
      <c r="E2661">
        <v>19302</v>
      </c>
      <c r="F2661" t="s">
        <v>370</v>
      </c>
      <c r="G2661" t="s">
        <v>16</v>
      </c>
      <c r="H2661" t="s">
        <v>2511</v>
      </c>
      <c r="I2661">
        <v>2.3067000000000002</v>
      </c>
      <c r="J2661">
        <v>289481.62</v>
      </c>
      <c r="K2661">
        <v>125495.9986127368</v>
      </c>
    </row>
    <row r="2662" spans="1:11" x14ac:dyDescent="0.25">
      <c r="A2662" t="s">
        <v>2029</v>
      </c>
      <c r="B2662" t="s">
        <v>2030</v>
      </c>
      <c r="C2662" s="1">
        <v>41627</v>
      </c>
      <c r="D2662" s="1">
        <v>41630</v>
      </c>
      <c r="E2662">
        <v>19678</v>
      </c>
      <c r="F2662" t="s">
        <v>309</v>
      </c>
      <c r="G2662" t="s">
        <v>16</v>
      </c>
      <c r="H2662" t="s">
        <v>2512</v>
      </c>
      <c r="I2662">
        <v>2.3273999999999999</v>
      </c>
      <c r="J2662">
        <v>66798.27</v>
      </c>
      <c r="K2662">
        <v>28700.812064965197</v>
      </c>
    </row>
    <row r="2663" spans="1:11" x14ac:dyDescent="0.25">
      <c r="A2663" t="s">
        <v>967</v>
      </c>
      <c r="B2663" t="s">
        <v>968</v>
      </c>
      <c r="C2663" s="1">
        <v>41613</v>
      </c>
      <c r="D2663" s="1">
        <v>41619</v>
      </c>
      <c r="E2663">
        <v>53</v>
      </c>
      <c r="F2663" t="s">
        <v>301</v>
      </c>
      <c r="G2663" t="s">
        <v>16</v>
      </c>
      <c r="H2663" t="s">
        <v>2513</v>
      </c>
      <c r="I2663">
        <v>2.3740000000000001</v>
      </c>
      <c r="J2663">
        <v>3465</v>
      </c>
      <c r="K2663">
        <v>1459.5619208087617</v>
      </c>
    </row>
    <row r="2664" spans="1:11" x14ac:dyDescent="0.25">
      <c r="A2664" t="s">
        <v>967</v>
      </c>
      <c r="B2664" t="s">
        <v>968</v>
      </c>
      <c r="C2664" s="1">
        <v>41614</v>
      </c>
      <c r="D2664" s="1">
        <v>41635</v>
      </c>
      <c r="E2664">
        <v>53</v>
      </c>
      <c r="F2664" t="s">
        <v>301</v>
      </c>
      <c r="G2664" t="s">
        <v>16</v>
      </c>
      <c r="H2664" t="s">
        <v>5895</v>
      </c>
      <c r="I2664">
        <v>2.3746999999999998</v>
      </c>
      <c r="J2664">
        <v>30179.99</v>
      </c>
      <c r="K2664">
        <v>12708.969554048932</v>
      </c>
    </row>
    <row r="2665" spans="1:11" x14ac:dyDescent="0.25">
      <c r="A2665" t="s">
        <v>5896</v>
      </c>
      <c r="C2665" s="1">
        <v>41635</v>
      </c>
      <c r="D2665" s="1">
        <v>41641</v>
      </c>
      <c r="E2665">
        <v>19</v>
      </c>
      <c r="F2665" t="s">
        <v>519</v>
      </c>
      <c r="G2665" t="s">
        <v>16</v>
      </c>
      <c r="H2665" t="s">
        <v>505</v>
      </c>
      <c r="I2665">
        <v>2.3506999999999998</v>
      </c>
      <c r="J2665">
        <v>424.85</v>
      </c>
      <c r="K2665">
        <v>180.73339856213042</v>
      </c>
    </row>
    <row r="2666" spans="1:11" x14ac:dyDescent="0.25">
      <c r="A2666" t="s">
        <v>2029</v>
      </c>
      <c r="B2666" t="s">
        <v>2030</v>
      </c>
      <c r="C2666" s="1">
        <v>41627</v>
      </c>
      <c r="D2666" s="1">
        <v>41648</v>
      </c>
      <c r="E2666">
        <v>19678</v>
      </c>
      <c r="F2666" t="s">
        <v>309</v>
      </c>
      <c r="G2666" t="s">
        <v>16</v>
      </c>
      <c r="H2666" t="s">
        <v>5897</v>
      </c>
      <c r="I2666">
        <v>2.3273999999999999</v>
      </c>
      <c r="J2666">
        <v>50439.51</v>
      </c>
      <c r="K2666">
        <v>21672.041763341069</v>
      </c>
    </row>
    <row r="2667" spans="1:11" x14ac:dyDescent="0.25">
      <c r="A2667" t="s">
        <v>950</v>
      </c>
      <c r="B2667" t="s">
        <v>951</v>
      </c>
      <c r="C2667" s="1">
        <v>41600</v>
      </c>
      <c r="D2667" s="1">
        <v>41627</v>
      </c>
      <c r="E2667">
        <v>501</v>
      </c>
      <c r="F2667" t="s">
        <v>309</v>
      </c>
      <c r="G2667" t="s">
        <v>16</v>
      </c>
      <c r="H2667" t="s">
        <v>2514</v>
      </c>
      <c r="I2667">
        <v>2.3067000000000002</v>
      </c>
      <c r="J2667">
        <v>98320</v>
      </c>
      <c r="K2667">
        <v>42623.661507781682</v>
      </c>
    </row>
    <row r="2668" spans="1:11" x14ac:dyDescent="0.25">
      <c r="A2668" t="s">
        <v>972</v>
      </c>
      <c r="B2668" t="s">
        <v>973</v>
      </c>
      <c r="C2668" s="1">
        <v>41605</v>
      </c>
      <c r="D2668" s="1">
        <v>41610</v>
      </c>
      <c r="E2668">
        <v>19543</v>
      </c>
      <c r="F2668" t="s">
        <v>301</v>
      </c>
      <c r="G2668" t="s">
        <v>16</v>
      </c>
      <c r="H2668" t="s">
        <v>2515</v>
      </c>
      <c r="I2668">
        <v>2.3039999999999998</v>
      </c>
      <c r="J2668">
        <v>54612.79</v>
      </c>
      <c r="K2668">
        <v>23703.467881944445</v>
      </c>
    </row>
    <row r="2669" spans="1:11" x14ac:dyDescent="0.25">
      <c r="A2669" t="s">
        <v>972</v>
      </c>
      <c r="B2669" t="s">
        <v>973</v>
      </c>
      <c r="C2669" s="1">
        <v>41605</v>
      </c>
      <c r="D2669" s="1">
        <v>41610</v>
      </c>
      <c r="E2669">
        <v>19543</v>
      </c>
      <c r="F2669" t="s">
        <v>301</v>
      </c>
      <c r="G2669" t="s">
        <v>16</v>
      </c>
      <c r="H2669" t="s">
        <v>2516</v>
      </c>
      <c r="I2669">
        <v>2.3039999999999998</v>
      </c>
      <c r="J2669">
        <v>6368</v>
      </c>
      <c r="K2669">
        <v>2763.8888888888887</v>
      </c>
    </row>
    <row r="2670" spans="1:11" x14ac:dyDescent="0.25">
      <c r="A2670" t="s">
        <v>3413</v>
      </c>
      <c r="B2670" t="s">
        <v>3414</v>
      </c>
      <c r="C2670" s="1">
        <v>41628</v>
      </c>
      <c r="D2670" s="1">
        <v>41634</v>
      </c>
      <c r="E2670">
        <v>286</v>
      </c>
      <c r="F2670" t="s">
        <v>311</v>
      </c>
      <c r="G2670" t="s">
        <v>16</v>
      </c>
      <c r="H2670" t="s">
        <v>5898</v>
      </c>
      <c r="I2670">
        <v>2.3527999999999998</v>
      </c>
      <c r="J2670">
        <v>677433.6</v>
      </c>
      <c r="K2670">
        <v>287926.55559333559</v>
      </c>
    </row>
    <row r="2671" spans="1:11" x14ac:dyDescent="0.25">
      <c r="A2671" t="s">
        <v>972</v>
      </c>
      <c r="B2671" t="s">
        <v>973</v>
      </c>
      <c r="C2671" s="1">
        <v>41625</v>
      </c>
      <c r="D2671" s="1">
        <v>41634</v>
      </c>
      <c r="E2671">
        <v>19543</v>
      </c>
      <c r="F2671" t="s">
        <v>301</v>
      </c>
      <c r="G2671" t="s">
        <v>16</v>
      </c>
      <c r="H2671" t="s">
        <v>2517</v>
      </c>
      <c r="I2671">
        <v>2.3254999999999999</v>
      </c>
      <c r="J2671">
        <v>110433.69</v>
      </c>
      <c r="K2671">
        <v>47488.148785207479</v>
      </c>
    </row>
    <row r="2672" spans="1:11" x14ac:dyDescent="0.25">
      <c r="A2672" t="s">
        <v>972</v>
      </c>
      <c r="B2672" t="s">
        <v>973</v>
      </c>
      <c r="C2672" s="1">
        <v>41618</v>
      </c>
      <c r="D2672" s="1">
        <v>41624</v>
      </c>
      <c r="E2672">
        <v>19543</v>
      </c>
      <c r="F2672" t="s">
        <v>301</v>
      </c>
      <c r="G2672" t="s">
        <v>16</v>
      </c>
      <c r="H2672" t="s">
        <v>5899</v>
      </c>
      <c r="I2672">
        <v>2.3224999999999998</v>
      </c>
      <c r="J2672">
        <v>78104.399999999994</v>
      </c>
      <c r="K2672">
        <v>33629.451022604953</v>
      </c>
    </row>
    <row r="2673" spans="1:11" x14ac:dyDescent="0.25">
      <c r="A2673" t="s">
        <v>2518</v>
      </c>
      <c r="B2673" t="s">
        <v>2519</v>
      </c>
      <c r="C2673" s="1">
        <v>41626</v>
      </c>
      <c r="D2673" s="1">
        <v>41635</v>
      </c>
      <c r="E2673">
        <v>980</v>
      </c>
      <c r="F2673" t="s">
        <v>441</v>
      </c>
      <c r="G2673" t="s">
        <v>16</v>
      </c>
      <c r="H2673" t="s">
        <v>2520</v>
      </c>
      <c r="I2673">
        <v>2.3220999999999998</v>
      </c>
      <c r="J2673">
        <v>10577.97</v>
      </c>
      <c r="K2673">
        <v>4555.3464536411011</v>
      </c>
    </row>
    <row r="2674" spans="1:11" x14ac:dyDescent="0.25">
      <c r="A2674" t="s">
        <v>907</v>
      </c>
      <c r="B2674" t="s">
        <v>908</v>
      </c>
      <c r="C2674" s="1">
        <v>41599</v>
      </c>
      <c r="D2674" s="1">
        <v>41607</v>
      </c>
      <c r="E2674">
        <v>1</v>
      </c>
      <c r="F2674" t="s">
        <v>887</v>
      </c>
      <c r="G2674" t="s">
        <v>16</v>
      </c>
      <c r="H2674" t="s">
        <v>5900</v>
      </c>
      <c r="I2674">
        <v>2.2726000000000002</v>
      </c>
      <c r="J2674">
        <v>17028.59</v>
      </c>
      <c r="K2674">
        <v>7492.9992079556459</v>
      </c>
    </row>
    <row r="2675" spans="1:11" x14ac:dyDescent="0.25">
      <c r="A2675" t="s">
        <v>2004</v>
      </c>
      <c r="B2675" t="s">
        <v>2005</v>
      </c>
      <c r="C2675" s="1">
        <v>41611</v>
      </c>
      <c r="D2675" s="1">
        <v>41619</v>
      </c>
      <c r="E2675">
        <v>304</v>
      </c>
      <c r="F2675" t="s">
        <v>642</v>
      </c>
      <c r="G2675" t="s">
        <v>16</v>
      </c>
      <c r="H2675" t="s">
        <v>2521</v>
      </c>
      <c r="I2675">
        <v>2.3449</v>
      </c>
      <c r="J2675">
        <v>290743.2</v>
      </c>
      <c r="K2675">
        <v>123989.59443899526</v>
      </c>
    </row>
    <row r="2676" spans="1:11" x14ac:dyDescent="0.25">
      <c r="A2676" t="s">
        <v>1009</v>
      </c>
      <c r="B2676" t="s">
        <v>1010</v>
      </c>
      <c r="C2676" s="1">
        <v>41677</v>
      </c>
      <c r="D2676" s="1">
        <v>41682</v>
      </c>
      <c r="E2676">
        <v>21373</v>
      </c>
      <c r="F2676" t="s">
        <v>331</v>
      </c>
      <c r="G2676" t="s">
        <v>16</v>
      </c>
      <c r="H2676" t="s">
        <v>2522</v>
      </c>
      <c r="I2676">
        <v>2.4041000000000001</v>
      </c>
      <c r="J2676">
        <v>31752.84</v>
      </c>
      <c r="K2676">
        <v>13207.786697724719</v>
      </c>
    </row>
    <row r="2677" spans="1:11" x14ac:dyDescent="0.25">
      <c r="A2677" t="s">
        <v>976</v>
      </c>
      <c r="B2677" t="s">
        <v>977</v>
      </c>
      <c r="C2677" s="1">
        <v>41675</v>
      </c>
      <c r="D2677" s="1">
        <v>41684</v>
      </c>
      <c r="E2677">
        <v>20661</v>
      </c>
      <c r="F2677" t="s">
        <v>309</v>
      </c>
      <c r="G2677" t="s">
        <v>16</v>
      </c>
      <c r="H2677" t="s">
        <v>5901</v>
      </c>
      <c r="I2677">
        <v>2.4177</v>
      </c>
      <c r="J2677">
        <v>25648.55</v>
      </c>
      <c r="K2677">
        <v>10608.65698804649</v>
      </c>
    </row>
    <row r="2678" spans="1:11" x14ac:dyDescent="0.25">
      <c r="A2678" t="s">
        <v>1582</v>
      </c>
      <c r="B2678" t="s">
        <v>1583</v>
      </c>
      <c r="C2678" s="1">
        <v>41288</v>
      </c>
      <c r="D2678" s="1">
        <v>41656</v>
      </c>
      <c r="E2678">
        <v>20372</v>
      </c>
      <c r="F2678" t="s">
        <v>309</v>
      </c>
      <c r="G2678" t="s">
        <v>16</v>
      </c>
      <c r="H2678" t="s">
        <v>2523</v>
      </c>
      <c r="I2678">
        <v>2.0341</v>
      </c>
      <c r="J2678">
        <v>33204.980000000003</v>
      </c>
      <c r="K2678">
        <v>16324.163020500468</v>
      </c>
    </row>
    <row r="2679" spans="1:11" x14ac:dyDescent="0.25">
      <c r="A2679" t="s">
        <v>1582</v>
      </c>
      <c r="B2679" t="s">
        <v>1583</v>
      </c>
      <c r="C2679" s="1">
        <v>41653</v>
      </c>
      <c r="D2679" s="1">
        <v>41656</v>
      </c>
      <c r="E2679">
        <v>20372</v>
      </c>
      <c r="F2679" t="s">
        <v>309</v>
      </c>
      <c r="G2679" t="s">
        <v>16</v>
      </c>
      <c r="H2679" t="s">
        <v>2524</v>
      </c>
      <c r="I2679">
        <v>2.3491</v>
      </c>
      <c r="J2679">
        <v>34308.660000000003</v>
      </c>
      <c r="K2679">
        <v>14605.023200374611</v>
      </c>
    </row>
    <row r="2680" spans="1:11" x14ac:dyDescent="0.25">
      <c r="A2680" t="s">
        <v>2518</v>
      </c>
      <c r="B2680" t="s">
        <v>2519</v>
      </c>
      <c r="C2680" s="1">
        <v>41662</v>
      </c>
      <c r="D2680" s="1">
        <v>41662</v>
      </c>
      <c r="E2680">
        <v>980</v>
      </c>
      <c r="F2680" t="s">
        <v>441</v>
      </c>
      <c r="G2680" t="s">
        <v>16</v>
      </c>
      <c r="H2680" t="s">
        <v>2525</v>
      </c>
      <c r="I2680">
        <v>2.3601000000000001</v>
      </c>
      <c r="J2680">
        <v>12985.9</v>
      </c>
      <c r="K2680">
        <v>5502.2668530994451</v>
      </c>
    </row>
    <row r="2681" spans="1:11" x14ac:dyDescent="0.25">
      <c r="A2681" t="s">
        <v>982</v>
      </c>
      <c r="B2681" t="s">
        <v>983</v>
      </c>
      <c r="C2681" s="1">
        <v>41659</v>
      </c>
      <c r="D2681" s="1">
        <v>41662</v>
      </c>
      <c r="E2681">
        <v>20657</v>
      </c>
      <c r="F2681" t="s">
        <v>887</v>
      </c>
      <c r="G2681" t="s">
        <v>16</v>
      </c>
      <c r="H2681" t="s">
        <v>5902</v>
      </c>
      <c r="I2681">
        <v>2.3601000000000001</v>
      </c>
      <c r="J2681">
        <v>43757.43</v>
      </c>
      <c r="K2681">
        <v>18540.498283971017</v>
      </c>
    </row>
    <row r="2682" spans="1:11" x14ac:dyDescent="0.25">
      <c r="A2682" t="s">
        <v>986</v>
      </c>
      <c r="B2682" t="s">
        <v>987</v>
      </c>
      <c r="C2682" s="1">
        <v>41656</v>
      </c>
      <c r="D2682" s="1">
        <v>41666</v>
      </c>
      <c r="E2682">
        <v>20371</v>
      </c>
      <c r="F2682" t="s">
        <v>887</v>
      </c>
      <c r="G2682" t="s">
        <v>16</v>
      </c>
      <c r="H2682" t="s">
        <v>5903</v>
      </c>
      <c r="I2682">
        <v>2.3683000000000001</v>
      </c>
      <c r="J2682">
        <v>52092.18</v>
      </c>
      <c r="K2682">
        <v>21995.600219566779</v>
      </c>
    </row>
    <row r="2683" spans="1:11" x14ac:dyDescent="0.25">
      <c r="A2683" t="s">
        <v>979</v>
      </c>
      <c r="B2683" t="s">
        <v>980</v>
      </c>
      <c r="C2683" s="1">
        <v>41659</v>
      </c>
      <c r="D2683" s="1">
        <v>41667</v>
      </c>
      <c r="E2683">
        <v>20659</v>
      </c>
      <c r="F2683" t="s">
        <v>887</v>
      </c>
      <c r="G2683" t="s">
        <v>16</v>
      </c>
      <c r="H2683" t="s">
        <v>2526</v>
      </c>
      <c r="I2683">
        <v>2.3601000000000001</v>
      </c>
      <c r="J2683">
        <v>52035.18</v>
      </c>
      <c r="K2683">
        <v>22047.870852929962</v>
      </c>
    </row>
    <row r="2684" spans="1:11" x14ac:dyDescent="0.25">
      <c r="A2684" t="s">
        <v>1582</v>
      </c>
      <c r="B2684" t="s">
        <v>1583</v>
      </c>
      <c r="C2684" s="1">
        <v>41655</v>
      </c>
      <c r="D2684" s="1">
        <v>41659</v>
      </c>
      <c r="E2684">
        <v>20372</v>
      </c>
      <c r="F2684" t="s">
        <v>309</v>
      </c>
      <c r="G2684" t="s">
        <v>16</v>
      </c>
      <c r="H2684" t="s">
        <v>5904</v>
      </c>
      <c r="I2684">
        <v>2.347</v>
      </c>
      <c r="J2684">
        <v>34430.54</v>
      </c>
      <c r="K2684">
        <v>14670.021303792075</v>
      </c>
    </row>
    <row r="2685" spans="1:11" x14ac:dyDescent="0.25">
      <c r="A2685" t="s">
        <v>976</v>
      </c>
      <c r="B2685" t="s">
        <v>977</v>
      </c>
      <c r="C2685" s="1">
        <v>41656</v>
      </c>
      <c r="D2685" s="1">
        <v>41660</v>
      </c>
      <c r="E2685">
        <v>20661</v>
      </c>
      <c r="F2685" t="s">
        <v>309</v>
      </c>
      <c r="G2685" t="s">
        <v>16</v>
      </c>
      <c r="H2685" t="s">
        <v>2527</v>
      </c>
      <c r="I2685">
        <v>2.3683000000000001</v>
      </c>
      <c r="J2685">
        <v>25614.69</v>
      </c>
      <c r="K2685">
        <v>10815.644132922349</v>
      </c>
    </row>
    <row r="2686" spans="1:11" x14ac:dyDescent="0.25">
      <c r="A2686" t="s">
        <v>976</v>
      </c>
      <c r="B2686" t="s">
        <v>977</v>
      </c>
      <c r="C2686" s="1">
        <v>41655</v>
      </c>
      <c r="D2686" s="1">
        <v>41660</v>
      </c>
      <c r="E2686">
        <v>20661</v>
      </c>
      <c r="F2686" t="s">
        <v>309</v>
      </c>
      <c r="G2686" t="s">
        <v>16</v>
      </c>
      <c r="H2686" t="s">
        <v>5905</v>
      </c>
      <c r="I2686">
        <v>2.347</v>
      </c>
      <c r="J2686">
        <v>785.44</v>
      </c>
      <c r="K2686">
        <v>334.65700894759266</v>
      </c>
    </row>
    <row r="2687" spans="1:11" x14ac:dyDescent="0.25">
      <c r="A2687" t="s">
        <v>976</v>
      </c>
      <c r="B2687" t="s">
        <v>977</v>
      </c>
      <c r="C2687" s="1">
        <v>41657</v>
      </c>
      <c r="D2687" s="1">
        <v>41660</v>
      </c>
      <c r="E2687">
        <v>20661</v>
      </c>
      <c r="F2687" t="s">
        <v>309</v>
      </c>
      <c r="G2687" t="s">
        <v>16</v>
      </c>
      <c r="H2687" t="s">
        <v>5906</v>
      </c>
      <c r="I2687">
        <v>2.3601000000000001</v>
      </c>
      <c r="J2687">
        <v>33753.440000000002</v>
      </c>
      <c r="K2687">
        <v>14301.699080547434</v>
      </c>
    </row>
    <row r="2688" spans="1:11" x14ac:dyDescent="0.25">
      <c r="A2688" t="s">
        <v>972</v>
      </c>
      <c r="B2688" t="s">
        <v>973</v>
      </c>
      <c r="C2688" s="1">
        <v>41646</v>
      </c>
      <c r="D2688" s="1">
        <v>41649</v>
      </c>
      <c r="E2688">
        <v>19543</v>
      </c>
      <c r="F2688" t="s">
        <v>675</v>
      </c>
      <c r="G2688" t="s">
        <v>16</v>
      </c>
      <c r="H2688" t="s">
        <v>2528</v>
      </c>
      <c r="I2688">
        <v>2.3788999999999998</v>
      </c>
      <c r="J2688">
        <v>689407</v>
      </c>
      <c r="K2688">
        <v>289800.74824498716</v>
      </c>
    </row>
    <row r="2689" spans="1:11" x14ac:dyDescent="0.25">
      <c r="A2689" t="s">
        <v>976</v>
      </c>
      <c r="B2689" t="s">
        <v>977</v>
      </c>
      <c r="C2689" s="1">
        <v>41681</v>
      </c>
      <c r="D2689" s="1">
        <v>41684</v>
      </c>
      <c r="E2689">
        <v>20661</v>
      </c>
      <c r="F2689" t="s">
        <v>309</v>
      </c>
      <c r="G2689" t="s">
        <v>16</v>
      </c>
      <c r="H2689" t="s">
        <v>2394</v>
      </c>
      <c r="I2689">
        <v>2.3936000000000002</v>
      </c>
      <c r="J2689">
        <v>25465.73</v>
      </c>
      <c r="K2689">
        <v>10639.091744652407</v>
      </c>
    </row>
    <row r="2690" spans="1:11" x14ac:dyDescent="0.25">
      <c r="A2690" t="s">
        <v>976</v>
      </c>
      <c r="B2690" t="s">
        <v>977</v>
      </c>
      <c r="C2690" s="1">
        <v>41676</v>
      </c>
      <c r="D2690" s="1">
        <v>41684</v>
      </c>
      <c r="E2690">
        <v>20661</v>
      </c>
      <c r="F2690" t="s">
        <v>309</v>
      </c>
      <c r="G2690" t="s">
        <v>16</v>
      </c>
      <c r="H2690" t="s">
        <v>5907</v>
      </c>
      <c r="I2690">
        <v>2.4106000000000001</v>
      </c>
      <c r="J2690">
        <v>24869.88</v>
      </c>
      <c r="K2690">
        <v>10316.883763378411</v>
      </c>
    </row>
    <row r="2691" spans="1:11" x14ac:dyDescent="0.25">
      <c r="A2691" t="s">
        <v>976</v>
      </c>
      <c r="B2691" t="s">
        <v>977</v>
      </c>
      <c r="C2691" s="1">
        <v>41676</v>
      </c>
      <c r="D2691" s="1">
        <v>41684</v>
      </c>
      <c r="E2691">
        <v>20661</v>
      </c>
      <c r="F2691" t="s">
        <v>309</v>
      </c>
      <c r="G2691" t="s">
        <v>16</v>
      </c>
      <c r="H2691" t="s">
        <v>2529</v>
      </c>
      <c r="I2691">
        <v>2.4106000000000001</v>
      </c>
      <c r="J2691">
        <v>25208.43</v>
      </c>
      <c r="K2691">
        <v>10457.325976935203</v>
      </c>
    </row>
    <row r="2692" spans="1:11" x14ac:dyDescent="0.25">
      <c r="A2692" t="s">
        <v>976</v>
      </c>
      <c r="B2692" t="s">
        <v>977</v>
      </c>
      <c r="C2692" s="1">
        <v>41676</v>
      </c>
      <c r="D2692" s="1">
        <v>41684</v>
      </c>
      <c r="E2692">
        <v>20661</v>
      </c>
      <c r="F2692" t="s">
        <v>309</v>
      </c>
      <c r="G2692" t="s">
        <v>16</v>
      </c>
      <c r="H2692" t="s">
        <v>5908</v>
      </c>
      <c r="I2692">
        <v>2.4106000000000001</v>
      </c>
      <c r="J2692">
        <v>34593.040000000001</v>
      </c>
      <c r="K2692">
        <v>14350.385796067369</v>
      </c>
    </row>
    <row r="2693" spans="1:11" x14ac:dyDescent="0.25">
      <c r="A2693" t="s">
        <v>972</v>
      </c>
      <c r="B2693" t="s">
        <v>973</v>
      </c>
      <c r="C2693" s="1">
        <v>41648</v>
      </c>
      <c r="D2693" s="1">
        <v>41654</v>
      </c>
      <c r="E2693">
        <v>19543</v>
      </c>
      <c r="F2693" t="s">
        <v>675</v>
      </c>
      <c r="G2693" t="s">
        <v>16</v>
      </c>
      <c r="H2693" t="s">
        <v>2530</v>
      </c>
      <c r="I2693">
        <v>2.3778999999999999</v>
      </c>
      <c r="J2693">
        <v>9072</v>
      </c>
      <c r="K2693">
        <v>3815.1309979393582</v>
      </c>
    </row>
    <row r="2694" spans="1:11" x14ac:dyDescent="0.25">
      <c r="A2694" t="s">
        <v>976</v>
      </c>
      <c r="B2694" t="s">
        <v>977</v>
      </c>
      <c r="C2694" s="1">
        <v>41676</v>
      </c>
      <c r="D2694" s="1">
        <v>41684</v>
      </c>
      <c r="E2694">
        <v>20661</v>
      </c>
      <c r="F2694" t="s">
        <v>309</v>
      </c>
      <c r="G2694" t="s">
        <v>16</v>
      </c>
      <c r="H2694" t="s">
        <v>2531</v>
      </c>
      <c r="I2694">
        <v>2.4106000000000001</v>
      </c>
      <c r="J2694">
        <v>34281.57</v>
      </c>
      <c r="K2694">
        <v>14221.177300257197</v>
      </c>
    </row>
    <row r="2695" spans="1:11" x14ac:dyDescent="0.25">
      <c r="A2695" t="s">
        <v>976</v>
      </c>
      <c r="B2695" t="s">
        <v>977</v>
      </c>
      <c r="C2695" s="1">
        <v>41654</v>
      </c>
      <c r="D2695" s="1">
        <v>41655</v>
      </c>
      <c r="E2695">
        <v>20661</v>
      </c>
      <c r="F2695" t="s">
        <v>309</v>
      </c>
      <c r="G2695" t="s">
        <v>16</v>
      </c>
      <c r="H2695" t="s">
        <v>5909</v>
      </c>
      <c r="I2695">
        <v>2.3616999999999999</v>
      </c>
      <c r="J2695">
        <v>24578.73</v>
      </c>
      <c r="K2695">
        <v>10407.219375873312</v>
      </c>
    </row>
    <row r="2696" spans="1:11" x14ac:dyDescent="0.25">
      <c r="A2696" t="s">
        <v>993</v>
      </c>
      <c r="B2696" t="s">
        <v>994</v>
      </c>
      <c r="C2696" s="1">
        <v>41649</v>
      </c>
      <c r="D2696" s="1">
        <v>41655</v>
      </c>
      <c r="E2696">
        <v>20658</v>
      </c>
      <c r="F2696" t="s">
        <v>887</v>
      </c>
      <c r="G2696" t="s">
        <v>16</v>
      </c>
      <c r="H2696" t="s">
        <v>2532</v>
      </c>
      <c r="I2696">
        <v>2.3959999999999999</v>
      </c>
      <c r="J2696">
        <v>48929.91</v>
      </c>
      <c r="K2696">
        <v>20421.498330550919</v>
      </c>
    </row>
    <row r="2697" spans="1:11" x14ac:dyDescent="0.25">
      <c r="A2697" t="s">
        <v>1020</v>
      </c>
      <c r="B2697" t="s">
        <v>1021</v>
      </c>
      <c r="C2697" s="1">
        <v>41646</v>
      </c>
      <c r="D2697" s="1">
        <v>41649</v>
      </c>
      <c r="E2697">
        <v>19971</v>
      </c>
      <c r="F2697" t="s">
        <v>309</v>
      </c>
      <c r="G2697" t="s">
        <v>16</v>
      </c>
      <c r="H2697" t="s">
        <v>5910</v>
      </c>
      <c r="I2697">
        <v>2.3788999999999998</v>
      </c>
      <c r="J2697">
        <v>50439.51</v>
      </c>
      <c r="K2697">
        <v>21202.871074866536</v>
      </c>
    </row>
    <row r="2698" spans="1:11" x14ac:dyDescent="0.25">
      <c r="A2698" t="s">
        <v>1020</v>
      </c>
      <c r="B2698" t="s">
        <v>1021</v>
      </c>
      <c r="C2698" s="1">
        <v>41646</v>
      </c>
      <c r="D2698" s="1">
        <v>41649</v>
      </c>
      <c r="E2698">
        <v>19971</v>
      </c>
      <c r="F2698" t="s">
        <v>309</v>
      </c>
      <c r="G2698" t="s">
        <v>16</v>
      </c>
      <c r="H2698" t="s">
        <v>2533</v>
      </c>
      <c r="I2698">
        <v>2.3788999999999998</v>
      </c>
      <c r="J2698">
        <v>50439.51</v>
      </c>
      <c r="K2698">
        <v>21202.871074866536</v>
      </c>
    </row>
    <row r="2699" spans="1:11" x14ac:dyDescent="0.25">
      <c r="A2699" t="s">
        <v>976</v>
      </c>
      <c r="B2699" t="s">
        <v>977</v>
      </c>
      <c r="C2699" s="1">
        <v>41660</v>
      </c>
      <c r="D2699" s="1">
        <v>41663</v>
      </c>
      <c r="E2699">
        <v>20661</v>
      </c>
      <c r="F2699" t="s">
        <v>309</v>
      </c>
      <c r="G2699" t="s">
        <v>16</v>
      </c>
      <c r="H2699" t="s">
        <v>5911</v>
      </c>
      <c r="I2699">
        <v>2.3334999999999999</v>
      </c>
      <c r="J2699">
        <v>5308.46</v>
      </c>
      <c r="K2699">
        <v>2274.8917934433257</v>
      </c>
    </row>
    <row r="2700" spans="1:11" x14ac:dyDescent="0.25">
      <c r="A2700" t="s">
        <v>2534</v>
      </c>
      <c r="B2700" t="s">
        <v>2535</v>
      </c>
      <c r="C2700" s="1">
        <v>41649</v>
      </c>
      <c r="D2700" s="1">
        <v>41656</v>
      </c>
      <c r="E2700">
        <v>20370</v>
      </c>
      <c r="F2700" t="s">
        <v>887</v>
      </c>
      <c r="G2700" t="s">
        <v>16</v>
      </c>
      <c r="H2700" t="s">
        <v>2536</v>
      </c>
      <c r="I2700">
        <v>2.3959999999999999</v>
      </c>
      <c r="J2700">
        <v>66008.600000000006</v>
      </c>
      <c r="K2700">
        <v>27549.499165275458</v>
      </c>
    </row>
    <row r="2701" spans="1:11" x14ac:dyDescent="0.25">
      <c r="A2701" t="s">
        <v>1582</v>
      </c>
      <c r="B2701" t="s">
        <v>1583</v>
      </c>
      <c r="C2701" s="1">
        <v>41654</v>
      </c>
      <c r="D2701" s="1">
        <v>41656</v>
      </c>
      <c r="E2701">
        <v>20372</v>
      </c>
      <c r="F2701" t="s">
        <v>309</v>
      </c>
      <c r="G2701" t="s">
        <v>16</v>
      </c>
      <c r="H2701" t="s">
        <v>5912</v>
      </c>
      <c r="I2701">
        <v>2.3616999999999999</v>
      </c>
      <c r="J2701">
        <v>25174.58</v>
      </c>
      <c r="K2701">
        <v>10659.51645001482</v>
      </c>
    </row>
    <row r="2702" spans="1:11" x14ac:dyDescent="0.25">
      <c r="A2702" t="s">
        <v>1009</v>
      </c>
      <c r="B2702" t="s">
        <v>1010</v>
      </c>
      <c r="C2702" s="1">
        <v>41675</v>
      </c>
      <c r="D2702" s="1">
        <v>41680</v>
      </c>
      <c r="E2702">
        <v>21373</v>
      </c>
      <c r="F2702" t="s">
        <v>331</v>
      </c>
      <c r="G2702" t="s">
        <v>16</v>
      </c>
      <c r="H2702" t="s">
        <v>5913</v>
      </c>
      <c r="I2702">
        <v>2.4177</v>
      </c>
      <c r="J2702">
        <v>31131.39</v>
      </c>
      <c r="K2702">
        <v>12876.448690904579</v>
      </c>
    </row>
    <row r="2703" spans="1:11" x14ac:dyDescent="0.25">
      <c r="A2703" t="s">
        <v>2539</v>
      </c>
      <c r="B2703" t="s">
        <v>2540</v>
      </c>
      <c r="C2703" s="1">
        <v>41688</v>
      </c>
      <c r="D2703" s="1">
        <v>41703</v>
      </c>
      <c r="E2703">
        <v>21503</v>
      </c>
      <c r="F2703" t="s">
        <v>309</v>
      </c>
      <c r="G2703" t="s">
        <v>16</v>
      </c>
      <c r="H2703" t="s">
        <v>5914</v>
      </c>
      <c r="I2703">
        <v>2.387</v>
      </c>
      <c r="J2703">
        <v>22094.1</v>
      </c>
      <c r="K2703">
        <v>9256.0117302052786</v>
      </c>
    </row>
    <row r="2704" spans="1:11" x14ac:dyDescent="0.25">
      <c r="A2704" t="s">
        <v>2537</v>
      </c>
      <c r="C2704" s="1">
        <v>41698</v>
      </c>
      <c r="D2704" s="1">
        <v>41701</v>
      </c>
      <c r="E2704">
        <v>18789</v>
      </c>
      <c r="F2704" t="s">
        <v>519</v>
      </c>
      <c r="G2704" t="s">
        <v>16</v>
      </c>
      <c r="H2704" t="s">
        <v>2538</v>
      </c>
      <c r="I2704">
        <v>2.3435999999999999</v>
      </c>
      <c r="J2704">
        <v>184.87</v>
      </c>
      <c r="K2704">
        <v>78.882915173237748</v>
      </c>
    </row>
    <row r="2705" spans="1:11" x14ac:dyDescent="0.25">
      <c r="A2705" t="s">
        <v>2539</v>
      </c>
      <c r="B2705" t="s">
        <v>2540</v>
      </c>
      <c r="C2705" s="1">
        <v>41688</v>
      </c>
      <c r="D2705" s="1">
        <v>41692</v>
      </c>
      <c r="E2705">
        <v>21503</v>
      </c>
      <c r="F2705" t="s">
        <v>309</v>
      </c>
      <c r="G2705" t="s">
        <v>16</v>
      </c>
      <c r="H2705" t="s">
        <v>2541</v>
      </c>
      <c r="I2705">
        <v>2.387</v>
      </c>
      <c r="J2705">
        <v>37629.15</v>
      </c>
      <c r="K2705">
        <v>15764.201927105152</v>
      </c>
    </row>
    <row r="2706" spans="1:11" x14ac:dyDescent="0.25">
      <c r="A2706" t="s">
        <v>1024</v>
      </c>
      <c r="B2706" t="s">
        <v>1025</v>
      </c>
      <c r="C2706" s="1">
        <v>41708</v>
      </c>
      <c r="D2706" s="1">
        <v>41713</v>
      </c>
      <c r="E2706">
        <v>1</v>
      </c>
      <c r="F2706" t="s">
        <v>331</v>
      </c>
      <c r="G2706" t="s">
        <v>16</v>
      </c>
      <c r="H2706" t="s">
        <v>2542</v>
      </c>
      <c r="I2706">
        <v>2.3382000000000001</v>
      </c>
      <c r="J2706">
        <v>42309.120000000003</v>
      </c>
      <c r="K2706">
        <v>18094.739543238389</v>
      </c>
    </row>
    <row r="2707" spans="1:11" x14ac:dyDescent="0.25">
      <c r="A2707" t="s">
        <v>1024</v>
      </c>
      <c r="B2707" t="s">
        <v>1025</v>
      </c>
      <c r="C2707" s="1">
        <v>41708</v>
      </c>
      <c r="D2707" s="1">
        <v>41713</v>
      </c>
      <c r="E2707">
        <v>1</v>
      </c>
      <c r="F2707" t="s">
        <v>331</v>
      </c>
      <c r="G2707" t="s">
        <v>16</v>
      </c>
      <c r="H2707" t="s">
        <v>2543</v>
      </c>
      <c r="I2707">
        <v>2.3382000000000001</v>
      </c>
      <c r="J2707">
        <v>41872.43</v>
      </c>
      <c r="K2707">
        <v>17907.976221024721</v>
      </c>
    </row>
    <row r="2708" spans="1:11" x14ac:dyDescent="0.25">
      <c r="A2708" t="s">
        <v>976</v>
      </c>
      <c r="B2708" t="s">
        <v>977</v>
      </c>
      <c r="C2708" s="1">
        <v>41711</v>
      </c>
      <c r="D2708" s="1">
        <v>41713</v>
      </c>
      <c r="E2708">
        <v>20661</v>
      </c>
      <c r="F2708" t="s">
        <v>309</v>
      </c>
      <c r="G2708" t="s">
        <v>16</v>
      </c>
      <c r="H2708" t="s">
        <v>5915</v>
      </c>
      <c r="I2708">
        <v>2.3649</v>
      </c>
      <c r="J2708">
        <v>34532.1</v>
      </c>
      <c r="K2708">
        <v>14601.928199923886</v>
      </c>
    </row>
    <row r="2709" spans="1:11" x14ac:dyDescent="0.25">
      <c r="A2709" t="s">
        <v>976</v>
      </c>
      <c r="B2709" t="s">
        <v>977</v>
      </c>
      <c r="C2709" s="1">
        <v>41682</v>
      </c>
      <c r="D2709" s="1">
        <v>41687</v>
      </c>
      <c r="E2709">
        <v>20661</v>
      </c>
      <c r="F2709" t="s">
        <v>309</v>
      </c>
      <c r="G2709" t="s">
        <v>16</v>
      </c>
      <c r="H2709" t="s">
        <v>2858</v>
      </c>
      <c r="I2709">
        <v>2.4085999999999999</v>
      </c>
      <c r="J2709">
        <v>24341.75</v>
      </c>
      <c r="K2709">
        <v>10106.182014448228</v>
      </c>
    </row>
    <row r="2710" spans="1:11" x14ac:dyDescent="0.25">
      <c r="A2710" t="s">
        <v>1024</v>
      </c>
      <c r="B2710" t="s">
        <v>1025</v>
      </c>
      <c r="C2710" s="1">
        <v>41708</v>
      </c>
      <c r="D2710" s="1">
        <v>41713</v>
      </c>
      <c r="E2710">
        <v>1</v>
      </c>
      <c r="F2710" t="s">
        <v>331</v>
      </c>
      <c r="G2710" t="s">
        <v>16</v>
      </c>
      <c r="H2710" t="s">
        <v>2544</v>
      </c>
      <c r="I2710">
        <v>2.3382000000000001</v>
      </c>
      <c r="J2710">
        <v>31584.880000000001</v>
      </c>
      <c r="K2710">
        <v>13508.202891112822</v>
      </c>
    </row>
    <row r="2711" spans="1:11" x14ac:dyDescent="0.25">
      <c r="A2711" t="s">
        <v>1024</v>
      </c>
      <c r="B2711" t="s">
        <v>1025</v>
      </c>
      <c r="C2711" s="1">
        <v>41706</v>
      </c>
      <c r="D2711" s="1">
        <v>41711</v>
      </c>
      <c r="E2711">
        <v>1</v>
      </c>
      <c r="F2711" t="s">
        <v>331</v>
      </c>
      <c r="G2711" t="s">
        <v>16</v>
      </c>
      <c r="H2711" t="s">
        <v>5916</v>
      </c>
      <c r="I2711">
        <v>2.3382000000000001</v>
      </c>
      <c r="J2711">
        <v>30602.31</v>
      </c>
      <c r="K2711">
        <v>13087.977931742365</v>
      </c>
    </row>
    <row r="2712" spans="1:11" x14ac:dyDescent="0.25">
      <c r="A2712" t="s">
        <v>976</v>
      </c>
      <c r="B2712" t="s">
        <v>977</v>
      </c>
      <c r="C2712" s="1">
        <v>41712</v>
      </c>
      <c r="D2712" s="1">
        <v>41714</v>
      </c>
      <c r="E2712">
        <v>20661</v>
      </c>
      <c r="F2712" t="s">
        <v>309</v>
      </c>
      <c r="G2712" t="s">
        <v>16</v>
      </c>
      <c r="H2712" t="s">
        <v>2545</v>
      </c>
      <c r="I2712">
        <v>2.3485999999999998</v>
      </c>
      <c r="J2712">
        <v>56402.43</v>
      </c>
      <c r="K2712">
        <v>24015.341054245084</v>
      </c>
    </row>
    <row r="2713" spans="1:11" x14ac:dyDescent="0.25">
      <c r="A2713" t="s">
        <v>976</v>
      </c>
      <c r="B2713" t="s">
        <v>977</v>
      </c>
      <c r="C2713" s="1">
        <v>41712</v>
      </c>
      <c r="D2713" s="1">
        <v>41715</v>
      </c>
      <c r="E2713">
        <v>20661</v>
      </c>
      <c r="F2713" t="s">
        <v>309</v>
      </c>
      <c r="G2713" t="s">
        <v>16</v>
      </c>
      <c r="H2713" t="s">
        <v>2546</v>
      </c>
      <c r="I2713">
        <v>2.3485999999999998</v>
      </c>
      <c r="J2713">
        <v>56402.43</v>
      </c>
      <c r="K2713">
        <v>24015.341054245084</v>
      </c>
    </row>
    <row r="2714" spans="1:11" x14ac:dyDescent="0.25">
      <c r="A2714" t="s">
        <v>976</v>
      </c>
      <c r="B2714" t="s">
        <v>977</v>
      </c>
      <c r="C2714" s="1">
        <v>41713</v>
      </c>
      <c r="D2714" s="1">
        <v>41715</v>
      </c>
      <c r="E2714">
        <v>20661</v>
      </c>
      <c r="F2714" t="s">
        <v>309</v>
      </c>
      <c r="G2714" t="s">
        <v>16</v>
      </c>
      <c r="H2714" t="s">
        <v>5917</v>
      </c>
      <c r="I2714">
        <v>2.3637999999999999</v>
      </c>
      <c r="J2714">
        <v>42589.59</v>
      </c>
      <c r="K2714">
        <v>18017.425332092393</v>
      </c>
    </row>
    <row r="2715" spans="1:11" x14ac:dyDescent="0.25">
      <c r="A2715" t="s">
        <v>976</v>
      </c>
      <c r="B2715" t="s">
        <v>977</v>
      </c>
      <c r="C2715" s="1">
        <v>41713</v>
      </c>
      <c r="D2715" s="1">
        <v>41715</v>
      </c>
      <c r="E2715">
        <v>20661</v>
      </c>
      <c r="F2715" t="s">
        <v>309</v>
      </c>
      <c r="G2715" t="s">
        <v>16</v>
      </c>
      <c r="H2715" t="s">
        <v>5918</v>
      </c>
      <c r="I2715">
        <v>2.3637999999999999</v>
      </c>
      <c r="J2715">
        <v>42589.59</v>
      </c>
      <c r="K2715">
        <v>18017.425332092393</v>
      </c>
    </row>
    <row r="2716" spans="1:11" x14ac:dyDescent="0.25">
      <c r="A2716" t="s">
        <v>1036</v>
      </c>
      <c r="B2716" t="s">
        <v>1037</v>
      </c>
      <c r="C2716" s="1">
        <v>41708</v>
      </c>
      <c r="D2716" s="1">
        <v>41718</v>
      </c>
      <c r="E2716">
        <v>21505</v>
      </c>
      <c r="F2716" t="s">
        <v>309</v>
      </c>
      <c r="G2716" t="s">
        <v>16</v>
      </c>
      <c r="H2716" t="s">
        <v>5919</v>
      </c>
      <c r="I2716">
        <v>2.3382000000000001</v>
      </c>
      <c r="J2716">
        <v>60408</v>
      </c>
      <c r="K2716">
        <v>25835.257890685141</v>
      </c>
    </row>
    <row r="2717" spans="1:11" x14ac:dyDescent="0.25">
      <c r="A2717" t="s">
        <v>5920</v>
      </c>
      <c r="B2717" t="s">
        <v>144</v>
      </c>
      <c r="C2717" s="1">
        <v>41670</v>
      </c>
      <c r="D2717" s="1">
        <v>41690</v>
      </c>
      <c r="E2717">
        <v>20485</v>
      </c>
      <c r="F2717" t="s">
        <v>402</v>
      </c>
      <c r="G2717" t="s">
        <v>16</v>
      </c>
      <c r="H2717" t="s">
        <v>5921</v>
      </c>
      <c r="I2717">
        <v>2.4224000000000001</v>
      </c>
      <c r="J2717">
        <v>28099.84</v>
      </c>
      <c r="K2717">
        <v>11600</v>
      </c>
    </row>
    <row r="2718" spans="1:11" x14ac:dyDescent="0.25">
      <c r="A2718" t="s">
        <v>1024</v>
      </c>
      <c r="B2718" t="s">
        <v>1025</v>
      </c>
      <c r="C2718" s="1">
        <v>41705</v>
      </c>
      <c r="D2718" s="1">
        <v>41709</v>
      </c>
      <c r="E2718">
        <v>1</v>
      </c>
      <c r="F2718" t="s">
        <v>331</v>
      </c>
      <c r="G2718" t="s">
        <v>16</v>
      </c>
      <c r="H2718" t="s">
        <v>2547</v>
      </c>
      <c r="I2718">
        <v>2.3094000000000001</v>
      </c>
      <c r="J2718">
        <v>30778.67</v>
      </c>
      <c r="K2718">
        <v>13327.561271325885</v>
      </c>
    </row>
    <row r="2719" spans="1:11" x14ac:dyDescent="0.25">
      <c r="A2719" t="s">
        <v>1024</v>
      </c>
      <c r="B2719" t="s">
        <v>1025</v>
      </c>
      <c r="C2719" s="1">
        <v>41706</v>
      </c>
      <c r="D2719" s="1">
        <v>41710</v>
      </c>
      <c r="E2719">
        <v>1</v>
      </c>
      <c r="F2719" t="s">
        <v>331</v>
      </c>
      <c r="G2719" t="s">
        <v>16</v>
      </c>
      <c r="H2719" t="s">
        <v>2548</v>
      </c>
      <c r="I2719">
        <v>2.3382000000000001</v>
      </c>
      <c r="J2719">
        <v>26579.67</v>
      </c>
      <c r="K2719">
        <v>11367.577623813189</v>
      </c>
    </row>
    <row r="2720" spans="1:11" x14ac:dyDescent="0.25">
      <c r="A2720" t="s">
        <v>1024</v>
      </c>
      <c r="B2720" t="s">
        <v>1025</v>
      </c>
      <c r="C2720" s="1">
        <v>41705</v>
      </c>
      <c r="D2720" s="1">
        <v>41710</v>
      </c>
      <c r="E2720">
        <v>1</v>
      </c>
      <c r="F2720" t="s">
        <v>331</v>
      </c>
      <c r="G2720" t="s">
        <v>16</v>
      </c>
      <c r="H2720" t="s">
        <v>5922</v>
      </c>
      <c r="I2720">
        <v>2.3094000000000001</v>
      </c>
      <c r="J2720">
        <v>42208.35</v>
      </c>
      <c r="K2720">
        <v>18276.760197453885</v>
      </c>
    </row>
    <row r="2721" spans="1:11" x14ac:dyDescent="0.25">
      <c r="A2721" t="s">
        <v>1024</v>
      </c>
      <c r="B2721" t="s">
        <v>1025</v>
      </c>
      <c r="C2721" s="1">
        <v>41706</v>
      </c>
      <c r="D2721" s="1">
        <v>41710</v>
      </c>
      <c r="E2721">
        <v>1</v>
      </c>
      <c r="F2721" t="s">
        <v>331</v>
      </c>
      <c r="G2721" t="s">
        <v>16</v>
      </c>
      <c r="H2721" t="s">
        <v>5923</v>
      </c>
      <c r="I2721">
        <v>2.3382000000000001</v>
      </c>
      <c r="J2721">
        <v>31425.32</v>
      </c>
      <c r="K2721">
        <v>13439.962364211788</v>
      </c>
    </row>
    <row r="2722" spans="1:11" x14ac:dyDescent="0.25">
      <c r="A2722" t="s">
        <v>972</v>
      </c>
      <c r="B2722" t="s">
        <v>973</v>
      </c>
      <c r="C2722" s="1">
        <v>41709</v>
      </c>
      <c r="D2722" s="1">
        <v>41715</v>
      </c>
      <c r="E2722">
        <v>19543</v>
      </c>
      <c r="F2722" t="s">
        <v>675</v>
      </c>
      <c r="G2722" t="s">
        <v>16</v>
      </c>
      <c r="H2722" t="s">
        <v>5924</v>
      </c>
      <c r="I2722">
        <v>2.3410000000000002</v>
      </c>
      <c r="J2722">
        <v>22937.8</v>
      </c>
      <c r="K2722">
        <v>9798.2913284920978</v>
      </c>
    </row>
    <row r="2723" spans="1:11" x14ac:dyDescent="0.25">
      <c r="A2723" t="s">
        <v>1036</v>
      </c>
      <c r="B2723" t="s">
        <v>1037</v>
      </c>
      <c r="C2723" s="1">
        <v>41740</v>
      </c>
      <c r="D2723" s="1">
        <v>41745</v>
      </c>
      <c r="E2723">
        <v>21505</v>
      </c>
      <c r="F2723" t="s">
        <v>309</v>
      </c>
      <c r="G2723" t="s">
        <v>16</v>
      </c>
      <c r="H2723" t="s">
        <v>359</v>
      </c>
      <c r="I2723">
        <v>2.1987000000000001</v>
      </c>
      <c r="J2723">
        <v>100680</v>
      </c>
      <c r="K2723">
        <v>45790.694501296217</v>
      </c>
    </row>
    <row r="2724" spans="1:11" x14ac:dyDescent="0.25">
      <c r="A2724" t="s">
        <v>1036</v>
      </c>
      <c r="B2724" t="s">
        <v>1037</v>
      </c>
      <c r="C2724" s="1">
        <v>41743</v>
      </c>
      <c r="D2724" s="1">
        <v>41745</v>
      </c>
      <c r="E2724">
        <v>21505</v>
      </c>
      <c r="F2724" t="s">
        <v>309</v>
      </c>
      <c r="G2724" t="s">
        <v>16</v>
      </c>
      <c r="H2724" t="s">
        <v>5925</v>
      </c>
      <c r="I2724">
        <v>2.2059000000000002</v>
      </c>
      <c r="J2724">
        <v>100680</v>
      </c>
      <c r="K2724">
        <v>45641.234870121036</v>
      </c>
    </row>
    <row r="2725" spans="1:11" x14ac:dyDescent="0.25">
      <c r="A2725" t="s">
        <v>1036</v>
      </c>
      <c r="B2725" t="s">
        <v>1037</v>
      </c>
      <c r="C2725" s="1">
        <v>41744</v>
      </c>
      <c r="D2725" s="1">
        <v>41753</v>
      </c>
      <c r="E2725">
        <v>21505</v>
      </c>
      <c r="F2725" t="s">
        <v>309</v>
      </c>
      <c r="G2725" t="s">
        <v>16</v>
      </c>
      <c r="H2725" t="s">
        <v>2549</v>
      </c>
      <c r="I2725">
        <v>2.2096</v>
      </c>
      <c r="J2725">
        <v>144979.20000000001</v>
      </c>
      <c r="K2725">
        <v>65613.323678493849</v>
      </c>
    </row>
    <row r="2726" spans="1:11" x14ac:dyDescent="0.25">
      <c r="A2726" t="s">
        <v>2550</v>
      </c>
      <c r="B2726" t="s">
        <v>2551</v>
      </c>
      <c r="C2726" s="1">
        <v>41743</v>
      </c>
      <c r="D2726" s="1">
        <v>41753</v>
      </c>
      <c r="E2726">
        <v>21506</v>
      </c>
      <c r="F2726" t="s">
        <v>309</v>
      </c>
      <c r="G2726" t="s">
        <v>16</v>
      </c>
      <c r="H2726" t="s">
        <v>2552</v>
      </c>
      <c r="I2726">
        <v>2.2059000000000002</v>
      </c>
      <c r="J2726">
        <v>97256.88</v>
      </c>
      <c r="K2726">
        <v>44089.432884536924</v>
      </c>
    </row>
    <row r="2727" spans="1:11" x14ac:dyDescent="0.25">
      <c r="A2727" t="s">
        <v>1039</v>
      </c>
      <c r="C2727" s="1">
        <v>41736</v>
      </c>
      <c r="D2727" s="1">
        <v>41737</v>
      </c>
      <c r="E2727">
        <v>22692</v>
      </c>
      <c r="F2727" t="s">
        <v>421</v>
      </c>
      <c r="G2727" t="s">
        <v>16</v>
      </c>
      <c r="H2727" t="s">
        <v>2553</v>
      </c>
      <c r="I2727">
        <v>2.242</v>
      </c>
      <c r="J2727">
        <v>1651.75</v>
      </c>
      <c r="K2727">
        <v>736.73059768064229</v>
      </c>
    </row>
    <row r="2728" spans="1:11" x14ac:dyDescent="0.25">
      <c r="A2728" t="s">
        <v>1039</v>
      </c>
      <c r="C2728" s="1">
        <v>41731</v>
      </c>
      <c r="D2728" s="1">
        <v>41737</v>
      </c>
      <c r="E2728">
        <v>22692</v>
      </c>
      <c r="F2728" t="s">
        <v>421</v>
      </c>
      <c r="G2728" t="s">
        <v>16</v>
      </c>
      <c r="H2728" t="s">
        <v>2554</v>
      </c>
      <c r="I2728">
        <v>2.262</v>
      </c>
      <c r="J2728">
        <v>610.05999999999995</v>
      </c>
      <c r="K2728">
        <v>269.69938107869143</v>
      </c>
    </row>
    <row r="2729" spans="1:11" x14ac:dyDescent="0.25">
      <c r="A2729" t="s">
        <v>976</v>
      </c>
      <c r="B2729" t="s">
        <v>977</v>
      </c>
      <c r="C2729" s="1">
        <v>41716</v>
      </c>
      <c r="D2729" s="1">
        <v>41719</v>
      </c>
      <c r="E2729">
        <v>20661</v>
      </c>
      <c r="F2729" t="s">
        <v>309</v>
      </c>
      <c r="G2729" t="s">
        <v>16</v>
      </c>
      <c r="H2729" t="s">
        <v>5926</v>
      </c>
      <c r="I2729">
        <v>2.3517999999999999</v>
      </c>
      <c r="J2729">
        <v>42589.59</v>
      </c>
      <c r="K2729">
        <v>18109.358789012673</v>
      </c>
    </row>
    <row r="2730" spans="1:11" x14ac:dyDescent="0.25">
      <c r="A2730" t="s">
        <v>3003</v>
      </c>
      <c r="C2730" s="1">
        <v>41743</v>
      </c>
      <c r="D2730" s="1">
        <v>41745</v>
      </c>
      <c r="E2730">
        <v>22754</v>
      </c>
      <c r="F2730" t="s">
        <v>421</v>
      </c>
      <c r="G2730" t="s">
        <v>16</v>
      </c>
      <c r="H2730" t="s">
        <v>5927</v>
      </c>
      <c r="I2730">
        <v>2.2059000000000002</v>
      </c>
      <c r="J2730">
        <v>173.06</v>
      </c>
      <c r="K2730">
        <v>78.45323904075434</v>
      </c>
    </row>
    <row r="2731" spans="1:11" x14ac:dyDescent="0.25">
      <c r="A2731" t="s">
        <v>3003</v>
      </c>
      <c r="C2731" s="1">
        <v>41743</v>
      </c>
      <c r="D2731" s="1">
        <v>41745</v>
      </c>
      <c r="E2731">
        <v>22754</v>
      </c>
      <c r="F2731" t="s">
        <v>421</v>
      </c>
      <c r="G2731" t="s">
        <v>16</v>
      </c>
      <c r="H2731" t="s">
        <v>5928</v>
      </c>
      <c r="I2731">
        <v>2.2059000000000002</v>
      </c>
      <c r="J2731">
        <v>93.84</v>
      </c>
      <c r="K2731">
        <v>42.540459676322591</v>
      </c>
    </row>
    <row r="2732" spans="1:11" x14ac:dyDescent="0.25">
      <c r="A2732" t="s">
        <v>3003</v>
      </c>
      <c r="C2732" s="1">
        <v>41743</v>
      </c>
      <c r="D2732" s="1">
        <v>41745</v>
      </c>
      <c r="E2732">
        <v>22754</v>
      </c>
      <c r="F2732" t="s">
        <v>421</v>
      </c>
      <c r="G2732" t="s">
        <v>16</v>
      </c>
      <c r="H2732" t="s">
        <v>621</v>
      </c>
      <c r="I2732">
        <v>2.2059000000000002</v>
      </c>
      <c r="J2732">
        <v>1804.02</v>
      </c>
      <c r="K2732">
        <v>817.81585747314023</v>
      </c>
    </row>
    <row r="2733" spans="1:11" x14ac:dyDescent="0.25">
      <c r="A2733" t="s">
        <v>1036</v>
      </c>
      <c r="B2733" t="s">
        <v>1037</v>
      </c>
      <c r="C2733" s="1">
        <v>41757</v>
      </c>
      <c r="D2733" s="1">
        <v>41766</v>
      </c>
      <c r="E2733">
        <v>21505</v>
      </c>
      <c r="F2733" t="s">
        <v>309</v>
      </c>
      <c r="G2733" t="s">
        <v>16</v>
      </c>
      <c r="H2733" t="s">
        <v>2555</v>
      </c>
      <c r="I2733">
        <v>2.2324999999999999</v>
      </c>
      <c r="J2733">
        <v>120816</v>
      </c>
      <c r="K2733">
        <v>54116.90929451288</v>
      </c>
    </row>
    <row r="2734" spans="1:11" x14ac:dyDescent="0.25">
      <c r="A2734" t="s">
        <v>2029</v>
      </c>
      <c r="B2734" t="s">
        <v>2030</v>
      </c>
      <c r="C2734" s="1">
        <v>41627</v>
      </c>
      <c r="D2734" s="1">
        <v>41744</v>
      </c>
      <c r="E2734">
        <v>19678</v>
      </c>
      <c r="F2734" t="s">
        <v>309</v>
      </c>
      <c r="G2734" t="s">
        <v>16</v>
      </c>
      <c r="H2734" t="s">
        <v>5929</v>
      </c>
      <c r="I2734">
        <v>2.3273999999999999</v>
      </c>
      <c r="J2734">
        <v>47713.05</v>
      </c>
      <c r="K2734">
        <v>20500.580046403713</v>
      </c>
    </row>
    <row r="2735" spans="1:11" x14ac:dyDescent="0.25">
      <c r="A2735" t="s">
        <v>5930</v>
      </c>
      <c r="C2735" s="1">
        <v>41717</v>
      </c>
      <c r="D2735" s="1">
        <v>41732</v>
      </c>
      <c r="E2735">
        <v>78</v>
      </c>
      <c r="F2735" t="s">
        <v>519</v>
      </c>
      <c r="G2735" t="s">
        <v>16</v>
      </c>
      <c r="H2735" t="s">
        <v>5931</v>
      </c>
      <c r="I2735">
        <v>2.3521999999999998</v>
      </c>
      <c r="J2735">
        <v>302.44</v>
      </c>
      <c r="K2735">
        <v>128.57750191310262</v>
      </c>
    </row>
    <row r="2736" spans="1:11" x14ac:dyDescent="0.25">
      <c r="A2736" t="s">
        <v>5932</v>
      </c>
      <c r="C2736" s="1">
        <v>41717</v>
      </c>
      <c r="D2736" s="1">
        <v>41732</v>
      </c>
      <c r="E2736">
        <v>81</v>
      </c>
      <c r="F2736" t="s">
        <v>519</v>
      </c>
      <c r="G2736" t="s">
        <v>16</v>
      </c>
      <c r="H2736" t="s">
        <v>5933</v>
      </c>
      <c r="I2736">
        <v>2.3521999999999998</v>
      </c>
      <c r="J2736">
        <v>310.08999999999997</v>
      </c>
      <c r="K2736">
        <v>131.82977637955955</v>
      </c>
    </row>
    <row r="2737" spans="1:11" x14ac:dyDescent="0.25">
      <c r="A2737" t="s">
        <v>1048</v>
      </c>
      <c r="C2737" s="1">
        <v>41751</v>
      </c>
      <c r="D2737" s="1">
        <v>41752</v>
      </c>
      <c r="E2737">
        <v>22793</v>
      </c>
      <c r="F2737" t="s">
        <v>421</v>
      </c>
      <c r="G2737" t="s">
        <v>16</v>
      </c>
      <c r="H2737" t="s">
        <v>2556</v>
      </c>
      <c r="I2737">
        <v>2.2482000000000002</v>
      </c>
      <c r="J2737">
        <v>167.59</v>
      </c>
      <c r="K2737">
        <v>74.544079708211015</v>
      </c>
    </row>
    <row r="2738" spans="1:11" x14ac:dyDescent="0.25">
      <c r="A2738" t="s">
        <v>1048</v>
      </c>
      <c r="C2738" s="1">
        <v>41751</v>
      </c>
      <c r="D2738" s="1">
        <v>41752</v>
      </c>
      <c r="E2738">
        <v>22793</v>
      </c>
      <c r="F2738" t="s">
        <v>421</v>
      </c>
      <c r="G2738" t="s">
        <v>16</v>
      </c>
      <c r="H2738" t="s">
        <v>5934</v>
      </c>
      <c r="I2738">
        <v>2.2482000000000002</v>
      </c>
      <c r="J2738">
        <v>81.3</v>
      </c>
      <c r="K2738">
        <v>36.162263143848413</v>
      </c>
    </row>
    <row r="2739" spans="1:11" x14ac:dyDescent="0.25">
      <c r="A2739" t="s">
        <v>5935</v>
      </c>
      <c r="C2739" s="1">
        <v>41758</v>
      </c>
      <c r="D2739" s="1">
        <v>41758</v>
      </c>
      <c r="E2739">
        <v>23946</v>
      </c>
      <c r="F2739" t="s">
        <v>295</v>
      </c>
      <c r="G2739" t="s">
        <v>16</v>
      </c>
      <c r="H2739" t="s">
        <v>5936</v>
      </c>
      <c r="I2739">
        <v>2.2370000000000001</v>
      </c>
      <c r="J2739">
        <v>116</v>
      </c>
      <c r="K2739">
        <v>51.855163164953062</v>
      </c>
    </row>
    <row r="2740" spans="1:11" x14ac:dyDescent="0.25">
      <c r="A2740" t="s">
        <v>1036</v>
      </c>
      <c r="B2740" t="s">
        <v>1037</v>
      </c>
      <c r="C2740" s="1">
        <v>41754</v>
      </c>
      <c r="D2740" s="1">
        <v>41759</v>
      </c>
      <c r="E2740">
        <v>21505</v>
      </c>
      <c r="F2740" t="s">
        <v>309</v>
      </c>
      <c r="G2740" t="s">
        <v>16</v>
      </c>
      <c r="H2740" t="s">
        <v>2557</v>
      </c>
      <c r="I2740">
        <v>2.2229000000000001</v>
      </c>
      <c r="J2740">
        <v>120816</v>
      </c>
      <c r="K2740">
        <v>54350.623059966711</v>
      </c>
    </row>
    <row r="2741" spans="1:11" x14ac:dyDescent="0.25">
      <c r="A2741" t="s">
        <v>1060</v>
      </c>
      <c r="B2741" t="s">
        <v>1061</v>
      </c>
      <c r="C2741" s="1">
        <v>41781</v>
      </c>
      <c r="D2741" s="1">
        <v>41787</v>
      </c>
      <c r="E2741">
        <v>19976</v>
      </c>
      <c r="F2741" t="s">
        <v>309</v>
      </c>
      <c r="G2741" t="s">
        <v>16</v>
      </c>
      <c r="H2741" t="s">
        <v>2558</v>
      </c>
      <c r="I2741">
        <v>2.2111000000000001</v>
      </c>
      <c r="J2741">
        <v>23902.880000000001</v>
      </c>
      <c r="K2741">
        <v>10810.40206232192</v>
      </c>
    </row>
    <row r="2742" spans="1:11" x14ac:dyDescent="0.25">
      <c r="A2742" t="s">
        <v>1060</v>
      </c>
      <c r="B2742" t="s">
        <v>1061</v>
      </c>
      <c r="C2742" s="1">
        <v>41786</v>
      </c>
      <c r="D2742" s="1">
        <v>41791</v>
      </c>
      <c r="E2742">
        <v>19976</v>
      </c>
      <c r="F2742" t="s">
        <v>309</v>
      </c>
      <c r="G2742" t="s">
        <v>16</v>
      </c>
      <c r="H2742" t="s">
        <v>5937</v>
      </c>
      <c r="I2742">
        <v>2.2208999999999999</v>
      </c>
      <c r="J2742">
        <v>25873.22</v>
      </c>
      <c r="K2742">
        <v>11649.880679004007</v>
      </c>
    </row>
    <row r="2743" spans="1:11" x14ac:dyDescent="0.25">
      <c r="A2743" t="s">
        <v>1060</v>
      </c>
      <c r="B2743" t="s">
        <v>1061</v>
      </c>
      <c r="C2743" s="1">
        <v>41786</v>
      </c>
      <c r="D2743" s="1">
        <v>41790</v>
      </c>
      <c r="E2743">
        <v>19976</v>
      </c>
      <c r="F2743" t="s">
        <v>309</v>
      </c>
      <c r="G2743" t="s">
        <v>16</v>
      </c>
      <c r="H2743" t="s">
        <v>5938</v>
      </c>
      <c r="I2743">
        <v>2.2208999999999999</v>
      </c>
      <c r="J2743">
        <v>25779.74</v>
      </c>
      <c r="K2743">
        <v>11607.789634832725</v>
      </c>
    </row>
    <row r="2744" spans="1:11" x14ac:dyDescent="0.25">
      <c r="A2744" t="s">
        <v>1060</v>
      </c>
      <c r="B2744" t="s">
        <v>1061</v>
      </c>
      <c r="C2744" s="1">
        <v>41787</v>
      </c>
      <c r="D2744" s="1">
        <v>41790</v>
      </c>
      <c r="E2744">
        <v>19976</v>
      </c>
      <c r="F2744" t="s">
        <v>309</v>
      </c>
      <c r="G2744" t="s">
        <v>16</v>
      </c>
      <c r="H2744" t="s">
        <v>2559</v>
      </c>
      <c r="I2744">
        <v>2.2353999999999998</v>
      </c>
      <c r="J2744">
        <v>26851.19</v>
      </c>
      <c r="K2744">
        <v>12011.805493423995</v>
      </c>
    </row>
    <row r="2745" spans="1:11" x14ac:dyDescent="0.25">
      <c r="A2745" t="s">
        <v>1057</v>
      </c>
      <c r="B2745" t="s">
        <v>1058</v>
      </c>
      <c r="C2745" s="1">
        <v>41783</v>
      </c>
      <c r="D2745" s="1">
        <v>41794</v>
      </c>
      <c r="E2745">
        <v>19681</v>
      </c>
      <c r="F2745" t="s">
        <v>309</v>
      </c>
      <c r="G2745" t="s">
        <v>16</v>
      </c>
      <c r="H2745" t="s">
        <v>5939</v>
      </c>
      <c r="I2745">
        <v>2.2187000000000001</v>
      </c>
      <c r="J2745">
        <v>25801.31</v>
      </c>
      <c r="K2745">
        <v>11629.021499076036</v>
      </c>
    </row>
    <row r="2746" spans="1:11" x14ac:dyDescent="0.25">
      <c r="A2746" t="s">
        <v>1060</v>
      </c>
      <c r="B2746" t="s">
        <v>1061</v>
      </c>
      <c r="C2746" s="1">
        <v>41794</v>
      </c>
      <c r="D2746" s="1">
        <v>41798</v>
      </c>
      <c r="E2746">
        <v>19976</v>
      </c>
      <c r="F2746" t="s">
        <v>309</v>
      </c>
      <c r="G2746" t="s">
        <v>16</v>
      </c>
      <c r="H2746" t="s">
        <v>5940</v>
      </c>
      <c r="I2746">
        <v>2.2654000000000001</v>
      </c>
      <c r="J2746">
        <v>22817.040000000001</v>
      </c>
      <c r="K2746">
        <v>10071.969630087402</v>
      </c>
    </row>
    <row r="2747" spans="1:11" x14ac:dyDescent="0.25">
      <c r="A2747" t="s">
        <v>1060</v>
      </c>
      <c r="B2747" t="s">
        <v>1061</v>
      </c>
      <c r="C2747" s="1">
        <v>41782</v>
      </c>
      <c r="D2747" s="1">
        <v>41786</v>
      </c>
      <c r="E2747">
        <v>19976</v>
      </c>
      <c r="F2747" t="s">
        <v>309</v>
      </c>
      <c r="G2747" t="s">
        <v>16</v>
      </c>
      <c r="H2747" t="s">
        <v>2560</v>
      </c>
      <c r="I2747">
        <v>2.2130999999999998</v>
      </c>
      <c r="J2747">
        <v>27160.41</v>
      </c>
      <c r="K2747">
        <v>12272.563372644707</v>
      </c>
    </row>
    <row r="2748" spans="1:11" x14ac:dyDescent="0.25">
      <c r="A2748" t="s">
        <v>1060</v>
      </c>
      <c r="B2748" t="s">
        <v>1061</v>
      </c>
      <c r="C2748" s="1">
        <v>41795</v>
      </c>
      <c r="D2748" s="1">
        <v>41800</v>
      </c>
      <c r="E2748">
        <v>19976</v>
      </c>
      <c r="F2748" t="s">
        <v>309</v>
      </c>
      <c r="G2748" t="s">
        <v>16</v>
      </c>
      <c r="H2748" t="s">
        <v>2561</v>
      </c>
      <c r="I2748">
        <v>2.2801999999999998</v>
      </c>
      <c r="J2748">
        <v>26362.21</v>
      </c>
      <c r="K2748">
        <v>11561.358652749759</v>
      </c>
    </row>
    <row r="2749" spans="1:11" x14ac:dyDescent="0.25">
      <c r="A2749" t="s">
        <v>1057</v>
      </c>
      <c r="B2749" t="s">
        <v>1058</v>
      </c>
      <c r="C2749" s="1">
        <v>41785</v>
      </c>
      <c r="D2749" s="1">
        <v>41789</v>
      </c>
      <c r="E2749">
        <v>19681</v>
      </c>
      <c r="F2749" t="s">
        <v>309</v>
      </c>
      <c r="G2749" t="s">
        <v>16</v>
      </c>
      <c r="H2749" t="s">
        <v>5941</v>
      </c>
      <c r="I2749">
        <v>2.2187000000000001</v>
      </c>
      <c r="J2749">
        <v>36717.25</v>
      </c>
      <c r="K2749">
        <v>16548.99265335557</v>
      </c>
    </row>
    <row r="2750" spans="1:11" x14ac:dyDescent="0.25">
      <c r="A2750" t="s">
        <v>1060</v>
      </c>
      <c r="B2750" t="s">
        <v>1061</v>
      </c>
      <c r="C2750" s="1">
        <v>41790</v>
      </c>
      <c r="D2750" s="1">
        <v>41793</v>
      </c>
      <c r="E2750">
        <v>19976</v>
      </c>
      <c r="F2750" t="s">
        <v>309</v>
      </c>
      <c r="G2750" t="s">
        <v>16</v>
      </c>
      <c r="H2750" t="s">
        <v>5942</v>
      </c>
      <c r="I2750">
        <v>2.2389999999999999</v>
      </c>
      <c r="J2750">
        <v>26944.68</v>
      </c>
      <c r="K2750">
        <v>12034.247431889236</v>
      </c>
    </row>
    <row r="2751" spans="1:11" x14ac:dyDescent="0.25">
      <c r="A2751" t="s">
        <v>1060</v>
      </c>
      <c r="B2751" t="s">
        <v>1061</v>
      </c>
      <c r="C2751" s="1">
        <v>41789</v>
      </c>
      <c r="D2751" s="1">
        <v>41794</v>
      </c>
      <c r="E2751">
        <v>19976</v>
      </c>
      <c r="F2751" t="s">
        <v>309</v>
      </c>
      <c r="G2751" t="s">
        <v>16</v>
      </c>
      <c r="H2751" t="s">
        <v>2562</v>
      </c>
      <c r="I2751">
        <v>2.2250999999999999</v>
      </c>
      <c r="J2751">
        <v>36077.25</v>
      </c>
      <c r="K2751">
        <v>16213.765673452879</v>
      </c>
    </row>
    <row r="2752" spans="1:11" x14ac:dyDescent="0.25">
      <c r="A2752" t="s">
        <v>1060</v>
      </c>
      <c r="B2752" t="s">
        <v>1061</v>
      </c>
      <c r="C2752" s="1">
        <v>41790</v>
      </c>
      <c r="D2752" s="1">
        <v>41794</v>
      </c>
      <c r="E2752">
        <v>19976</v>
      </c>
      <c r="F2752" t="s">
        <v>309</v>
      </c>
      <c r="G2752" t="s">
        <v>16</v>
      </c>
      <c r="H2752" t="s">
        <v>5943</v>
      </c>
      <c r="I2752">
        <v>2.2389999999999999</v>
      </c>
      <c r="J2752">
        <v>27376.14</v>
      </c>
      <c r="K2752">
        <v>12226.949531040644</v>
      </c>
    </row>
    <row r="2753" spans="1:11" x14ac:dyDescent="0.25">
      <c r="A2753" t="s">
        <v>1060</v>
      </c>
      <c r="B2753" t="s">
        <v>1061</v>
      </c>
      <c r="C2753" s="1">
        <v>41790</v>
      </c>
      <c r="D2753" s="1">
        <v>41794</v>
      </c>
      <c r="E2753">
        <v>19976</v>
      </c>
      <c r="F2753" t="s">
        <v>309</v>
      </c>
      <c r="G2753" t="s">
        <v>16</v>
      </c>
      <c r="H2753" t="s">
        <v>5944</v>
      </c>
      <c r="I2753">
        <v>2.2389999999999999</v>
      </c>
      <c r="J2753">
        <v>26110.52</v>
      </c>
      <c r="K2753">
        <v>11661.688253684681</v>
      </c>
    </row>
    <row r="2754" spans="1:11" x14ac:dyDescent="0.25">
      <c r="A2754" t="s">
        <v>1060</v>
      </c>
      <c r="B2754" t="s">
        <v>1061</v>
      </c>
      <c r="C2754" s="1">
        <v>41789</v>
      </c>
      <c r="D2754" s="1">
        <v>41791</v>
      </c>
      <c r="E2754">
        <v>19976</v>
      </c>
      <c r="F2754" t="s">
        <v>309</v>
      </c>
      <c r="G2754" t="s">
        <v>16</v>
      </c>
      <c r="H2754" t="s">
        <v>2563</v>
      </c>
      <c r="I2754">
        <v>2.2250999999999999</v>
      </c>
      <c r="J2754">
        <v>27009.4</v>
      </c>
      <c r="K2754">
        <v>12138.510628735787</v>
      </c>
    </row>
    <row r="2755" spans="1:11" x14ac:dyDescent="0.25">
      <c r="A2755" t="s">
        <v>2564</v>
      </c>
      <c r="B2755" t="s">
        <v>2565</v>
      </c>
      <c r="C2755" s="1">
        <v>41820</v>
      </c>
      <c r="D2755" s="1">
        <v>41827</v>
      </c>
      <c r="E2755">
        <v>25804</v>
      </c>
      <c r="F2755" t="s">
        <v>311</v>
      </c>
      <c r="G2755" t="s">
        <v>16</v>
      </c>
      <c r="H2755" t="s">
        <v>5945</v>
      </c>
      <c r="I2755">
        <v>2.1974999999999998</v>
      </c>
      <c r="J2755">
        <v>539558.64</v>
      </c>
      <c r="K2755">
        <v>245532.94197952218</v>
      </c>
    </row>
    <row r="2756" spans="1:11" x14ac:dyDescent="0.25">
      <c r="A2756" t="s">
        <v>2564</v>
      </c>
      <c r="B2756" t="s">
        <v>2565</v>
      </c>
      <c r="C2756" s="1">
        <v>41820</v>
      </c>
      <c r="D2756" s="1">
        <v>41827</v>
      </c>
      <c r="E2756">
        <v>25804</v>
      </c>
      <c r="F2756" t="s">
        <v>311</v>
      </c>
      <c r="G2756" t="s">
        <v>16</v>
      </c>
      <c r="H2756" t="s">
        <v>2566</v>
      </c>
      <c r="I2756">
        <v>2.1974999999999998</v>
      </c>
      <c r="J2756">
        <v>66785.759999999995</v>
      </c>
      <c r="K2756">
        <v>30391.69965870307</v>
      </c>
    </row>
    <row r="2757" spans="1:11" x14ac:dyDescent="0.25">
      <c r="A2757" t="s">
        <v>1072</v>
      </c>
      <c r="B2757" t="s">
        <v>1073</v>
      </c>
      <c r="C2757" s="1">
        <v>41822</v>
      </c>
      <c r="D2757" s="1">
        <v>41826</v>
      </c>
      <c r="E2757">
        <v>19972</v>
      </c>
      <c r="F2757" t="s">
        <v>368</v>
      </c>
      <c r="G2757" t="s">
        <v>16</v>
      </c>
      <c r="H2757" t="s">
        <v>2567</v>
      </c>
      <c r="I2757">
        <v>2.2054</v>
      </c>
      <c r="J2757">
        <v>33006.85</v>
      </c>
      <c r="K2757">
        <v>14966.377981318581</v>
      </c>
    </row>
    <row r="2758" spans="1:11" x14ac:dyDescent="0.25">
      <c r="A2758" t="s">
        <v>1072</v>
      </c>
      <c r="B2758" t="s">
        <v>1073</v>
      </c>
      <c r="C2758" s="1">
        <v>41823</v>
      </c>
      <c r="D2758" s="1">
        <v>41825</v>
      </c>
      <c r="E2758">
        <v>19972</v>
      </c>
      <c r="F2758" t="s">
        <v>368</v>
      </c>
      <c r="G2758" t="s">
        <v>16</v>
      </c>
      <c r="H2758" t="s">
        <v>2568</v>
      </c>
      <c r="I2758">
        <v>2.2134</v>
      </c>
      <c r="J2758">
        <v>34097.33</v>
      </c>
      <c r="K2758">
        <v>15404.956176018795</v>
      </c>
    </row>
    <row r="2759" spans="1:11" x14ac:dyDescent="0.25">
      <c r="A2759" t="s">
        <v>1072</v>
      </c>
      <c r="B2759" t="s">
        <v>1073</v>
      </c>
      <c r="C2759" s="1">
        <v>41829</v>
      </c>
      <c r="D2759" s="1">
        <v>41831</v>
      </c>
      <c r="E2759">
        <v>19972</v>
      </c>
      <c r="F2759" t="s">
        <v>368</v>
      </c>
      <c r="G2759" t="s">
        <v>16</v>
      </c>
      <c r="H2759" t="s">
        <v>5946</v>
      </c>
      <c r="I2759">
        <v>2.2149999999999999</v>
      </c>
      <c r="J2759">
        <v>25134.15</v>
      </c>
      <c r="K2759">
        <v>11347.2460496614</v>
      </c>
    </row>
    <row r="2760" spans="1:11" x14ac:dyDescent="0.25">
      <c r="A2760" t="s">
        <v>1072</v>
      </c>
      <c r="B2760" t="s">
        <v>1073</v>
      </c>
      <c r="C2760" s="1">
        <v>41832</v>
      </c>
      <c r="D2760" s="1">
        <v>41834</v>
      </c>
      <c r="E2760">
        <v>19972</v>
      </c>
      <c r="F2760" t="s">
        <v>368</v>
      </c>
      <c r="G2760" t="s">
        <v>16</v>
      </c>
      <c r="H2760" t="s">
        <v>5947</v>
      </c>
      <c r="I2760">
        <v>2.2227999999999999</v>
      </c>
      <c r="J2760">
        <v>33498.89</v>
      </c>
      <c r="K2760">
        <v>15070.582148641353</v>
      </c>
    </row>
    <row r="2761" spans="1:11" x14ac:dyDescent="0.25">
      <c r="A2761" t="s">
        <v>1072</v>
      </c>
      <c r="B2761" t="s">
        <v>1073</v>
      </c>
      <c r="C2761" s="1">
        <v>41830</v>
      </c>
      <c r="D2761" s="1">
        <v>41834</v>
      </c>
      <c r="E2761">
        <v>19972</v>
      </c>
      <c r="F2761" t="s">
        <v>368</v>
      </c>
      <c r="G2761" t="s">
        <v>16</v>
      </c>
      <c r="H2761" t="s">
        <v>2569</v>
      </c>
      <c r="I2761">
        <v>2.2139000000000002</v>
      </c>
      <c r="J2761">
        <v>24828.29</v>
      </c>
      <c r="K2761">
        <v>11214.729662586386</v>
      </c>
    </row>
    <row r="2762" spans="1:11" x14ac:dyDescent="0.25">
      <c r="A2762" t="s">
        <v>1072</v>
      </c>
      <c r="B2762" t="s">
        <v>1073</v>
      </c>
      <c r="C2762" s="1">
        <v>41831</v>
      </c>
      <c r="D2762" s="1">
        <v>41834</v>
      </c>
      <c r="E2762">
        <v>19972</v>
      </c>
      <c r="F2762" t="s">
        <v>368</v>
      </c>
      <c r="G2762" t="s">
        <v>16</v>
      </c>
      <c r="H2762" t="s">
        <v>2570</v>
      </c>
      <c r="I2762">
        <v>2.2237</v>
      </c>
      <c r="J2762">
        <v>24748.48</v>
      </c>
      <c r="K2762">
        <v>11129.414939065522</v>
      </c>
    </row>
    <row r="2763" spans="1:11" x14ac:dyDescent="0.25">
      <c r="A2763" t="s">
        <v>1072</v>
      </c>
      <c r="B2763" t="s">
        <v>1073</v>
      </c>
      <c r="C2763" s="1">
        <v>41830</v>
      </c>
      <c r="D2763" s="1">
        <v>41835</v>
      </c>
      <c r="E2763">
        <v>19972</v>
      </c>
      <c r="F2763" t="s">
        <v>368</v>
      </c>
      <c r="G2763" t="s">
        <v>16</v>
      </c>
      <c r="H2763" t="s">
        <v>5948</v>
      </c>
      <c r="I2763">
        <v>2.2139000000000002</v>
      </c>
      <c r="J2763">
        <v>32953.65</v>
      </c>
      <c r="K2763">
        <v>14884.886399566376</v>
      </c>
    </row>
    <row r="2764" spans="1:11" x14ac:dyDescent="0.25">
      <c r="A2764" t="s">
        <v>2571</v>
      </c>
      <c r="C2764" s="1">
        <v>41835</v>
      </c>
      <c r="D2764" s="1">
        <v>41836</v>
      </c>
      <c r="E2764">
        <v>26313</v>
      </c>
      <c r="F2764" t="s">
        <v>288</v>
      </c>
      <c r="G2764" t="s">
        <v>16</v>
      </c>
      <c r="H2764" t="s">
        <v>2572</v>
      </c>
      <c r="I2764">
        <v>2.2176</v>
      </c>
      <c r="J2764">
        <v>2362.1999999999998</v>
      </c>
      <c r="K2764">
        <v>1065.2056277056276</v>
      </c>
    </row>
    <row r="2765" spans="1:11" x14ac:dyDescent="0.25">
      <c r="A2765" t="s">
        <v>2573</v>
      </c>
      <c r="C2765" s="1">
        <v>41823</v>
      </c>
      <c r="D2765" s="1">
        <v>41824</v>
      </c>
      <c r="E2765">
        <v>19035</v>
      </c>
      <c r="F2765" t="s">
        <v>519</v>
      </c>
      <c r="G2765" t="s">
        <v>16</v>
      </c>
      <c r="H2765" t="s">
        <v>2574</v>
      </c>
      <c r="I2765">
        <v>2.2134</v>
      </c>
      <c r="J2765">
        <v>620.91999999999996</v>
      </c>
      <c r="K2765">
        <v>280.52769494894733</v>
      </c>
    </row>
    <row r="2766" spans="1:11" x14ac:dyDescent="0.25">
      <c r="A2766" t="s">
        <v>1072</v>
      </c>
      <c r="B2766" t="s">
        <v>1073</v>
      </c>
      <c r="C2766" s="1">
        <v>41832</v>
      </c>
      <c r="D2766" s="1">
        <v>41836</v>
      </c>
      <c r="E2766">
        <v>19972</v>
      </c>
      <c r="F2766" t="s">
        <v>368</v>
      </c>
      <c r="G2766" t="s">
        <v>16</v>
      </c>
      <c r="H2766" t="s">
        <v>2575</v>
      </c>
      <c r="I2766">
        <v>2.2227999999999999</v>
      </c>
      <c r="J2766">
        <v>24828.29</v>
      </c>
      <c r="K2766">
        <v>11169.826345150261</v>
      </c>
    </row>
    <row r="2767" spans="1:11" x14ac:dyDescent="0.25">
      <c r="A2767" t="s">
        <v>1072</v>
      </c>
      <c r="B2767" t="s">
        <v>1073</v>
      </c>
      <c r="C2767" s="1">
        <v>41833</v>
      </c>
      <c r="D2767" s="1">
        <v>41836</v>
      </c>
      <c r="E2767">
        <v>19972</v>
      </c>
      <c r="F2767" t="s">
        <v>368</v>
      </c>
      <c r="G2767" t="s">
        <v>16</v>
      </c>
      <c r="H2767" t="s">
        <v>2576</v>
      </c>
      <c r="I2767">
        <v>2.2227999999999999</v>
      </c>
      <c r="J2767">
        <v>33844.660000000003</v>
      </c>
      <c r="K2767">
        <v>15226.138204066943</v>
      </c>
    </row>
    <row r="2768" spans="1:11" x14ac:dyDescent="0.25">
      <c r="A2768" t="s">
        <v>2577</v>
      </c>
      <c r="C2768" s="1">
        <v>41823</v>
      </c>
      <c r="D2768" s="1">
        <v>41824</v>
      </c>
      <c r="E2768">
        <v>19037</v>
      </c>
      <c r="F2768" t="s">
        <v>519</v>
      </c>
      <c r="G2768" t="s">
        <v>16</v>
      </c>
      <c r="H2768" t="s">
        <v>2578</v>
      </c>
      <c r="I2768">
        <v>2.2134</v>
      </c>
      <c r="J2768">
        <v>10.85</v>
      </c>
      <c r="K2768">
        <v>4.9019607843137258</v>
      </c>
    </row>
    <row r="2769" spans="1:11" x14ac:dyDescent="0.25">
      <c r="A2769" t="s">
        <v>1075</v>
      </c>
      <c r="B2769" t="s">
        <v>1076</v>
      </c>
      <c r="C2769" s="1">
        <v>41829</v>
      </c>
      <c r="D2769" s="1">
        <v>41834</v>
      </c>
      <c r="E2769">
        <v>19680</v>
      </c>
      <c r="F2769" t="s">
        <v>368</v>
      </c>
      <c r="G2769" t="s">
        <v>16</v>
      </c>
      <c r="H2769" t="s">
        <v>2579</v>
      </c>
      <c r="I2769">
        <v>2.2149999999999999</v>
      </c>
      <c r="J2769">
        <v>33259.519999999997</v>
      </c>
      <c r="K2769">
        <v>15015.584650112867</v>
      </c>
    </row>
    <row r="2770" spans="1:11" x14ac:dyDescent="0.25">
      <c r="A2770" t="s">
        <v>1072</v>
      </c>
      <c r="B2770" t="s">
        <v>1073</v>
      </c>
      <c r="C2770" s="1">
        <v>41826</v>
      </c>
      <c r="D2770" s="1">
        <v>41829</v>
      </c>
      <c r="E2770">
        <v>19972</v>
      </c>
      <c r="F2770" t="s">
        <v>368</v>
      </c>
      <c r="G2770" t="s">
        <v>16</v>
      </c>
      <c r="H2770" t="s">
        <v>5949</v>
      </c>
      <c r="I2770">
        <v>2.2149000000000001</v>
      </c>
      <c r="J2770">
        <v>33219.64</v>
      </c>
      <c r="K2770">
        <v>14998.257257664003</v>
      </c>
    </row>
    <row r="2771" spans="1:11" x14ac:dyDescent="0.25">
      <c r="A2771" t="s">
        <v>1072</v>
      </c>
      <c r="B2771" t="s">
        <v>1073</v>
      </c>
      <c r="C2771" s="1">
        <v>41828</v>
      </c>
      <c r="D2771" s="1">
        <v>41830</v>
      </c>
      <c r="E2771">
        <v>19972</v>
      </c>
      <c r="F2771" t="s">
        <v>368</v>
      </c>
      <c r="G2771" t="s">
        <v>16</v>
      </c>
      <c r="H2771" t="s">
        <v>5950</v>
      </c>
      <c r="I2771">
        <v>2.2201</v>
      </c>
      <c r="J2771">
        <v>25094.25</v>
      </c>
      <c r="K2771">
        <v>11303.207062744921</v>
      </c>
    </row>
    <row r="2772" spans="1:11" x14ac:dyDescent="0.25">
      <c r="A2772" t="s">
        <v>1075</v>
      </c>
      <c r="B2772" t="s">
        <v>1076</v>
      </c>
      <c r="C2772" s="1">
        <v>41832</v>
      </c>
      <c r="D2772" s="1">
        <v>41837</v>
      </c>
      <c r="E2772">
        <v>19680</v>
      </c>
      <c r="F2772" t="s">
        <v>368</v>
      </c>
      <c r="G2772" t="s">
        <v>16</v>
      </c>
      <c r="H2772" t="s">
        <v>5951</v>
      </c>
      <c r="I2772">
        <v>2.2227999999999999</v>
      </c>
      <c r="J2772">
        <v>32182.34</v>
      </c>
      <c r="K2772">
        <v>14478.288644952312</v>
      </c>
    </row>
    <row r="2773" spans="1:11" x14ac:dyDescent="0.25">
      <c r="A2773" t="s">
        <v>1072</v>
      </c>
      <c r="B2773" t="s">
        <v>1073</v>
      </c>
      <c r="C2773" s="1">
        <v>41825</v>
      </c>
      <c r="D2773" s="1">
        <v>41828</v>
      </c>
      <c r="E2773">
        <v>19972</v>
      </c>
      <c r="F2773" t="s">
        <v>368</v>
      </c>
      <c r="G2773" t="s">
        <v>16</v>
      </c>
      <c r="H2773" t="s">
        <v>2580</v>
      </c>
      <c r="I2773">
        <v>2.2149000000000001</v>
      </c>
      <c r="J2773">
        <v>24908.07</v>
      </c>
      <c r="K2773">
        <v>11245.68603548693</v>
      </c>
    </row>
    <row r="2774" spans="1:11" x14ac:dyDescent="0.25">
      <c r="A2774" t="s">
        <v>5952</v>
      </c>
      <c r="C2774" s="1">
        <v>41813</v>
      </c>
      <c r="D2774" s="1">
        <v>41813</v>
      </c>
      <c r="E2774">
        <v>19019</v>
      </c>
      <c r="F2774" t="s">
        <v>519</v>
      </c>
      <c r="G2774" t="s">
        <v>16</v>
      </c>
      <c r="H2774" t="s">
        <v>5953</v>
      </c>
      <c r="I2774">
        <v>2.238</v>
      </c>
      <c r="J2774">
        <v>702.46</v>
      </c>
      <c r="K2774">
        <v>313.87846291331545</v>
      </c>
    </row>
    <row r="2775" spans="1:11" x14ac:dyDescent="0.25">
      <c r="A2775" t="s">
        <v>1072</v>
      </c>
      <c r="B2775" t="s">
        <v>1073</v>
      </c>
      <c r="C2775" s="1">
        <v>41825</v>
      </c>
      <c r="D2775" s="1">
        <v>41829</v>
      </c>
      <c r="E2775">
        <v>19972</v>
      </c>
      <c r="F2775" t="s">
        <v>368</v>
      </c>
      <c r="G2775" t="s">
        <v>16</v>
      </c>
      <c r="H2775" t="s">
        <v>2581</v>
      </c>
      <c r="I2775">
        <v>2.2149000000000001</v>
      </c>
      <c r="J2775">
        <v>33232.93</v>
      </c>
      <c r="K2775">
        <v>15004.257528556594</v>
      </c>
    </row>
    <row r="2776" spans="1:11" x14ac:dyDescent="0.25">
      <c r="A2776" t="s">
        <v>1072</v>
      </c>
      <c r="B2776" t="s">
        <v>1073</v>
      </c>
      <c r="C2776" s="1">
        <v>41826</v>
      </c>
      <c r="D2776" s="1">
        <v>41828</v>
      </c>
      <c r="E2776">
        <v>19972</v>
      </c>
      <c r="F2776" t="s">
        <v>368</v>
      </c>
      <c r="G2776" t="s">
        <v>16</v>
      </c>
      <c r="H2776" t="s">
        <v>5954</v>
      </c>
      <c r="I2776">
        <v>2.2149000000000001</v>
      </c>
      <c r="J2776">
        <v>33844.660000000003</v>
      </c>
      <c r="K2776">
        <v>15280.446069799991</v>
      </c>
    </row>
    <row r="2777" spans="1:11" x14ac:dyDescent="0.25">
      <c r="A2777" t="s">
        <v>1072</v>
      </c>
      <c r="B2777" t="s">
        <v>1073</v>
      </c>
      <c r="C2777" s="1">
        <v>41824</v>
      </c>
      <c r="D2777" s="1">
        <v>41828</v>
      </c>
      <c r="E2777">
        <v>19972</v>
      </c>
      <c r="F2777" t="s">
        <v>368</v>
      </c>
      <c r="G2777" t="s">
        <v>16</v>
      </c>
      <c r="H2777" t="s">
        <v>5955</v>
      </c>
      <c r="I2777">
        <v>2.2281</v>
      </c>
      <c r="J2777">
        <v>31942.959999999999</v>
      </c>
      <c r="K2777">
        <v>14336.41218975809</v>
      </c>
    </row>
    <row r="2778" spans="1:11" x14ac:dyDescent="0.25">
      <c r="A2778" t="s">
        <v>896</v>
      </c>
      <c r="B2778" t="s">
        <v>897</v>
      </c>
      <c r="C2778" s="1">
        <v>41806</v>
      </c>
      <c r="D2778" s="1">
        <v>41813</v>
      </c>
      <c r="E2778">
        <v>296</v>
      </c>
      <c r="F2778" t="s">
        <v>887</v>
      </c>
      <c r="G2778" t="s">
        <v>16</v>
      </c>
      <c r="H2778" t="s">
        <v>5956</v>
      </c>
      <c r="I2778">
        <v>2.2347000000000001</v>
      </c>
      <c r="J2778">
        <v>2258.54</v>
      </c>
      <c r="K2778">
        <v>1010.6680986262138</v>
      </c>
    </row>
    <row r="2779" spans="1:11" x14ac:dyDescent="0.25">
      <c r="A2779" t="s">
        <v>1060</v>
      </c>
      <c r="B2779" t="s">
        <v>1061</v>
      </c>
      <c r="C2779" s="1">
        <v>41781</v>
      </c>
      <c r="D2779" s="1">
        <v>41785</v>
      </c>
      <c r="E2779">
        <v>19976</v>
      </c>
      <c r="F2779" t="s">
        <v>309</v>
      </c>
      <c r="G2779" t="s">
        <v>16</v>
      </c>
      <c r="H2779" t="s">
        <v>2582</v>
      </c>
      <c r="I2779">
        <v>2.2111000000000001</v>
      </c>
      <c r="J2779">
        <v>36580.620000000003</v>
      </c>
      <c r="K2779">
        <v>16544.082131065985</v>
      </c>
    </row>
    <row r="2780" spans="1:11" x14ac:dyDescent="0.25">
      <c r="A2780" t="s">
        <v>412</v>
      </c>
      <c r="B2780" t="s">
        <v>5957</v>
      </c>
      <c r="C2780" s="1">
        <v>41864</v>
      </c>
      <c r="D2780" s="1">
        <v>41876</v>
      </c>
      <c r="E2780">
        <v>20034</v>
      </c>
      <c r="F2780" t="s">
        <v>278</v>
      </c>
      <c r="G2780" t="s">
        <v>16</v>
      </c>
      <c r="H2780" t="s">
        <v>5958</v>
      </c>
      <c r="I2780">
        <v>2.2770000000000001</v>
      </c>
      <c r="J2780">
        <v>61440</v>
      </c>
      <c r="K2780">
        <v>26982.872200263504</v>
      </c>
    </row>
    <row r="2781" spans="1:11" x14ac:dyDescent="0.25">
      <c r="A2781" t="s">
        <v>1994</v>
      </c>
      <c r="B2781" t="s">
        <v>1995</v>
      </c>
      <c r="C2781" s="1">
        <v>41529</v>
      </c>
      <c r="D2781" s="1">
        <v>41543</v>
      </c>
      <c r="E2781">
        <v>3</v>
      </c>
      <c r="F2781" t="s">
        <v>887</v>
      </c>
      <c r="G2781" t="s">
        <v>16</v>
      </c>
      <c r="H2781" t="s">
        <v>2583</v>
      </c>
      <c r="I2781">
        <v>2.2947000000000002</v>
      </c>
      <c r="J2781">
        <v>61526.26</v>
      </c>
      <c r="K2781">
        <v>26812.332766810476</v>
      </c>
    </row>
    <row r="2782" spans="1:11" x14ac:dyDescent="0.25">
      <c r="A2782" t="s">
        <v>1083</v>
      </c>
      <c r="B2782" t="s">
        <v>1084</v>
      </c>
      <c r="C2782" s="1">
        <v>41850</v>
      </c>
      <c r="D2782" s="1">
        <v>41853</v>
      </c>
      <c r="E2782">
        <v>19679</v>
      </c>
      <c r="F2782" t="s">
        <v>368</v>
      </c>
      <c r="G2782" t="s">
        <v>16</v>
      </c>
      <c r="H2782" t="s">
        <v>2584</v>
      </c>
      <c r="I2782">
        <v>2.2277999999999998</v>
      </c>
      <c r="J2782">
        <v>37287.71</v>
      </c>
      <c r="K2782">
        <v>16737.458479217166</v>
      </c>
    </row>
    <row r="2783" spans="1:11" x14ac:dyDescent="0.25">
      <c r="A2783" t="s">
        <v>3044</v>
      </c>
      <c r="B2783" t="s">
        <v>3045</v>
      </c>
      <c r="C2783" s="1">
        <v>41864</v>
      </c>
      <c r="D2783" s="1">
        <v>41876</v>
      </c>
      <c r="E2783">
        <v>2</v>
      </c>
      <c r="F2783" t="s">
        <v>368</v>
      </c>
      <c r="G2783" t="s">
        <v>16</v>
      </c>
      <c r="H2783" t="s">
        <v>5959</v>
      </c>
      <c r="I2783">
        <v>2.2770000000000001</v>
      </c>
      <c r="J2783">
        <v>38012.480000000003</v>
      </c>
      <c r="K2783">
        <v>16694.106280193238</v>
      </c>
    </row>
    <row r="2784" spans="1:11" x14ac:dyDescent="0.25">
      <c r="A2784" t="s">
        <v>2585</v>
      </c>
      <c r="B2784" t="s">
        <v>2586</v>
      </c>
      <c r="C2784" s="1">
        <v>41618</v>
      </c>
      <c r="D2784" s="1">
        <v>41635</v>
      </c>
      <c r="E2784">
        <v>1044</v>
      </c>
      <c r="F2784" t="s">
        <v>301</v>
      </c>
      <c r="G2784" t="s">
        <v>16</v>
      </c>
      <c r="H2784" t="s">
        <v>2587</v>
      </c>
      <c r="I2784">
        <v>2.3224999999999998</v>
      </c>
      <c r="J2784">
        <v>2607.8000000000002</v>
      </c>
      <c r="K2784">
        <v>1122.8417653390743</v>
      </c>
    </row>
    <row r="2785" spans="1:11" x14ac:dyDescent="0.25">
      <c r="A2785" t="s">
        <v>1088</v>
      </c>
      <c r="B2785" t="s">
        <v>1089</v>
      </c>
      <c r="C2785" s="1">
        <v>41864</v>
      </c>
      <c r="D2785" s="1">
        <v>41866</v>
      </c>
      <c r="E2785">
        <v>2</v>
      </c>
      <c r="F2785" t="s">
        <v>368</v>
      </c>
      <c r="G2785" t="s">
        <v>16</v>
      </c>
      <c r="H2785" t="s">
        <v>2588</v>
      </c>
      <c r="I2785">
        <v>2.2770000000000001</v>
      </c>
      <c r="J2785">
        <v>38224.67</v>
      </c>
      <c r="K2785">
        <v>16787.294685990339</v>
      </c>
    </row>
    <row r="2786" spans="1:11" x14ac:dyDescent="0.25">
      <c r="A2786" t="s">
        <v>1072</v>
      </c>
      <c r="B2786" t="s">
        <v>1073</v>
      </c>
      <c r="C2786" s="1">
        <v>41860</v>
      </c>
      <c r="D2786" s="1">
        <v>41864</v>
      </c>
      <c r="E2786">
        <v>19972</v>
      </c>
      <c r="F2786" t="s">
        <v>368</v>
      </c>
      <c r="G2786" t="s">
        <v>16</v>
      </c>
      <c r="H2786" t="s">
        <v>4062</v>
      </c>
      <c r="I2786">
        <v>2.2986</v>
      </c>
      <c r="J2786">
        <v>32993.56</v>
      </c>
      <c r="K2786">
        <v>14353.763160184461</v>
      </c>
    </row>
    <row r="2787" spans="1:11" x14ac:dyDescent="0.25">
      <c r="A2787" t="s">
        <v>1072</v>
      </c>
      <c r="B2787" t="s">
        <v>1073</v>
      </c>
      <c r="C2787" s="1">
        <v>41859</v>
      </c>
      <c r="D2787" s="1">
        <v>41862</v>
      </c>
      <c r="E2787">
        <v>19972</v>
      </c>
      <c r="F2787" t="s">
        <v>368</v>
      </c>
      <c r="G2787" t="s">
        <v>16</v>
      </c>
      <c r="H2787" t="s">
        <v>2763</v>
      </c>
      <c r="I2787">
        <v>2.2801999999999998</v>
      </c>
      <c r="J2787">
        <v>24974.560000000001</v>
      </c>
      <c r="K2787">
        <v>10952.793614595212</v>
      </c>
    </row>
    <row r="2788" spans="1:11" x14ac:dyDescent="0.25">
      <c r="A2788" t="s">
        <v>1072</v>
      </c>
      <c r="B2788" t="s">
        <v>1073</v>
      </c>
      <c r="C2788" s="1">
        <v>41859</v>
      </c>
      <c r="D2788" s="1">
        <v>41862</v>
      </c>
      <c r="E2788">
        <v>19972</v>
      </c>
      <c r="F2788" t="s">
        <v>368</v>
      </c>
      <c r="G2788" t="s">
        <v>16</v>
      </c>
      <c r="H2788" t="s">
        <v>2589</v>
      </c>
      <c r="I2788">
        <v>2.2801999999999998</v>
      </c>
      <c r="J2788">
        <v>33020.14</v>
      </c>
      <c r="K2788">
        <v>14481.247259012367</v>
      </c>
    </row>
    <row r="2789" spans="1:11" x14ac:dyDescent="0.25">
      <c r="A2789" t="s">
        <v>382</v>
      </c>
      <c r="B2789" t="s">
        <v>1646</v>
      </c>
      <c r="C2789" s="1">
        <v>41850</v>
      </c>
      <c r="D2789" s="1">
        <v>41859</v>
      </c>
      <c r="E2789">
        <v>19975</v>
      </c>
      <c r="F2789" t="s">
        <v>309</v>
      </c>
      <c r="G2789" t="s">
        <v>16</v>
      </c>
      <c r="H2789" t="s">
        <v>5960</v>
      </c>
      <c r="I2789">
        <v>2.2277999999999998</v>
      </c>
      <c r="J2789">
        <v>51700</v>
      </c>
      <c r="K2789">
        <v>23206.751054852321</v>
      </c>
    </row>
    <row r="2790" spans="1:11" x14ac:dyDescent="0.25">
      <c r="A2790" t="s">
        <v>1558</v>
      </c>
      <c r="B2790" t="s">
        <v>1559</v>
      </c>
      <c r="C2790" s="1">
        <v>41576</v>
      </c>
      <c r="D2790" s="1">
        <v>41652</v>
      </c>
      <c r="E2790">
        <v>2</v>
      </c>
      <c r="F2790" t="s">
        <v>887</v>
      </c>
      <c r="G2790" t="s">
        <v>16</v>
      </c>
      <c r="H2790" t="s">
        <v>5961</v>
      </c>
      <c r="I2790">
        <v>2.1846000000000001</v>
      </c>
      <c r="J2790">
        <v>48587.23</v>
      </c>
      <c r="K2790">
        <v>22240.79007598645</v>
      </c>
    </row>
    <row r="2791" spans="1:11" x14ac:dyDescent="0.25">
      <c r="A2791" t="s">
        <v>2590</v>
      </c>
      <c r="B2791" t="s">
        <v>2591</v>
      </c>
      <c r="C2791" s="1">
        <v>41851</v>
      </c>
      <c r="D2791" s="1">
        <v>41853</v>
      </c>
      <c r="E2791">
        <v>1</v>
      </c>
      <c r="F2791" t="s">
        <v>368</v>
      </c>
      <c r="G2791" t="s">
        <v>16</v>
      </c>
      <c r="H2791" t="s">
        <v>2592</v>
      </c>
      <c r="I2791">
        <v>2.2446999999999999</v>
      </c>
      <c r="J2791">
        <v>50188.06</v>
      </c>
      <c r="K2791">
        <v>22358.471065175749</v>
      </c>
    </row>
    <row r="2792" spans="1:11" x14ac:dyDescent="0.25">
      <c r="A2792" t="s">
        <v>1094</v>
      </c>
      <c r="B2792" t="s">
        <v>1095</v>
      </c>
      <c r="C2792" s="1">
        <v>41856</v>
      </c>
      <c r="D2792" s="1">
        <v>41866</v>
      </c>
      <c r="E2792">
        <v>2</v>
      </c>
      <c r="F2792" t="s">
        <v>368</v>
      </c>
      <c r="G2792" t="s">
        <v>16</v>
      </c>
      <c r="H2792" t="s">
        <v>5962</v>
      </c>
      <c r="I2792">
        <v>2.2576999999999998</v>
      </c>
      <c r="J2792">
        <v>50465.23</v>
      </c>
      <c r="K2792">
        <v>22352.495902910043</v>
      </c>
    </row>
    <row r="2793" spans="1:11" x14ac:dyDescent="0.25">
      <c r="A2793" t="s">
        <v>383</v>
      </c>
      <c r="B2793" t="s">
        <v>2111</v>
      </c>
      <c r="C2793" s="1">
        <v>41899</v>
      </c>
      <c r="D2793" s="1">
        <v>41900</v>
      </c>
      <c r="E2793">
        <v>20128</v>
      </c>
      <c r="F2793" t="s">
        <v>280</v>
      </c>
      <c r="G2793" t="s">
        <v>16</v>
      </c>
      <c r="H2793" t="s">
        <v>5963</v>
      </c>
      <c r="I2793">
        <v>2.3351000000000002</v>
      </c>
      <c r="J2793">
        <v>64399.54</v>
      </c>
      <c r="K2793">
        <v>27578.921673589997</v>
      </c>
    </row>
    <row r="2794" spans="1:11" x14ac:dyDescent="0.25">
      <c r="A2794" t="s">
        <v>546</v>
      </c>
      <c r="B2794" t="s">
        <v>5964</v>
      </c>
      <c r="C2794" s="1">
        <v>41893</v>
      </c>
      <c r="D2794" s="1">
        <v>41901</v>
      </c>
      <c r="E2794">
        <v>5</v>
      </c>
      <c r="F2794" t="s">
        <v>278</v>
      </c>
      <c r="G2794" t="s">
        <v>16</v>
      </c>
      <c r="H2794" t="s">
        <v>5965</v>
      </c>
      <c r="I2794">
        <v>2.2967</v>
      </c>
      <c r="J2794">
        <v>29333.200000000001</v>
      </c>
      <c r="K2794">
        <v>12771.890103191536</v>
      </c>
    </row>
    <row r="2795" spans="1:11" x14ac:dyDescent="0.25">
      <c r="A2795" t="s">
        <v>1072</v>
      </c>
      <c r="B2795" t="s">
        <v>1073</v>
      </c>
      <c r="C2795" s="1">
        <v>41919</v>
      </c>
      <c r="D2795" s="1">
        <v>41919</v>
      </c>
      <c r="E2795">
        <v>19972</v>
      </c>
      <c r="F2795" t="s">
        <v>368</v>
      </c>
      <c r="G2795" t="s">
        <v>16</v>
      </c>
      <c r="H2795" t="s">
        <v>2593</v>
      </c>
      <c r="I2795">
        <v>2.4098000000000002</v>
      </c>
      <c r="J2795">
        <v>33036.769999999997</v>
      </c>
      <c r="K2795">
        <v>13709.341024151381</v>
      </c>
    </row>
    <row r="2796" spans="1:11" x14ac:dyDescent="0.25">
      <c r="A2796" t="s">
        <v>471</v>
      </c>
      <c r="B2796" t="s">
        <v>2594</v>
      </c>
      <c r="C2796" s="1">
        <v>41906</v>
      </c>
      <c r="D2796" s="1">
        <v>41909</v>
      </c>
      <c r="E2796">
        <v>19708</v>
      </c>
      <c r="F2796" t="s">
        <v>278</v>
      </c>
      <c r="G2796" t="s">
        <v>16</v>
      </c>
      <c r="H2796" t="s">
        <v>2595</v>
      </c>
      <c r="I2796">
        <v>2.4026000000000001</v>
      </c>
      <c r="J2796">
        <v>293653.44</v>
      </c>
      <c r="K2796">
        <v>122223.19154249562</v>
      </c>
    </row>
    <row r="2797" spans="1:11" x14ac:dyDescent="0.25">
      <c r="A2797" t="s">
        <v>470</v>
      </c>
      <c r="B2797" t="s">
        <v>2117</v>
      </c>
      <c r="C2797" s="1">
        <v>41894</v>
      </c>
      <c r="D2797" s="1">
        <v>41909</v>
      </c>
      <c r="E2797">
        <v>19755</v>
      </c>
      <c r="F2797" t="s">
        <v>311</v>
      </c>
      <c r="G2797" t="s">
        <v>16</v>
      </c>
      <c r="H2797" t="s">
        <v>2596</v>
      </c>
      <c r="I2797">
        <v>2.2879999999999998</v>
      </c>
      <c r="J2797">
        <v>131831.1</v>
      </c>
      <c r="K2797">
        <v>57618.487762237761</v>
      </c>
    </row>
    <row r="2798" spans="1:11" x14ac:dyDescent="0.25">
      <c r="A2798" t="s">
        <v>451</v>
      </c>
      <c r="B2798" t="s">
        <v>2597</v>
      </c>
      <c r="C2798" s="1">
        <v>41900</v>
      </c>
      <c r="D2798" s="1">
        <v>41909</v>
      </c>
      <c r="E2798">
        <v>19719</v>
      </c>
      <c r="F2798" t="s">
        <v>280</v>
      </c>
      <c r="G2798" t="s">
        <v>16</v>
      </c>
      <c r="H2798" t="s">
        <v>2598</v>
      </c>
      <c r="I2798">
        <v>2.3384</v>
      </c>
      <c r="J2798">
        <v>18941.04</v>
      </c>
      <c r="K2798">
        <v>8100</v>
      </c>
    </row>
    <row r="2799" spans="1:11" x14ac:dyDescent="0.25">
      <c r="A2799" t="s">
        <v>1102</v>
      </c>
      <c r="B2799" t="s">
        <v>1103</v>
      </c>
      <c r="C2799" s="1">
        <v>41906</v>
      </c>
      <c r="D2799" s="1">
        <v>41911</v>
      </c>
      <c r="E2799">
        <v>19980</v>
      </c>
      <c r="F2799" t="s">
        <v>301</v>
      </c>
      <c r="G2799" t="s">
        <v>16</v>
      </c>
      <c r="H2799" t="s">
        <v>2599</v>
      </c>
      <c r="I2799">
        <v>2.4026000000000001</v>
      </c>
      <c r="J2799">
        <v>62370.01</v>
      </c>
      <c r="K2799">
        <v>25959.381503371347</v>
      </c>
    </row>
    <row r="2800" spans="1:11" x14ac:dyDescent="0.25">
      <c r="A2800" t="s">
        <v>1102</v>
      </c>
      <c r="B2800" t="s">
        <v>1103</v>
      </c>
      <c r="C2800" s="1">
        <v>41906</v>
      </c>
      <c r="D2800" s="1">
        <v>41911</v>
      </c>
      <c r="E2800">
        <v>19980</v>
      </c>
      <c r="F2800" t="s">
        <v>301</v>
      </c>
      <c r="G2800" t="s">
        <v>16</v>
      </c>
      <c r="H2800" t="s">
        <v>5966</v>
      </c>
      <c r="I2800">
        <v>2.4026000000000001</v>
      </c>
      <c r="J2800">
        <v>62370.01</v>
      </c>
      <c r="K2800">
        <v>25959.381503371347</v>
      </c>
    </row>
    <row r="2801" spans="1:11" x14ac:dyDescent="0.25">
      <c r="A2801" t="s">
        <v>337</v>
      </c>
      <c r="B2801" t="s">
        <v>1105</v>
      </c>
      <c r="C2801" s="1">
        <v>41905</v>
      </c>
      <c r="D2801" s="1">
        <v>41919</v>
      </c>
      <c r="E2801">
        <v>20192</v>
      </c>
      <c r="F2801" t="s">
        <v>311</v>
      </c>
      <c r="G2801" t="s">
        <v>16</v>
      </c>
      <c r="H2801" t="s">
        <v>5967</v>
      </c>
      <c r="I2801">
        <v>2.387</v>
      </c>
      <c r="J2801">
        <v>579036.1</v>
      </c>
      <c r="K2801">
        <v>242579.01131126937</v>
      </c>
    </row>
    <row r="2802" spans="1:11" x14ac:dyDescent="0.25">
      <c r="A2802" t="s">
        <v>1072</v>
      </c>
      <c r="B2802" t="s">
        <v>1073</v>
      </c>
      <c r="C2802" s="1">
        <v>41919</v>
      </c>
      <c r="D2802" s="1">
        <v>41919</v>
      </c>
      <c r="E2802">
        <v>19972</v>
      </c>
      <c r="F2802" t="s">
        <v>368</v>
      </c>
      <c r="G2802" t="s">
        <v>16</v>
      </c>
      <c r="H2802" t="s">
        <v>2600</v>
      </c>
      <c r="I2802">
        <v>2.4098000000000002</v>
      </c>
      <c r="J2802">
        <v>20712.73</v>
      </c>
      <c r="K2802">
        <v>8595.207071126235</v>
      </c>
    </row>
    <row r="2803" spans="1:11" x14ac:dyDescent="0.25">
      <c r="A2803" t="s">
        <v>1072</v>
      </c>
      <c r="B2803" t="s">
        <v>1073</v>
      </c>
      <c r="C2803" s="1">
        <v>41906</v>
      </c>
      <c r="D2803" s="1">
        <v>41908</v>
      </c>
      <c r="E2803">
        <v>19972</v>
      </c>
      <c r="F2803" t="s">
        <v>368</v>
      </c>
      <c r="G2803" t="s">
        <v>16</v>
      </c>
      <c r="H2803" t="s">
        <v>5968</v>
      </c>
      <c r="I2803">
        <v>2.4026000000000001</v>
      </c>
      <c r="J2803">
        <v>23978.49</v>
      </c>
      <c r="K2803">
        <v>9980.2255889453099</v>
      </c>
    </row>
    <row r="2804" spans="1:11" x14ac:dyDescent="0.25">
      <c r="A2804" t="s">
        <v>1072</v>
      </c>
      <c r="B2804" t="s">
        <v>1073</v>
      </c>
      <c r="C2804" s="1">
        <v>41906</v>
      </c>
      <c r="D2804" s="1">
        <v>41909</v>
      </c>
      <c r="E2804">
        <v>19972</v>
      </c>
      <c r="F2804" t="s">
        <v>368</v>
      </c>
      <c r="G2804" t="s">
        <v>16</v>
      </c>
      <c r="H2804" t="s">
        <v>2601</v>
      </c>
      <c r="I2804">
        <v>2.4026000000000001</v>
      </c>
      <c r="J2804">
        <v>20137.88</v>
      </c>
      <c r="K2804">
        <v>8381.703154915509</v>
      </c>
    </row>
    <row r="2805" spans="1:11" x14ac:dyDescent="0.25">
      <c r="A2805" t="s">
        <v>1072</v>
      </c>
      <c r="B2805" t="s">
        <v>1073</v>
      </c>
      <c r="C2805" s="1">
        <v>41906</v>
      </c>
      <c r="D2805" s="1">
        <v>41909</v>
      </c>
      <c r="E2805">
        <v>19972</v>
      </c>
      <c r="F2805" t="s">
        <v>368</v>
      </c>
      <c r="G2805" t="s">
        <v>16</v>
      </c>
      <c r="H2805" t="s">
        <v>5969</v>
      </c>
      <c r="I2805">
        <v>2.4026000000000001</v>
      </c>
      <c r="J2805">
        <v>13385.26</v>
      </c>
      <c r="K2805">
        <v>5571.1562473986514</v>
      </c>
    </row>
    <row r="2806" spans="1:11" x14ac:dyDescent="0.25">
      <c r="A2806" t="s">
        <v>570</v>
      </c>
      <c r="B2806" t="s">
        <v>5970</v>
      </c>
      <c r="C2806" s="1">
        <v>41893</v>
      </c>
      <c r="D2806" s="1">
        <v>41904</v>
      </c>
      <c r="E2806">
        <v>4</v>
      </c>
      <c r="F2806" t="s">
        <v>278</v>
      </c>
      <c r="G2806" t="s">
        <v>16</v>
      </c>
      <c r="H2806" t="s">
        <v>5971</v>
      </c>
      <c r="I2806">
        <v>2.2967</v>
      </c>
      <c r="J2806">
        <v>24375.200000000001</v>
      </c>
      <c r="K2806">
        <v>10613.140593024775</v>
      </c>
    </row>
    <row r="2807" spans="1:11" x14ac:dyDescent="0.25">
      <c r="A2807" t="s">
        <v>1072</v>
      </c>
      <c r="B2807" t="s">
        <v>1073</v>
      </c>
      <c r="C2807" s="1">
        <v>41874</v>
      </c>
      <c r="D2807" s="1">
        <v>41883</v>
      </c>
      <c r="E2807">
        <v>19972</v>
      </c>
      <c r="F2807" t="s">
        <v>368</v>
      </c>
      <c r="G2807" t="s">
        <v>16</v>
      </c>
      <c r="H2807" t="s">
        <v>2602</v>
      </c>
      <c r="I2807">
        <v>2.2778</v>
      </c>
      <c r="J2807">
        <v>38599.980000000003</v>
      </c>
      <c r="K2807">
        <v>16946.167354464833</v>
      </c>
    </row>
    <row r="2808" spans="1:11" x14ac:dyDescent="0.25">
      <c r="A2808" t="s">
        <v>1072</v>
      </c>
      <c r="B2808" t="s">
        <v>1073</v>
      </c>
      <c r="C2808" s="1">
        <v>41874</v>
      </c>
      <c r="D2808" s="1">
        <v>41883</v>
      </c>
      <c r="E2808">
        <v>19972</v>
      </c>
      <c r="F2808" t="s">
        <v>368</v>
      </c>
      <c r="G2808" t="s">
        <v>16</v>
      </c>
      <c r="H2808" t="s">
        <v>5972</v>
      </c>
      <c r="I2808">
        <v>2.2778</v>
      </c>
      <c r="J2808">
        <v>37719.360000000001</v>
      </c>
      <c r="K2808">
        <v>16559.557467732022</v>
      </c>
    </row>
    <row r="2809" spans="1:11" x14ac:dyDescent="0.25">
      <c r="A2809" t="s">
        <v>497</v>
      </c>
      <c r="B2809" t="s">
        <v>5537</v>
      </c>
      <c r="C2809" s="1">
        <v>41908</v>
      </c>
      <c r="D2809" s="1">
        <v>41913</v>
      </c>
      <c r="E2809">
        <v>4</v>
      </c>
      <c r="F2809" t="s">
        <v>278</v>
      </c>
      <c r="G2809" t="s">
        <v>16</v>
      </c>
      <c r="H2809" t="s">
        <v>5973</v>
      </c>
      <c r="I2809">
        <v>2.4085000000000001</v>
      </c>
      <c r="J2809">
        <v>29252.400000000001</v>
      </c>
      <c r="K2809">
        <v>12145.484741540378</v>
      </c>
    </row>
    <row r="2810" spans="1:11" x14ac:dyDescent="0.25">
      <c r="A2810" t="s">
        <v>470</v>
      </c>
      <c r="B2810" t="s">
        <v>2117</v>
      </c>
      <c r="C2810" s="1">
        <v>41939</v>
      </c>
      <c r="D2810" s="1">
        <v>41943</v>
      </c>
      <c r="E2810">
        <v>19755</v>
      </c>
      <c r="F2810" t="s">
        <v>311</v>
      </c>
      <c r="G2810" t="s">
        <v>16</v>
      </c>
      <c r="H2810" t="s">
        <v>5974</v>
      </c>
      <c r="I2810">
        <v>2.4805000000000001</v>
      </c>
      <c r="J2810">
        <v>15176.99</v>
      </c>
      <c r="K2810">
        <v>6118.5204595847608</v>
      </c>
    </row>
    <row r="2811" spans="1:11" x14ac:dyDescent="0.25">
      <c r="A2811" t="s">
        <v>563</v>
      </c>
      <c r="B2811" t="s">
        <v>2603</v>
      </c>
      <c r="C2811" s="1">
        <v>41929</v>
      </c>
      <c r="D2811" s="1">
        <v>41947</v>
      </c>
      <c r="E2811">
        <v>7</v>
      </c>
      <c r="F2811" t="s">
        <v>311</v>
      </c>
      <c r="G2811" t="s">
        <v>16</v>
      </c>
      <c r="H2811" t="s">
        <v>2604</v>
      </c>
      <c r="I2811">
        <v>2.4769999999999999</v>
      </c>
      <c r="J2811">
        <v>75106.179999999993</v>
      </c>
      <c r="K2811">
        <v>30321.429148163101</v>
      </c>
    </row>
    <row r="2812" spans="1:11" x14ac:dyDescent="0.25">
      <c r="A2812" t="s">
        <v>1102</v>
      </c>
      <c r="B2812" t="s">
        <v>1103</v>
      </c>
      <c r="C2812" s="1">
        <v>41919</v>
      </c>
      <c r="D2812" s="1">
        <v>41923</v>
      </c>
      <c r="E2812">
        <v>19980</v>
      </c>
      <c r="F2812" t="s">
        <v>301</v>
      </c>
      <c r="G2812" t="s">
        <v>16</v>
      </c>
      <c r="H2812" t="s">
        <v>5975</v>
      </c>
      <c r="I2812">
        <v>2.4098000000000002</v>
      </c>
      <c r="J2812">
        <v>62550</v>
      </c>
      <c r="K2812">
        <v>25956.510913768776</v>
      </c>
    </row>
    <row r="2813" spans="1:11" x14ac:dyDescent="0.25">
      <c r="A2813" t="s">
        <v>1102</v>
      </c>
      <c r="B2813" t="s">
        <v>1103</v>
      </c>
      <c r="C2813" s="1">
        <v>41919</v>
      </c>
      <c r="D2813" s="1">
        <v>41923</v>
      </c>
      <c r="E2813">
        <v>19980</v>
      </c>
      <c r="F2813" t="s">
        <v>301</v>
      </c>
      <c r="G2813" t="s">
        <v>16</v>
      </c>
      <c r="H2813" t="s">
        <v>2605</v>
      </c>
      <c r="I2813">
        <v>2.4098000000000002</v>
      </c>
      <c r="J2813">
        <v>62550</v>
      </c>
      <c r="K2813">
        <v>25956.510913768776</v>
      </c>
    </row>
    <row r="2814" spans="1:11" x14ac:dyDescent="0.25">
      <c r="A2814" t="s">
        <v>1102</v>
      </c>
      <c r="B2814" t="s">
        <v>1103</v>
      </c>
      <c r="C2814" s="1">
        <v>41919</v>
      </c>
      <c r="D2814" s="1">
        <v>41923</v>
      </c>
      <c r="E2814">
        <v>19980</v>
      </c>
      <c r="F2814" t="s">
        <v>301</v>
      </c>
      <c r="G2814" t="s">
        <v>16</v>
      </c>
      <c r="H2814" t="s">
        <v>5976</v>
      </c>
      <c r="I2814">
        <v>2.4098000000000002</v>
      </c>
      <c r="J2814">
        <v>62550</v>
      </c>
      <c r="K2814">
        <v>25956.510913768776</v>
      </c>
    </row>
    <row r="2815" spans="1:11" x14ac:dyDescent="0.25">
      <c r="A2815" t="s">
        <v>1072</v>
      </c>
      <c r="B2815" t="s">
        <v>1073</v>
      </c>
      <c r="C2815" s="1">
        <v>41921</v>
      </c>
      <c r="D2815" s="1">
        <v>41921</v>
      </c>
      <c r="E2815">
        <v>19972</v>
      </c>
      <c r="F2815" t="s">
        <v>368</v>
      </c>
      <c r="G2815" t="s">
        <v>16</v>
      </c>
      <c r="H2815" t="s">
        <v>5977</v>
      </c>
      <c r="I2815">
        <v>2.4072</v>
      </c>
      <c r="J2815">
        <v>19689.41</v>
      </c>
      <c r="K2815">
        <v>8179.382685277501</v>
      </c>
    </row>
    <row r="2816" spans="1:11" x14ac:dyDescent="0.25">
      <c r="A2816" t="s">
        <v>1102</v>
      </c>
      <c r="B2816" t="s">
        <v>1103</v>
      </c>
      <c r="C2816" s="1">
        <v>41929</v>
      </c>
      <c r="D2816" s="1">
        <v>41935</v>
      </c>
      <c r="E2816">
        <v>19980</v>
      </c>
      <c r="F2816" t="s">
        <v>301</v>
      </c>
      <c r="G2816" t="s">
        <v>16</v>
      </c>
      <c r="H2816" t="s">
        <v>5978</v>
      </c>
      <c r="I2816">
        <v>2.4769999999999999</v>
      </c>
      <c r="J2816">
        <v>64305</v>
      </c>
      <c r="K2816">
        <v>25960.839725474365</v>
      </c>
    </row>
    <row r="2817" spans="1:11" x14ac:dyDescent="0.25">
      <c r="A2817" t="s">
        <v>1102</v>
      </c>
      <c r="B2817" t="s">
        <v>1103</v>
      </c>
      <c r="C2817" s="1">
        <v>41929</v>
      </c>
      <c r="D2817" s="1">
        <v>41935</v>
      </c>
      <c r="E2817">
        <v>19980</v>
      </c>
      <c r="F2817" t="s">
        <v>301</v>
      </c>
      <c r="G2817" t="s">
        <v>16</v>
      </c>
      <c r="H2817" t="s">
        <v>2606</v>
      </c>
      <c r="I2817">
        <v>2.4769999999999999</v>
      </c>
      <c r="J2817">
        <v>64305</v>
      </c>
      <c r="K2817">
        <v>25960.839725474365</v>
      </c>
    </row>
    <row r="2818" spans="1:11" x14ac:dyDescent="0.25">
      <c r="A2818" t="s">
        <v>1102</v>
      </c>
      <c r="B2818" t="s">
        <v>1103</v>
      </c>
      <c r="C2818" s="1">
        <v>41929</v>
      </c>
      <c r="D2818" s="1">
        <v>41935</v>
      </c>
      <c r="E2818">
        <v>19980</v>
      </c>
      <c r="F2818" t="s">
        <v>301</v>
      </c>
      <c r="G2818" t="s">
        <v>16</v>
      </c>
      <c r="H2818" t="s">
        <v>2607</v>
      </c>
      <c r="I2818">
        <v>2.4769999999999999</v>
      </c>
      <c r="J2818">
        <v>64305</v>
      </c>
      <c r="K2818">
        <v>25960.839725474365</v>
      </c>
    </row>
    <row r="2819" spans="1:11" x14ac:dyDescent="0.25">
      <c r="A2819" t="s">
        <v>470</v>
      </c>
      <c r="B2819" t="s">
        <v>2117</v>
      </c>
      <c r="C2819" s="1">
        <v>41936</v>
      </c>
      <c r="D2819" s="1">
        <v>41939</v>
      </c>
      <c r="E2819">
        <v>19755</v>
      </c>
      <c r="F2819" t="s">
        <v>311</v>
      </c>
      <c r="G2819" t="s">
        <v>16</v>
      </c>
      <c r="H2819" t="s">
        <v>5979</v>
      </c>
      <c r="I2819">
        <v>2.5004</v>
      </c>
      <c r="J2819">
        <v>197184.22</v>
      </c>
      <c r="K2819">
        <v>78861.070228763405</v>
      </c>
    </row>
    <row r="2820" spans="1:11" x14ac:dyDescent="0.25">
      <c r="A2820" t="s">
        <v>547</v>
      </c>
      <c r="B2820" t="s">
        <v>2608</v>
      </c>
      <c r="C2820" s="1">
        <v>41943</v>
      </c>
      <c r="D2820" s="1">
        <v>41961</v>
      </c>
      <c r="E2820">
        <v>15</v>
      </c>
      <c r="F2820" t="s">
        <v>318</v>
      </c>
      <c r="G2820" t="s">
        <v>16</v>
      </c>
      <c r="H2820" t="s">
        <v>2609</v>
      </c>
      <c r="I2820">
        <v>2.4119000000000002</v>
      </c>
      <c r="J2820">
        <v>27199</v>
      </c>
      <c r="K2820">
        <v>11277.001534060284</v>
      </c>
    </row>
    <row r="2821" spans="1:11" x14ac:dyDescent="0.25">
      <c r="A2821" t="s">
        <v>1111</v>
      </c>
      <c r="B2821" t="s">
        <v>458</v>
      </c>
      <c r="C2821" s="1">
        <v>41932</v>
      </c>
      <c r="D2821" s="1">
        <v>41947</v>
      </c>
      <c r="E2821">
        <v>20492</v>
      </c>
      <c r="F2821" t="s">
        <v>301</v>
      </c>
      <c r="G2821" t="s">
        <v>16</v>
      </c>
      <c r="H2821" t="s">
        <v>5980</v>
      </c>
      <c r="I2821">
        <v>2.4477000000000002</v>
      </c>
      <c r="J2821">
        <v>154643.99</v>
      </c>
      <c r="K2821">
        <v>63179.307104628839</v>
      </c>
    </row>
    <row r="2822" spans="1:11" x14ac:dyDescent="0.25">
      <c r="A2822" t="s">
        <v>528</v>
      </c>
      <c r="B2822" t="s">
        <v>2610</v>
      </c>
      <c r="C2822" s="1">
        <v>41935</v>
      </c>
      <c r="D2822" s="1">
        <v>41968</v>
      </c>
      <c r="E2822">
        <v>12</v>
      </c>
      <c r="F2822" t="s">
        <v>318</v>
      </c>
      <c r="G2822" t="s">
        <v>16</v>
      </c>
      <c r="H2822" t="s">
        <v>2611</v>
      </c>
      <c r="I2822">
        <v>2.4781</v>
      </c>
      <c r="J2822">
        <v>49680.45</v>
      </c>
      <c r="K2822">
        <v>20047.798716758807</v>
      </c>
    </row>
    <row r="2823" spans="1:11" x14ac:dyDescent="0.25">
      <c r="A2823" t="s">
        <v>3493</v>
      </c>
      <c r="B2823" t="s">
        <v>3494</v>
      </c>
      <c r="C2823" s="1">
        <v>41920</v>
      </c>
      <c r="D2823" s="1">
        <v>41928</v>
      </c>
      <c r="E2823">
        <v>4</v>
      </c>
      <c r="F2823" t="s">
        <v>545</v>
      </c>
      <c r="G2823" t="s">
        <v>16</v>
      </c>
      <c r="H2823" t="s">
        <v>5981</v>
      </c>
      <c r="I2823">
        <v>2.4037999999999999</v>
      </c>
      <c r="J2823">
        <v>208229.86</v>
      </c>
      <c r="K2823">
        <v>86625.284965471335</v>
      </c>
    </row>
    <row r="2824" spans="1:11" x14ac:dyDescent="0.25">
      <c r="A2824" t="s">
        <v>470</v>
      </c>
      <c r="B2824" t="s">
        <v>2117</v>
      </c>
      <c r="C2824" s="1">
        <v>41919</v>
      </c>
      <c r="D2824" s="1">
        <v>41923</v>
      </c>
      <c r="E2824">
        <v>19755</v>
      </c>
      <c r="F2824" t="s">
        <v>311</v>
      </c>
      <c r="G2824" t="s">
        <v>16</v>
      </c>
      <c r="H2824" t="s">
        <v>2612</v>
      </c>
      <c r="I2824">
        <v>2.4098000000000002</v>
      </c>
      <c r="J2824">
        <v>181364.58</v>
      </c>
      <c r="K2824">
        <v>75261.258195700895</v>
      </c>
    </row>
    <row r="2825" spans="1:11" x14ac:dyDescent="0.25">
      <c r="A2825" t="s">
        <v>435</v>
      </c>
      <c r="B2825" t="s">
        <v>5982</v>
      </c>
      <c r="C2825" s="1">
        <v>41928</v>
      </c>
      <c r="D2825" s="1">
        <v>41932</v>
      </c>
      <c r="E2825">
        <v>20666</v>
      </c>
      <c r="F2825" t="s">
        <v>309</v>
      </c>
      <c r="G2825" t="s">
        <v>16</v>
      </c>
      <c r="H2825" t="s">
        <v>5983</v>
      </c>
      <c r="I2825">
        <v>2.4316</v>
      </c>
      <c r="J2825">
        <v>123876</v>
      </c>
      <c r="K2825">
        <v>50944.23424905412</v>
      </c>
    </row>
    <row r="2826" spans="1:11" x14ac:dyDescent="0.25">
      <c r="A2826" t="s">
        <v>608</v>
      </c>
      <c r="B2826" t="s">
        <v>3065</v>
      </c>
      <c r="C2826" s="1">
        <v>41918</v>
      </c>
      <c r="D2826" s="1">
        <v>41946</v>
      </c>
      <c r="E2826">
        <v>59</v>
      </c>
      <c r="F2826" t="s">
        <v>311</v>
      </c>
      <c r="G2826" t="s">
        <v>16</v>
      </c>
      <c r="H2826" t="s">
        <v>5984</v>
      </c>
      <c r="I2826">
        <v>2.4931999999999999</v>
      </c>
      <c r="J2826">
        <v>11971.46</v>
      </c>
      <c r="K2826">
        <v>4801.644472966469</v>
      </c>
    </row>
    <row r="2827" spans="1:11" x14ac:dyDescent="0.25">
      <c r="A2827" t="s">
        <v>2613</v>
      </c>
      <c r="B2827" t="s">
        <v>2614</v>
      </c>
      <c r="C2827" s="1">
        <v>41969</v>
      </c>
      <c r="D2827" s="1">
        <v>41979</v>
      </c>
      <c r="E2827">
        <v>105</v>
      </c>
      <c r="F2827" t="s">
        <v>301</v>
      </c>
      <c r="G2827" t="s">
        <v>16</v>
      </c>
      <c r="H2827" t="s">
        <v>2615</v>
      </c>
      <c r="I2827">
        <v>2.5236999999999998</v>
      </c>
      <c r="J2827">
        <v>15534</v>
      </c>
      <c r="K2827">
        <v>6155.2482466220235</v>
      </c>
    </row>
    <row r="2828" spans="1:11" x14ac:dyDescent="0.25">
      <c r="A2828" t="s">
        <v>2613</v>
      </c>
      <c r="B2828" t="s">
        <v>2614</v>
      </c>
      <c r="C2828" s="1">
        <v>41968</v>
      </c>
      <c r="D2828" s="1">
        <v>42018</v>
      </c>
      <c r="E2828">
        <v>105</v>
      </c>
      <c r="F2828" t="s">
        <v>301</v>
      </c>
      <c r="G2828" t="s">
        <v>16</v>
      </c>
      <c r="H2828" t="s">
        <v>2616</v>
      </c>
      <c r="I2828">
        <v>2.5282</v>
      </c>
      <c r="J2828">
        <v>14152</v>
      </c>
      <c r="K2828">
        <v>5597.6584131002292</v>
      </c>
    </row>
    <row r="2829" spans="1:11" x14ac:dyDescent="0.25">
      <c r="A2829" t="s">
        <v>1123</v>
      </c>
      <c r="B2829" t="s">
        <v>1124</v>
      </c>
      <c r="C2829" s="1">
        <v>41993</v>
      </c>
      <c r="D2829" s="1">
        <v>42002</v>
      </c>
      <c r="E2829">
        <v>21159</v>
      </c>
      <c r="F2829" t="s">
        <v>368</v>
      </c>
      <c r="G2829" t="s">
        <v>16</v>
      </c>
      <c r="H2829" t="s">
        <v>2617</v>
      </c>
      <c r="I2829">
        <v>2.6486000000000001</v>
      </c>
      <c r="J2829">
        <v>64883.35</v>
      </c>
      <c r="K2829">
        <v>24497.224949029674</v>
      </c>
    </row>
    <row r="2830" spans="1:11" x14ac:dyDescent="0.25">
      <c r="A2830" t="s">
        <v>1116</v>
      </c>
      <c r="B2830" t="s">
        <v>1117</v>
      </c>
      <c r="C2830" s="1">
        <v>42013</v>
      </c>
      <c r="D2830" s="1">
        <v>42014</v>
      </c>
      <c r="E2830">
        <v>21004</v>
      </c>
      <c r="F2830" t="s">
        <v>368</v>
      </c>
      <c r="G2830" t="s">
        <v>16</v>
      </c>
      <c r="H2830" t="s">
        <v>2618</v>
      </c>
      <c r="I2830">
        <v>2.6919</v>
      </c>
      <c r="J2830">
        <v>35686.17</v>
      </c>
      <c r="K2830">
        <v>13256.870611835506</v>
      </c>
    </row>
    <row r="2831" spans="1:11" x14ac:dyDescent="0.25">
      <c r="A2831" t="s">
        <v>1102</v>
      </c>
      <c r="B2831" t="s">
        <v>1103</v>
      </c>
      <c r="C2831" s="1">
        <v>41970</v>
      </c>
      <c r="D2831" s="1">
        <v>41982</v>
      </c>
      <c r="E2831">
        <v>19980</v>
      </c>
      <c r="F2831" t="s">
        <v>301</v>
      </c>
      <c r="G2831" t="s">
        <v>16</v>
      </c>
      <c r="H2831" t="s">
        <v>2619</v>
      </c>
      <c r="I2831">
        <v>2.5103</v>
      </c>
      <c r="J2831">
        <v>65160.01</v>
      </c>
      <c r="K2831">
        <v>25957.060909054693</v>
      </c>
    </row>
    <row r="2832" spans="1:11" x14ac:dyDescent="0.25">
      <c r="A2832" t="s">
        <v>2620</v>
      </c>
      <c r="C2832" s="1">
        <v>42010</v>
      </c>
      <c r="D2832" s="1">
        <v>42012</v>
      </c>
      <c r="E2832">
        <v>185</v>
      </c>
      <c r="F2832" t="s">
        <v>519</v>
      </c>
      <c r="G2832" t="s">
        <v>16</v>
      </c>
      <c r="H2832" t="s">
        <v>2621</v>
      </c>
      <c r="I2832">
        <v>2.7107000000000001</v>
      </c>
      <c r="J2832">
        <v>600.39</v>
      </c>
      <c r="K2832">
        <v>221.48891430257868</v>
      </c>
    </row>
    <row r="2833" spans="1:11" x14ac:dyDescent="0.25">
      <c r="A2833" t="s">
        <v>4740</v>
      </c>
      <c r="B2833" t="s">
        <v>4741</v>
      </c>
      <c r="C2833" s="1">
        <v>41965</v>
      </c>
      <c r="D2833" s="1">
        <v>41965</v>
      </c>
      <c r="E2833">
        <v>96</v>
      </c>
      <c r="F2833" t="s">
        <v>301</v>
      </c>
      <c r="G2833" t="s">
        <v>16</v>
      </c>
      <c r="H2833" t="s">
        <v>5985</v>
      </c>
      <c r="I2833">
        <v>2.5390999999999999</v>
      </c>
      <c r="J2833">
        <v>48691.99</v>
      </c>
      <c r="K2833">
        <v>19176.869757000513</v>
      </c>
    </row>
    <row r="2834" spans="1:11" x14ac:dyDescent="0.25">
      <c r="A2834" t="s">
        <v>4740</v>
      </c>
      <c r="B2834" t="s">
        <v>4741</v>
      </c>
      <c r="C2834" s="1">
        <v>41965</v>
      </c>
      <c r="D2834" s="1">
        <v>41965</v>
      </c>
      <c r="E2834">
        <v>96</v>
      </c>
      <c r="F2834" t="s">
        <v>301</v>
      </c>
      <c r="G2834" t="s">
        <v>16</v>
      </c>
      <c r="H2834" t="s">
        <v>5986</v>
      </c>
      <c r="I2834">
        <v>2.5390999999999999</v>
      </c>
      <c r="J2834">
        <v>42654.01</v>
      </c>
      <c r="K2834">
        <v>16798.869678232444</v>
      </c>
    </row>
    <row r="2835" spans="1:11" x14ac:dyDescent="0.25">
      <c r="A2835" t="s">
        <v>613</v>
      </c>
      <c r="B2835" t="s">
        <v>2622</v>
      </c>
      <c r="C2835" s="1">
        <v>41943</v>
      </c>
      <c r="D2835" s="1">
        <v>41977</v>
      </c>
      <c r="E2835">
        <v>61</v>
      </c>
      <c r="F2835" t="s">
        <v>318</v>
      </c>
      <c r="G2835" t="s">
        <v>16</v>
      </c>
      <c r="H2835" t="s">
        <v>2623</v>
      </c>
      <c r="I2835">
        <v>2.4119000000000002</v>
      </c>
      <c r="J2835">
        <v>40150.9</v>
      </c>
      <c r="K2835">
        <v>16647.000290227621</v>
      </c>
    </row>
    <row r="2836" spans="1:11" x14ac:dyDescent="0.25">
      <c r="A2836" t="s">
        <v>400</v>
      </c>
      <c r="B2836" t="s">
        <v>2624</v>
      </c>
      <c r="C2836" s="1">
        <v>42018</v>
      </c>
      <c r="D2836" s="1">
        <v>42024</v>
      </c>
      <c r="E2836">
        <v>22139</v>
      </c>
      <c r="F2836" t="s">
        <v>318</v>
      </c>
      <c r="G2836" t="s">
        <v>16</v>
      </c>
      <c r="H2836" t="s">
        <v>2625</v>
      </c>
      <c r="I2836">
        <v>2.6484999999999999</v>
      </c>
      <c r="J2836">
        <v>113318.37</v>
      </c>
      <c r="K2836">
        <v>42785.867472154052</v>
      </c>
    </row>
    <row r="2837" spans="1:11" x14ac:dyDescent="0.25">
      <c r="A2837" t="s">
        <v>1102</v>
      </c>
      <c r="B2837" t="s">
        <v>1103</v>
      </c>
      <c r="C2837" s="1">
        <v>41985</v>
      </c>
      <c r="D2837" s="1">
        <v>41988</v>
      </c>
      <c r="E2837">
        <v>19980</v>
      </c>
      <c r="F2837" t="s">
        <v>301</v>
      </c>
      <c r="G2837" t="s">
        <v>16</v>
      </c>
      <c r="H2837" t="s">
        <v>5987</v>
      </c>
      <c r="I2837">
        <v>2.6271</v>
      </c>
      <c r="J2837">
        <v>68085</v>
      </c>
      <c r="K2837">
        <v>25916.40972935937</v>
      </c>
    </row>
    <row r="2838" spans="1:11" x14ac:dyDescent="0.25">
      <c r="A2838" t="s">
        <v>1102</v>
      </c>
      <c r="B2838" t="s">
        <v>1103</v>
      </c>
      <c r="C2838" s="1">
        <v>41985</v>
      </c>
      <c r="D2838" s="1">
        <v>41988</v>
      </c>
      <c r="E2838">
        <v>19980</v>
      </c>
      <c r="F2838" t="s">
        <v>301</v>
      </c>
      <c r="G2838" t="s">
        <v>16</v>
      </c>
      <c r="H2838" t="s">
        <v>5988</v>
      </c>
      <c r="I2838">
        <v>2.6271</v>
      </c>
      <c r="J2838">
        <v>45390.01</v>
      </c>
      <c r="K2838">
        <v>17277.610292718207</v>
      </c>
    </row>
    <row r="2839" spans="1:11" x14ac:dyDescent="0.25">
      <c r="A2839" t="s">
        <v>1102</v>
      </c>
      <c r="B2839" t="s">
        <v>1103</v>
      </c>
      <c r="C2839" s="1">
        <v>41985</v>
      </c>
      <c r="D2839" s="1">
        <v>41988</v>
      </c>
      <c r="E2839">
        <v>19980</v>
      </c>
      <c r="F2839" t="s">
        <v>301</v>
      </c>
      <c r="G2839" t="s">
        <v>16</v>
      </c>
      <c r="H2839" t="s">
        <v>2626</v>
      </c>
      <c r="I2839">
        <v>2.6271</v>
      </c>
      <c r="J2839">
        <v>68085</v>
      </c>
      <c r="K2839">
        <v>25916.40972935937</v>
      </c>
    </row>
    <row r="2840" spans="1:11" x14ac:dyDescent="0.25">
      <c r="A2840" t="s">
        <v>1116</v>
      </c>
      <c r="B2840" t="s">
        <v>1117</v>
      </c>
      <c r="C2840" s="1">
        <v>41988</v>
      </c>
      <c r="D2840" s="1">
        <v>41989</v>
      </c>
      <c r="E2840">
        <v>21004</v>
      </c>
      <c r="F2840" t="s">
        <v>368</v>
      </c>
      <c r="G2840" t="s">
        <v>16</v>
      </c>
      <c r="H2840" t="s">
        <v>1871</v>
      </c>
      <c r="I2840">
        <v>2.6558000000000002</v>
      </c>
      <c r="J2840">
        <v>34960.19</v>
      </c>
      <c r="K2840">
        <v>13163.713382031779</v>
      </c>
    </row>
    <row r="2841" spans="1:11" x14ac:dyDescent="0.25">
      <c r="A2841" t="s">
        <v>433</v>
      </c>
      <c r="B2841" t="s">
        <v>2627</v>
      </c>
      <c r="C2841" s="1">
        <v>41969</v>
      </c>
      <c r="D2841" s="1">
        <v>41974</v>
      </c>
      <c r="E2841">
        <v>20447</v>
      </c>
      <c r="F2841" t="s">
        <v>318</v>
      </c>
      <c r="G2841" t="s">
        <v>16</v>
      </c>
      <c r="H2841" t="s">
        <v>2628</v>
      </c>
      <c r="I2841">
        <v>2.5236999999999998</v>
      </c>
      <c r="J2841">
        <v>24797.75</v>
      </c>
      <c r="K2841">
        <v>9825.9499940563455</v>
      </c>
    </row>
    <row r="2842" spans="1:11" x14ac:dyDescent="0.25">
      <c r="A2842" t="s">
        <v>2629</v>
      </c>
      <c r="C2842" s="1">
        <v>42011</v>
      </c>
      <c r="D2842" s="1">
        <v>42026</v>
      </c>
      <c r="E2842">
        <v>22298</v>
      </c>
      <c r="F2842" t="s">
        <v>298</v>
      </c>
      <c r="G2842" t="s">
        <v>16</v>
      </c>
      <c r="H2842" t="s">
        <v>2630</v>
      </c>
      <c r="I2842">
        <v>2.7023000000000001</v>
      </c>
      <c r="J2842">
        <v>40.36</v>
      </c>
      <c r="K2842">
        <v>14.935425378381378</v>
      </c>
    </row>
    <row r="2843" spans="1:11" x14ac:dyDescent="0.25">
      <c r="A2843" t="s">
        <v>1072</v>
      </c>
      <c r="B2843" t="s">
        <v>1073</v>
      </c>
      <c r="C2843" s="1">
        <v>41992</v>
      </c>
      <c r="D2843" s="1">
        <v>42016</v>
      </c>
      <c r="E2843">
        <v>19972</v>
      </c>
      <c r="F2843" t="s">
        <v>368</v>
      </c>
      <c r="G2843" t="s">
        <v>16</v>
      </c>
      <c r="H2843" t="s">
        <v>2631</v>
      </c>
      <c r="I2843">
        <v>2.6676000000000002</v>
      </c>
      <c r="J2843">
        <v>29872.21</v>
      </c>
      <c r="K2843">
        <v>11198.159394212025</v>
      </c>
    </row>
    <row r="2844" spans="1:11" x14ac:dyDescent="0.25">
      <c r="A2844" t="s">
        <v>1116</v>
      </c>
      <c r="B2844" t="s">
        <v>1117</v>
      </c>
      <c r="C2844" s="1">
        <v>41985</v>
      </c>
      <c r="D2844" s="1">
        <v>41991</v>
      </c>
      <c r="E2844">
        <v>21004</v>
      </c>
      <c r="F2844" t="s">
        <v>368</v>
      </c>
      <c r="G2844" t="s">
        <v>16</v>
      </c>
      <c r="H2844" t="s">
        <v>5989</v>
      </c>
      <c r="I2844">
        <v>2.6271</v>
      </c>
      <c r="J2844">
        <v>33793.910000000003</v>
      </c>
      <c r="K2844">
        <v>12863.579612500476</v>
      </c>
    </row>
    <row r="2845" spans="1:11" x14ac:dyDescent="0.25">
      <c r="A2845" t="s">
        <v>2134</v>
      </c>
      <c r="B2845" t="s">
        <v>2135</v>
      </c>
      <c r="C2845" s="1">
        <v>41975</v>
      </c>
      <c r="D2845" s="1">
        <v>41975</v>
      </c>
      <c r="E2845">
        <v>21</v>
      </c>
      <c r="F2845" t="s">
        <v>301</v>
      </c>
      <c r="G2845" t="s">
        <v>16</v>
      </c>
      <c r="H2845" t="s">
        <v>2632</v>
      </c>
      <c r="I2845">
        <v>2.5623999999999998</v>
      </c>
      <c r="J2845">
        <v>14223.99</v>
      </c>
      <c r="K2845">
        <v>5551.0419918826101</v>
      </c>
    </row>
    <row r="2846" spans="1:11" x14ac:dyDescent="0.25">
      <c r="A2846" t="s">
        <v>5990</v>
      </c>
      <c r="C2846" s="1">
        <v>41970</v>
      </c>
      <c r="D2846" s="1">
        <v>41975</v>
      </c>
      <c r="E2846">
        <v>147</v>
      </c>
      <c r="F2846" t="s">
        <v>519</v>
      </c>
      <c r="G2846" t="s">
        <v>16</v>
      </c>
      <c r="H2846" t="s">
        <v>5991</v>
      </c>
      <c r="I2846">
        <v>2.5103</v>
      </c>
      <c r="J2846">
        <v>161.09</v>
      </c>
      <c r="K2846">
        <v>64.171612954626937</v>
      </c>
    </row>
    <row r="2847" spans="1:11" x14ac:dyDescent="0.25">
      <c r="A2847" t="s">
        <v>1102</v>
      </c>
      <c r="B2847" t="s">
        <v>1103</v>
      </c>
      <c r="C2847" s="1">
        <v>41985</v>
      </c>
      <c r="D2847" s="1">
        <v>41990</v>
      </c>
      <c r="E2847">
        <v>19980</v>
      </c>
      <c r="F2847" t="s">
        <v>301</v>
      </c>
      <c r="G2847" t="s">
        <v>16</v>
      </c>
      <c r="H2847" t="s">
        <v>5992</v>
      </c>
      <c r="I2847">
        <v>2.6271</v>
      </c>
      <c r="J2847">
        <v>68085</v>
      </c>
      <c r="K2847">
        <v>25916.40972935937</v>
      </c>
    </row>
    <row r="2848" spans="1:11" x14ac:dyDescent="0.25">
      <c r="A2848" t="s">
        <v>1145</v>
      </c>
      <c r="B2848" t="s">
        <v>1146</v>
      </c>
      <c r="C2848" s="1">
        <v>42041</v>
      </c>
      <c r="D2848" s="1">
        <v>42043</v>
      </c>
      <c r="E2848">
        <v>21007</v>
      </c>
      <c r="F2848" t="s">
        <v>368</v>
      </c>
      <c r="G2848" t="s">
        <v>16</v>
      </c>
      <c r="H2848" t="s">
        <v>2633</v>
      </c>
      <c r="I2848">
        <v>2.7385999999999999</v>
      </c>
      <c r="J2848">
        <v>47370.400000000001</v>
      </c>
      <c r="K2848">
        <v>17297.305192434091</v>
      </c>
    </row>
    <row r="2849" spans="1:11" x14ac:dyDescent="0.25">
      <c r="A2849" t="s">
        <v>5993</v>
      </c>
      <c r="C2849" s="1">
        <v>42037</v>
      </c>
      <c r="D2849" s="1">
        <v>42043</v>
      </c>
      <c r="E2849">
        <v>788</v>
      </c>
      <c r="F2849" t="s">
        <v>479</v>
      </c>
      <c r="G2849" t="s">
        <v>16</v>
      </c>
      <c r="H2849" t="s">
        <v>5994</v>
      </c>
      <c r="I2849">
        <v>2.6623000000000001</v>
      </c>
      <c r="J2849">
        <v>896.8</v>
      </c>
      <c r="K2849">
        <v>336.85159448597079</v>
      </c>
    </row>
    <row r="2850" spans="1:11" x14ac:dyDescent="0.25">
      <c r="A2850" t="s">
        <v>5995</v>
      </c>
      <c r="C2850" s="1">
        <v>42042</v>
      </c>
      <c r="D2850" s="1">
        <v>42043</v>
      </c>
      <c r="E2850">
        <v>784</v>
      </c>
      <c r="F2850" t="s">
        <v>605</v>
      </c>
      <c r="G2850" t="s">
        <v>16</v>
      </c>
      <c r="H2850" t="s">
        <v>5996</v>
      </c>
      <c r="I2850">
        <v>2.7641</v>
      </c>
      <c r="J2850">
        <v>59.96</v>
      </c>
      <c r="K2850">
        <v>21.692413443797257</v>
      </c>
    </row>
    <row r="2851" spans="1:11" x14ac:dyDescent="0.25">
      <c r="A2851" t="s">
        <v>2634</v>
      </c>
      <c r="C2851" s="1">
        <v>42030</v>
      </c>
      <c r="D2851" s="1">
        <v>42032</v>
      </c>
      <c r="E2851">
        <v>22382</v>
      </c>
      <c r="F2851" t="s">
        <v>291</v>
      </c>
      <c r="G2851" t="s">
        <v>16</v>
      </c>
      <c r="H2851" t="s">
        <v>2635</v>
      </c>
      <c r="I2851">
        <v>2.5855999999999999</v>
      </c>
      <c r="J2851">
        <v>35</v>
      </c>
      <c r="K2851">
        <v>13.536509900990099</v>
      </c>
    </row>
    <row r="2852" spans="1:11" x14ac:dyDescent="0.25">
      <c r="A2852" t="s">
        <v>2636</v>
      </c>
      <c r="C2852" s="1">
        <v>41974</v>
      </c>
      <c r="D2852" s="1">
        <v>42047</v>
      </c>
      <c r="E2852">
        <v>228</v>
      </c>
      <c r="F2852" t="s">
        <v>519</v>
      </c>
      <c r="G2852" t="s">
        <v>16</v>
      </c>
      <c r="H2852" t="s">
        <v>2637</v>
      </c>
      <c r="I2852">
        <v>2.5600999999999998</v>
      </c>
      <c r="J2852">
        <v>38.47</v>
      </c>
      <c r="K2852">
        <v>15.026756767313778</v>
      </c>
    </row>
    <row r="2853" spans="1:11" x14ac:dyDescent="0.25">
      <c r="A2853" t="s">
        <v>5997</v>
      </c>
      <c r="C2853" s="1">
        <v>42039</v>
      </c>
      <c r="D2853" s="1">
        <v>42048</v>
      </c>
      <c r="E2853">
        <v>22740</v>
      </c>
      <c r="F2853" t="s">
        <v>304</v>
      </c>
      <c r="G2853" t="s">
        <v>16</v>
      </c>
      <c r="H2853" t="s">
        <v>5998</v>
      </c>
      <c r="I2853">
        <v>2.7059000000000002</v>
      </c>
      <c r="J2853">
        <v>265.33999999999997</v>
      </c>
      <c r="K2853">
        <v>98.059795262204815</v>
      </c>
    </row>
    <row r="2854" spans="1:11" x14ac:dyDescent="0.25">
      <c r="A2854" t="s">
        <v>1145</v>
      </c>
      <c r="B2854" t="s">
        <v>1146</v>
      </c>
      <c r="C2854" s="1">
        <v>42037</v>
      </c>
      <c r="D2854" s="1">
        <v>42039</v>
      </c>
      <c r="E2854">
        <v>21007</v>
      </c>
      <c r="F2854" t="s">
        <v>368</v>
      </c>
      <c r="G2854" t="s">
        <v>16</v>
      </c>
      <c r="H2854" t="s">
        <v>1684</v>
      </c>
      <c r="I2854">
        <v>2.6623000000000001</v>
      </c>
      <c r="J2854">
        <v>32667.13</v>
      </c>
      <c r="K2854">
        <v>12270.266311084401</v>
      </c>
    </row>
    <row r="2855" spans="1:11" x14ac:dyDescent="0.25">
      <c r="A2855" t="s">
        <v>1137</v>
      </c>
      <c r="B2855" t="s">
        <v>1138</v>
      </c>
      <c r="C2855" s="1">
        <v>42057</v>
      </c>
      <c r="D2855" s="1">
        <v>42059</v>
      </c>
      <c r="E2855">
        <v>20065</v>
      </c>
      <c r="F2855" t="s">
        <v>368</v>
      </c>
      <c r="G2855" t="s">
        <v>16</v>
      </c>
      <c r="H2855" t="s">
        <v>5999</v>
      </c>
      <c r="I2855">
        <v>2.8700999999999999</v>
      </c>
      <c r="J2855">
        <v>36504.29</v>
      </c>
      <c r="K2855">
        <v>12718.821643845162</v>
      </c>
    </row>
    <row r="2856" spans="1:11" x14ac:dyDescent="0.25">
      <c r="A2856" t="s">
        <v>1137</v>
      </c>
      <c r="B2856" t="s">
        <v>1138</v>
      </c>
      <c r="C2856" s="1">
        <v>42057</v>
      </c>
      <c r="D2856" s="1">
        <v>42059</v>
      </c>
      <c r="E2856">
        <v>20065</v>
      </c>
      <c r="F2856" t="s">
        <v>368</v>
      </c>
      <c r="G2856" t="s">
        <v>16</v>
      </c>
      <c r="H2856" t="s">
        <v>6000</v>
      </c>
      <c r="I2856">
        <v>2.8700999999999999</v>
      </c>
      <c r="J2856">
        <v>36623.1</v>
      </c>
      <c r="K2856">
        <v>12760.217414027386</v>
      </c>
    </row>
    <row r="2857" spans="1:11" x14ac:dyDescent="0.25">
      <c r="A2857" t="s">
        <v>445</v>
      </c>
      <c r="B2857" t="s">
        <v>1685</v>
      </c>
      <c r="C2857" s="1">
        <v>42053</v>
      </c>
      <c r="D2857" s="1">
        <v>42059</v>
      </c>
      <c r="E2857">
        <v>22321</v>
      </c>
      <c r="F2857" t="s">
        <v>309</v>
      </c>
      <c r="G2857" t="s">
        <v>16</v>
      </c>
      <c r="H2857" t="s">
        <v>6001</v>
      </c>
      <c r="I2857">
        <v>2.8391999999999999</v>
      </c>
      <c r="J2857">
        <v>25172.58</v>
      </c>
      <c r="K2857">
        <v>8866.0819949281486</v>
      </c>
    </row>
    <row r="2858" spans="1:11" x14ac:dyDescent="0.25">
      <c r="A2858" t="s">
        <v>423</v>
      </c>
      <c r="B2858" t="s">
        <v>1160</v>
      </c>
      <c r="C2858" s="1">
        <v>42057</v>
      </c>
      <c r="D2858" s="1">
        <v>42059</v>
      </c>
      <c r="E2858">
        <v>22776</v>
      </c>
      <c r="F2858" t="s">
        <v>368</v>
      </c>
      <c r="G2858" t="s">
        <v>16</v>
      </c>
      <c r="H2858" t="s">
        <v>2638</v>
      </c>
      <c r="I2858">
        <v>2.8700999999999999</v>
      </c>
      <c r="J2858">
        <v>47909.85</v>
      </c>
      <c r="K2858">
        <v>16692.745897355493</v>
      </c>
    </row>
    <row r="2859" spans="1:11" x14ac:dyDescent="0.25">
      <c r="A2859" t="s">
        <v>2639</v>
      </c>
      <c r="C2859" s="1">
        <v>42058</v>
      </c>
      <c r="D2859" s="1">
        <v>42060</v>
      </c>
      <c r="E2859">
        <v>771</v>
      </c>
      <c r="F2859" t="s">
        <v>519</v>
      </c>
      <c r="G2859" t="s">
        <v>16</v>
      </c>
      <c r="H2859" t="s">
        <v>2640</v>
      </c>
      <c r="I2859">
        <v>2.8700999999999999</v>
      </c>
      <c r="J2859">
        <v>187.78</v>
      </c>
      <c r="K2859">
        <v>65.426291766837394</v>
      </c>
    </row>
    <row r="2860" spans="1:11" x14ac:dyDescent="0.25">
      <c r="A2860" t="s">
        <v>2641</v>
      </c>
      <c r="C2860" s="1">
        <v>42059</v>
      </c>
      <c r="D2860" s="1">
        <v>42060</v>
      </c>
      <c r="E2860">
        <v>772</v>
      </c>
      <c r="F2860" t="s">
        <v>519</v>
      </c>
      <c r="G2860" t="s">
        <v>16</v>
      </c>
      <c r="H2860" t="s">
        <v>2642</v>
      </c>
      <c r="I2860">
        <v>2.8811</v>
      </c>
      <c r="J2860">
        <v>397.93</v>
      </c>
      <c r="K2860">
        <v>138.11738572073168</v>
      </c>
    </row>
    <row r="2861" spans="1:11" x14ac:dyDescent="0.25">
      <c r="A2861" t="s">
        <v>1116</v>
      </c>
      <c r="B2861" t="s">
        <v>1117</v>
      </c>
      <c r="C2861" s="1">
        <v>42037</v>
      </c>
      <c r="D2861" s="1">
        <v>42039</v>
      </c>
      <c r="E2861">
        <v>21004</v>
      </c>
      <c r="F2861" t="s">
        <v>368</v>
      </c>
      <c r="G2861" t="s">
        <v>16</v>
      </c>
      <c r="H2861" t="s">
        <v>2643</v>
      </c>
      <c r="I2861">
        <v>2.6623000000000001</v>
      </c>
      <c r="J2861">
        <v>46231.75</v>
      </c>
      <c r="K2861">
        <v>17365.34199752094</v>
      </c>
    </row>
    <row r="2862" spans="1:11" x14ac:dyDescent="0.25">
      <c r="A2862" t="s">
        <v>369</v>
      </c>
      <c r="B2862" t="s">
        <v>1153</v>
      </c>
      <c r="C2862" s="1">
        <v>42048</v>
      </c>
      <c r="D2862" s="1">
        <v>42050</v>
      </c>
      <c r="E2862">
        <v>22709</v>
      </c>
      <c r="F2862" t="s">
        <v>368</v>
      </c>
      <c r="G2862" t="s">
        <v>16</v>
      </c>
      <c r="H2862" t="s">
        <v>2644</v>
      </c>
      <c r="I2862">
        <v>2.8624999999999998</v>
      </c>
      <c r="J2862">
        <v>51643.25</v>
      </c>
      <c r="K2862">
        <v>18041.310043668123</v>
      </c>
    </row>
    <row r="2863" spans="1:11" x14ac:dyDescent="0.25">
      <c r="A2863" t="s">
        <v>6002</v>
      </c>
      <c r="C2863" s="1">
        <v>42019</v>
      </c>
      <c r="D2863" s="1">
        <v>42040</v>
      </c>
      <c r="E2863">
        <v>22610</v>
      </c>
      <c r="F2863" t="s">
        <v>328</v>
      </c>
      <c r="G2863" t="s">
        <v>16</v>
      </c>
      <c r="H2863" t="s">
        <v>6003</v>
      </c>
      <c r="I2863">
        <v>2.6221999999999999</v>
      </c>
      <c r="J2863">
        <v>1149.3900000000001</v>
      </c>
      <c r="K2863">
        <v>438.3304095797422</v>
      </c>
    </row>
    <row r="2864" spans="1:11" x14ac:dyDescent="0.25">
      <c r="A2864" t="s">
        <v>1145</v>
      </c>
      <c r="B2864" t="s">
        <v>1146</v>
      </c>
      <c r="C2864" s="1">
        <v>42047</v>
      </c>
      <c r="D2864" s="1">
        <v>42049</v>
      </c>
      <c r="E2864">
        <v>21007</v>
      </c>
      <c r="F2864" t="s">
        <v>368</v>
      </c>
      <c r="G2864" t="s">
        <v>16</v>
      </c>
      <c r="H2864" t="s">
        <v>6004</v>
      </c>
      <c r="I2864">
        <v>2.8624999999999998</v>
      </c>
      <c r="J2864">
        <v>49186.13</v>
      </c>
      <c r="K2864">
        <v>17182.92751091703</v>
      </c>
    </row>
    <row r="2865" spans="1:11" x14ac:dyDescent="0.25">
      <c r="A2865" t="s">
        <v>1116</v>
      </c>
      <c r="B2865" t="s">
        <v>1117</v>
      </c>
      <c r="C2865" s="1">
        <v>42026</v>
      </c>
      <c r="D2865" s="1">
        <v>42028</v>
      </c>
      <c r="E2865">
        <v>21004</v>
      </c>
      <c r="F2865" t="s">
        <v>368</v>
      </c>
      <c r="G2865" t="s">
        <v>16</v>
      </c>
      <c r="H2865" t="s">
        <v>2645</v>
      </c>
      <c r="I2865">
        <v>2.5968</v>
      </c>
      <c r="J2865">
        <v>34586.550000000003</v>
      </c>
      <c r="K2865">
        <v>13318.911737523105</v>
      </c>
    </row>
    <row r="2866" spans="1:11" x14ac:dyDescent="0.25">
      <c r="A2866" t="s">
        <v>1116</v>
      </c>
      <c r="B2866" t="s">
        <v>1117</v>
      </c>
      <c r="C2866" s="1">
        <v>42031</v>
      </c>
      <c r="D2866" s="1">
        <v>42033</v>
      </c>
      <c r="E2866">
        <v>21004</v>
      </c>
      <c r="F2866" t="s">
        <v>368</v>
      </c>
      <c r="G2866" t="s">
        <v>16</v>
      </c>
      <c r="H2866" t="s">
        <v>6005</v>
      </c>
      <c r="I2866">
        <v>2.5966</v>
      </c>
      <c r="J2866">
        <v>34655.54</v>
      </c>
      <c r="K2866">
        <v>13346.506970653933</v>
      </c>
    </row>
    <row r="2867" spans="1:11" x14ac:dyDescent="0.25">
      <c r="A2867" t="s">
        <v>423</v>
      </c>
      <c r="B2867" t="s">
        <v>1160</v>
      </c>
      <c r="C2867" s="1">
        <v>42065</v>
      </c>
      <c r="D2867" s="1">
        <v>42067</v>
      </c>
      <c r="E2867">
        <v>22776</v>
      </c>
      <c r="F2867" t="s">
        <v>368</v>
      </c>
      <c r="G2867" t="s">
        <v>16</v>
      </c>
      <c r="H2867" t="s">
        <v>2646</v>
      </c>
      <c r="I2867">
        <v>2.8782000000000001</v>
      </c>
      <c r="J2867">
        <v>36206.300000000003</v>
      </c>
      <c r="K2867">
        <v>12579.494128274617</v>
      </c>
    </row>
    <row r="2868" spans="1:11" x14ac:dyDescent="0.25">
      <c r="A2868" t="s">
        <v>367</v>
      </c>
      <c r="B2868" t="s">
        <v>2647</v>
      </c>
      <c r="C2868" s="1">
        <v>42069</v>
      </c>
      <c r="D2868" s="1">
        <v>42076</v>
      </c>
      <c r="E2868">
        <v>23071</v>
      </c>
      <c r="F2868" t="s">
        <v>301</v>
      </c>
      <c r="G2868" t="s">
        <v>16</v>
      </c>
      <c r="H2868" t="s">
        <v>6006</v>
      </c>
      <c r="I2868">
        <v>2.9931000000000001</v>
      </c>
      <c r="J2868">
        <v>255809.99</v>
      </c>
      <c r="K2868">
        <v>85466.569777154116</v>
      </c>
    </row>
    <row r="2869" spans="1:11" x14ac:dyDescent="0.25">
      <c r="A2869" t="s">
        <v>367</v>
      </c>
      <c r="B2869" t="s">
        <v>2647</v>
      </c>
      <c r="C2869" s="1">
        <v>42072</v>
      </c>
      <c r="D2869" s="1">
        <v>42076</v>
      </c>
      <c r="E2869">
        <v>23071</v>
      </c>
      <c r="F2869" t="s">
        <v>301</v>
      </c>
      <c r="G2869" t="s">
        <v>16</v>
      </c>
      <c r="H2869" t="s">
        <v>2648</v>
      </c>
      <c r="I2869">
        <v>3.0366</v>
      </c>
      <c r="J2869">
        <v>217017.60000000001</v>
      </c>
      <c r="K2869">
        <v>71467.298952776138</v>
      </c>
    </row>
    <row r="2870" spans="1:11" x14ac:dyDescent="0.25">
      <c r="A2870" t="s">
        <v>542</v>
      </c>
      <c r="B2870" t="s">
        <v>1693</v>
      </c>
      <c r="C2870" s="1">
        <v>42055</v>
      </c>
      <c r="D2870" s="1">
        <v>42072</v>
      </c>
      <c r="E2870">
        <v>833</v>
      </c>
      <c r="F2870" t="s">
        <v>309</v>
      </c>
      <c r="G2870" t="s">
        <v>16</v>
      </c>
      <c r="H2870" t="s">
        <v>2649</v>
      </c>
      <c r="I2870">
        <v>2.8544999999999998</v>
      </c>
      <c r="J2870">
        <v>44036.66</v>
      </c>
      <c r="K2870">
        <v>15427.101068488351</v>
      </c>
    </row>
    <row r="2871" spans="1:11" x14ac:dyDescent="0.25">
      <c r="A2871" t="s">
        <v>1175</v>
      </c>
      <c r="B2871" t="s">
        <v>1176</v>
      </c>
      <c r="C2871" s="1">
        <v>42068</v>
      </c>
      <c r="D2871" s="1">
        <v>42076</v>
      </c>
      <c r="E2871">
        <v>20066</v>
      </c>
      <c r="F2871" t="s">
        <v>368</v>
      </c>
      <c r="G2871" t="s">
        <v>16</v>
      </c>
      <c r="H2871" t="s">
        <v>2650</v>
      </c>
      <c r="I2871">
        <v>2.9803999999999999</v>
      </c>
      <c r="J2871">
        <v>37449.129999999997</v>
      </c>
      <c r="K2871">
        <v>12565.135552274862</v>
      </c>
    </row>
    <row r="2872" spans="1:11" x14ac:dyDescent="0.25">
      <c r="A2872" t="s">
        <v>445</v>
      </c>
      <c r="B2872" t="s">
        <v>1685</v>
      </c>
      <c r="C2872" s="1">
        <v>42066</v>
      </c>
      <c r="D2872" s="1">
        <v>42076</v>
      </c>
      <c r="E2872">
        <v>22321</v>
      </c>
      <c r="F2872" t="s">
        <v>309</v>
      </c>
      <c r="G2872" t="s">
        <v>16</v>
      </c>
      <c r="H2872" t="s">
        <v>2651</v>
      </c>
      <c r="I2872">
        <v>2.8654999999999999</v>
      </c>
      <c r="J2872">
        <v>28784.3</v>
      </c>
      <c r="K2872">
        <v>10045.123015180598</v>
      </c>
    </row>
    <row r="2873" spans="1:11" x14ac:dyDescent="0.25">
      <c r="A2873" t="s">
        <v>445</v>
      </c>
      <c r="B2873" t="s">
        <v>1685</v>
      </c>
      <c r="C2873" s="1">
        <v>42066</v>
      </c>
      <c r="D2873" s="1">
        <v>42076</v>
      </c>
      <c r="E2873">
        <v>22321</v>
      </c>
      <c r="F2873" t="s">
        <v>309</v>
      </c>
      <c r="G2873" t="s">
        <v>16</v>
      </c>
      <c r="H2873" t="s">
        <v>6007</v>
      </c>
      <c r="I2873">
        <v>2.8654999999999999</v>
      </c>
      <c r="J2873">
        <v>23924.9</v>
      </c>
      <c r="K2873">
        <v>8349.2933170476354</v>
      </c>
    </row>
    <row r="2874" spans="1:11" x14ac:dyDescent="0.25">
      <c r="A2874" t="s">
        <v>366</v>
      </c>
      <c r="B2874" t="s">
        <v>1697</v>
      </c>
      <c r="C2874" s="1">
        <v>42055</v>
      </c>
      <c r="D2874" s="1">
        <v>42065</v>
      </c>
      <c r="E2874">
        <v>23069</v>
      </c>
      <c r="F2874" t="s">
        <v>318</v>
      </c>
      <c r="G2874" t="s">
        <v>16</v>
      </c>
      <c r="H2874" t="s">
        <v>2652</v>
      </c>
      <c r="I2874">
        <v>2.8544999999999998</v>
      </c>
      <c r="J2874">
        <v>170483.94</v>
      </c>
      <c r="K2874">
        <v>59724.624277456649</v>
      </c>
    </row>
    <row r="2875" spans="1:11" x14ac:dyDescent="0.25">
      <c r="A2875" t="s">
        <v>385</v>
      </c>
      <c r="B2875" t="s">
        <v>503</v>
      </c>
      <c r="C2875" s="1">
        <v>42107</v>
      </c>
      <c r="D2875" s="1">
        <v>42111</v>
      </c>
      <c r="E2875">
        <v>23965</v>
      </c>
      <c r="F2875" t="s">
        <v>311</v>
      </c>
      <c r="G2875" t="s">
        <v>16</v>
      </c>
      <c r="H2875" t="s">
        <v>2653</v>
      </c>
      <c r="I2875">
        <v>3.0796000000000001</v>
      </c>
      <c r="J2875">
        <v>415984.02</v>
      </c>
      <c r="K2875">
        <v>135077.28925834523</v>
      </c>
    </row>
    <row r="2876" spans="1:11" x14ac:dyDescent="0.25">
      <c r="A2876" t="s">
        <v>463</v>
      </c>
      <c r="B2876" t="s">
        <v>1185</v>
      </c>
      <c r="C2876" s="1">
        <v>42090</v>
      </c>
      <c r="D2876" s="1">
        <v>42101</v>
      </c>
      <c r="E2876">
        <v>2</v>
      </c>
      <c r="F2876" t="s">
        <v>301</v>
      </c>
      <c r="G2876" t="s">
        <v>16</v>
      </c>
      <c r="H2876" t="s">
        <v>2654</v>
      </c>
      <c r="I2876">
        <v>3.1915</v>
      </c>
      <c r="J2876">
        <v>79830.009999999995</v>
      </c>
      <c r="K2876">
        <v>25013.319755600816</v>
      </c>
    </row>
    <row r="2877" spans="1:11" x14ac:dyDescent="0.25">
      <c r="A2877" t="s">
        <v>611</v>
      </c>
      <c r="B2877" t="s">
        <v>2164</v>
      </c>
      <c r="C2877" s="1">
        <v>42152</v>
      </c>
      <c r="D2877" s="1">
        <v>42166</v>
      </c>
      <c r="E2877">
        <v>3</v>
      </c>
      <c r="F2877" t="s">
        <v>301</v>
      </c>
      <c r="G2877" t="s">
        <v>16</v>
      </c>
      <c r="H2877" t="s">
        <v>6008</v>
      </c>
      <c r="I2877">
        <v>3.1739999999999999</v>
      </c>
      <c r="J2877">
        <v>78120.009999999995</v>
      </c>
      <c r="K2877">
        <v>24612.47952110901</v>
      </c>
    </row>
    <row r="2878" spans="1:11" x14ac:dyDescent="0.25">
      <c r="A2878" t="s">
        <v>372</v>
      </c>
      <c r="B2878" t="s">
        <v>2655</v>
      </c>
      <c r="C2878" s="1">
        <v>42153</v>
      </c>
      <c r="D2878" s="1">
        <v>42158</v>
      </c>
      <c r="E2878">
        <v>24974</v>
      </c>
      <c r="F2878" t="s">
        <v>278</v>
      </c>
      <c r="G2878" t="s">
        <v>16</v>
      </c>
      <c r="H2878" t="s">
        <v>1325</v>
      </c>
      <c r="I2878">
        <v>3.1747999999999998</v>
      </c>
      <c r="J2878">
        <v>32460</v>
      </c>
      <c r="K2878">
        <v>10224.266095502078</v>
      </c>
    </row>
    <row r="2879" spans="1:11" x14ac:dyDescent="0.25">
      <c r="A2879" t="s">
        <v>485</v>
      </c>
      <c r="B2879" t="s">
        <v>1188</v>
      </c>
      <c r="C2879" s="1">
        <v>42177</v>
      </c>
      <c r="D2879" s="1">
        <v>42178</v>
      </c>
      <c r="E2879">
        <v>3</v>
      </c>
      <c r="F2879" t="s">
        <v>368</v>
      </c>
      <c r="G2879" t="s">
        <v>16</v>
      </c>
      <c r="H2879" t="s">
        <v>2656</v>
      </c>
      <c r="I2879">
        <v>3.0788000000000002</v>
      </c>
      <c r="J2879">
        <v>33532.25</v>
      </c>
      <c r="K2879">
        <v>10891.337534104196</v>
      </c>
    </row>
    <row r="2880" spans="1:11" x14ac:dyDescent="0.25">
      <c r="A2880" t="s">
        <v>454</v>
      </c>
      <c r="B2880" t="s">
        <v>1183</v>
      </c>
      <c r="C2880" s="1">
        <v>42175</v>
      </c>
      <c r="D2880" s="1">
        <v>42179</v>
      </c>
      <c r="E2880">
        <v>3</v>
      </c>
      <c r="F2880" t="s">
        <v>368</v>
      </c>
      <c r="G2880" t="s">
        <v>16</v>
      </c>
      <c r="H2880" t="s">
        <v>2657</v>
      </c>
      <c r="I2880">
        <v>3.0788000000000002</v>
      </c>
      <c r="J2880">
        <v>45682.79</v>
      </c>
      <c r="K2880">
        <v>14837.855658048591</v>
      </c>
    </row>
    <row r="2881" spans="1:11" x14ac:dyDescent="0.25">
      <c r="A2881" t="s">
        <v>454</v>
      </c>
      <c r="B2881" t="s">
        <v>1183</v>
      </c>
      <c r="C2881" s="1">
        <v>42180</v>
      </c>
      <c r="D2881" s="1">
        <v>42184</v>
      </c>
      <c r="E2881">
        <v>3</v>
      </c>
      <c r="F2881" t="s">
        <v>368</v>
      </c>
      <c r="G2881" t="s">
        <v>16</v>
      </c>
      <c r="H2881" t="s">
        <v>6009</v>
      </c>
      <c r="I2881">
        <v>3.0851999999999999</v>
      </c>
      <c r="J2881">
        <v>32939.949999999997</v>
      </c>
      <c r="K2881">
        <v>10676.763256839104</v>
      </c>
    </row>
    <row r="2882" spans="1:11" x14ac:dyDescent="0.25">
      <c r="A2882" t="s">
        <v>405</v>
      </c>
      <c r="B2882" t="s">
        <v>1703</v>
      </c>
      <c r="C2882" s="1">
        <v>42180</v>
      </c>
      <c r="D2882" s="1">
        <v>42184</v>
      </c>
      <c r="E2882">
        <v>4</v>
      </c>
      <c r="F2882" t="s">
        <v>368</v>
      </c>
      <c r="G2882" t="s">
        <v>16</v>
      </c>
      <c r="H2882" t="s">
        <v>6010</v>
      </c>
      <c r="I2882">
        <v>3.0851999999999999</v>
      </c>
      <c r="J2882">
        <v>44945.760000000002</v>
      </c>
      <c r="K2882">
        <v>14568.183586153247</v>
      </c>
    </row>
    <row r="2883" spans="1:11" x14ac:dyDescent="0.25">
      <c r="A2883" t="s">
        <v>485</v>
      </c>
      <c r="B2883" t="s">
        <v>1188</v>
      </c>
      <c r="C2883" s="1">
        <v>42178</v>
      </c>
      <c r="D2883" s="1">
        <v>42185</v>
      </c>
      <c r="E2883">
        <v>3</v>
      </c>
      <c r="F2883" t="s">
        <v>368</v>
      </c>
      <c r="G2883" t="s">
        <v>16</v>
      </c>
      <c r="H2883" t="s">
        <v>2658</v>
      </c>
      <c r="I2883">
        <v>3.0756999999999999</v>
      </c>
      <c r="J2883">
        <v>33552</v>
      </c>
      <c r="K2883">
        <v>10908.736222648502</v>
      </c>
    </row>
    <row r="2884" spans="1:11" x14ac:dyDescent="0.25">
      <c r="A2884" t="s">
        <v>485</v>
      </c>
      <c r="B2884" t="s">
        <v>1188</v>
      </c>
      <c r="C2884" s="1">
        <v>42181</v>
      </c>
      <c r="D2884" s="1">
        <v>42185</v>
      </c>
      <c r="E2884">
        <v>3</v>
      </c>
      <c r="F2884" t="s">
        <v>368</v>
      </c>
      <c r="G2884" t="s">
        <v>16</v>
      </c>
      <c r="H2884" t="s">
        <v>2659</v>
      </c>
      <c r="I2884">
        <v>3.1015000000000001</v>
      </c>
      <c r="J2884">
        <v>22987.33</v>
      </c>
      <c r="K2884">
        <v>7411.6814444623569</v>
      </c>
    </row>
    <row r="2885" spans="1:11" x14ac:dyDescent="0.25">
      <c r="A2885" t="s">
        <v>404</v>
      </c>
      <c r="B2885" t="s">
        <v>2660</v>
      </c>
      <c r="C2885" s="1">
        <v>42165</v>
      </c>
      <c r="D2885" s="1">
        <v>42167</v>
      </c>
      <c r="E2885">
        <v>25298</v>
      </c>
      <c r="F2885" t="s">
        <v>338</v>
      </c>
      <c r="G2885" t="s">
        <v>16</v>
      </c>
      <c r="H2885" t="s">
        <v>2661</v>
      </c>
      <c r="I2885">
        <v>3.0991</v>
      </c>
      <c r="J2885">
        <v>143573.28</v>
      </c>
      <c r="K2885">
        <v>46327.411183892094</v>
      </c>
    </row>
    <row r="2886" spans="1:11" x14ac:dyDescent="0.25">
      <c r="A2886" t="s">
        <v>345</v>
      </c>
      <c r="B2886" t="s">
        <v>1190</v>
      </c>
      <c r="C2886" s="1">
        <v>42165</v>
      </c>
      <c r="D2886" s="1">
        <v>42167</v>
      </c>
      <c r="E2886">
        <v>3</v>
      </c>
      <c r="F2886" t="s">
        <v>309</v>
      </c>
      <c r="G2886" t="s">
        <v>16</v>
      </c>
      <c r="H2886" t="s">
        <v>6011</v>
      </c>
      <c r="I2886">
        <v>3.0991</v>
      </c>
      <c r="J2886">
        <v>117658.8</v>
      </c>
      <c r="K2886">
        <v>37965.473847245972</v>
      </c>
    </row>
    <row r="2887" spans="1:11" x14ac:dyDescent="0.25">
      <c r="A2887" t="s">
        <v>407</v>
      </c>
      <c r="B2887" t="s">
        <v>2662</v>
      </c>
      <c r="C2887" s="1">
        <v>42167</v>
      </c>
      <c r="D2887" s="1">
        <v>42173</v>
      </c>
      <c r="E2887">
        <v>25205</v>
      </c>
      <c r="F2887" t="s">
        <v>406</v>
      </c>
      <c r="G2887" t="s">
        <v>16</v>
      </c>
      <c r="H2887" t="s">
        <v>2663</v>
      </c>
      <c r="I2887">
        <v>3.1514000000000002</v>
      </c>
      <c r="J2887">
        <v>98633.78</v>
      </c>
      <c r="K2887">
        <v>31298.400710795202</v>
      </c>
    </row>
    <row r="2888" spans="1:11" x14ac:dyDescent="0.25">
      <c r="A2888" t="s">
        <v>345</v>
      </c>
      <c r="B2888" t="s">
        <v>1190</v>
      </c>
      <c r="C2888" s="1">
        <v>42164</v>
      </c>
      <c r="D2888" s="1">
        <v>42166</v>
      </c>
      <c r="E2888">
        <v>3</v>
      </c>
      <c r="F2888" t="s">
        <v>309</v>
      </c>
      <c r="G2888" t="s">
        <v>16</v>
      </c>
      <c r="H2888" t="s">
        <v>2664</v>
      </c>
      <c r="I2888">
        <v>3.1190000000000002</v>
      </c>
      <c r="J2888">
        <v>117658</v>
      </c>
      <c r="K2888">
        <v>37722.988137223467</v>
      </c>
    </row>
    <row r="2889" spans="1:11" x14ac:dyDescent="0.25">
      <c r="A2889" t="s">
        <v>371</v>
      </c>
      <c r="B2889" t="s">
        <v>6012</v>
      </c>
      <c r="C2889" s="1">
        <v>42163</v>
      </c>
      <c r="D2889" s="1">
        <v>42166</v>
      </c>
      <c r="E2889">
        <v>25206</v>
      </c>
      <c r="F2889" t="s">
        <v>370</v>
      </c>
      <c r="G2889" t="s">
        <v>16</v>
      </c>
      <c r="H2889" t="s">
        <v>6013</v>
      </c>
      <c r="I2889">
        <v>3.1684000000000001</v>
      </c>
      <c r="J2889">
        <v>95749.05</v>
      </c>
      <c r="K2889">
        <v>30220.00063123343</v>
      </c>
    </row>
    <row r="2890" spans="1:11" x14ac:dyDescent="0.25">
      <c r="A2890" t="s">
        <v>345</v>
      </c>
      <c r="B2890" t="s">
        <v>1190</v>
      </c>
      <c r="C2890" s="1">
        <v>42158</v>
      </c>
      <c r="D2890" s="1">
        <v>42161</v>
      </c>
      <c r="E2890">
        <v>3</v>
      </c>
      <c r="F2890" t="s">
        <v>309</v>
      </c>
      <c r="G2890" t="s">
        <v>16</v>
      </c>
      <c r="H2890" t="s">
        <v>2665</v>
      </c>
      <c r="I2890">
        <v>3.1442999999999999</v>
      </c>
      <c r="J2890">
        <v>98048.88</v>
      </c>
      <c r="K2890">
        <v>31183.055051998854</v>
      </c>
    </row>
    <row r="2891" spans="1:11" x14ac:dyDescent="0.25">
      <c r="A2891" t="s">
        <v>610</v>
      </c>
      <c r="B2891" t="s">
        <v>1192</v>
      </c>
      <c r="C2891" s="1">
        <v>42181</v>
      </c>
      <c r="D2891" s="1">
        <v>42192</v>
      </c>
      <c r="E2891">
        <v>5</v>
      </c>
      <c r="F2891" t="s">
        <v>368</v>
      </c>
      <c r="G2891" t="s">
        <v>16</v>
      </c>
      <c r="H2891" t="s">
        <v>6014</v>
      </c>
      <c r="I2891">
        <v>3.1015000000000001</v>
      </c>
      <c r="J2891">
        <v>33410.78</v>
      </c>
      <c r="K2891">
        <v>10772.45848782847</v>
      </c>
    </row>
    <row r="2892" spans="1:11" x14ac:dyDescent="0.25">
      <c r="A2892" t="s">
        <v>610</v>
      </c>
      <c r="B2892" t="s">
        <v>1192</v>
      </c>
      <c r="C2892" s="1">
        <v>42178</v>
      </c>
      <c r="D2892" s="1">
        <v>42192</v>
      </c>
      <c r="E2892">
        <v>5</v>
      </c>
      <c r="F2892" t="s">
        <v>368</v>
      </c>
      <c r="G2892" t="s">
        <v>16</v>
      </c>
      <c r="H2892" t="s">
        <v>2666</v>
      </c>
      <c r="I2892">
        <v>3.0756999999999999</v>
      </c>
      <c r="J2892">
        <v>44905.45</v>
      </c>
      <c r="K2892">
        <v>14600.074779724941</v>
      </c>
    </row>
    <row r="2893" spans="1:11" x14ac:dyDescent="0.25">
      <c r="A2893" t="s">
        <v>610</v>
      </c>
      <c r="B2893" t="s">
        <v>1192</v>
      </c>
      <c r="C2893" s="1">
        <v>42179</v>
      </c>
      <c r="D2893" s="1">
        <v>42192</v>
      </c>
      <c r="E2893">
        <v>5</v>
      </c>
      <c r="F2893" t="s">
        <v>368</v>
      </c>
      <c r="G2893" t="s">
        <v>16</v>
      </c>
      <c r="H2893" t="s">
        <v>2667</v>
      </c>
      <c r="I2893">
        <v>3.1042000000000001</v>
      </c>
      <c r="J2893">
        <v>33286.839999999997</v>
      </c>
      <c r="K2893">
        <v>10723.162167386123</v>
      </c>
    </row>
    <row r="2894" spans="1:11" x14ac:dyDescent="0.25">
      <c r="A2894" t="s">
        <v>610</v>
      </c>
      <c r="B2894" t="s">
        <v>1192</v>
      </c>
      <c r="C2894" s="1">
        <v>42191</v>
      </c>
      <c r="D2894" s="1">
        <v>42192</v>
      </c>
      <c r="E2894">
        <v>5</v>
      </c>
      <c r="F2894" t="s">
        <v>368</v>
      </c>
      <c r="G2894" t="s">
        <v>16</v>
      </c>
      <c r="H2894" t="s">
        <v>2668</v>
      </c>
      <c r="I2894">
        <v>3.1271</v>
      </c>
      <c r="J2894">
        <v>33994.879999999997</v>
      </c>
      <c r="K2894">
        <v>10871.056250199867</v>
      </c>
    </row>
    <row r="2895" spans="1:11" x14ac:dyDescent="0.25">
      <c r="A2895" t="s">
        <v>610</v>
      </c>
      <c r="B2895" t="s">
        <v>1192</v>
      </c>
      <c r="C2895" s="1">
        <v>42191</v>
      </c>
      <c r="D2895" s="1">
        <v>42192</v>
      </c>
      <c r="E2895">
        <v>5</v>
      </c>
      <c r="F2895" t="s">
        <v>368</v>
      </c>
      <c r="G2895" t="s">
        <v>16</v>
      </c>
      <c r="H2895" t="s">
        <v>4995</v>
      </c>
      <c r="I2895">
        <v>3.1271</v>
      </c>
      <c r="J2895">
        <v>34121.83</v>
      </c>
      <c r="K2895">
        <v>10911.652969204695</v>
      </c>
    </row>
    <row r="2896" spans="1:11" x14ac:dyDescent="0.25">
      <c r="A2896" t="s">
        <v>413</v>
      </c>
      <c r="B2896" t="s">
        <v>1196</v>
      </c>
      <c r="C2896" s="1">
        <v>42216</v>
      </c>
      <c r="D2896" s="1">
        <v>42218</v>
      </c>
      <c r="E2896">
        <v>1</v>
      </c>
      <c r="F2896" t="s">
        <v>368</v>
      </c>
      <c r="G2896" t="s">
        <v>16</v>
      </c>
      <c r="H2896" t="s">
        <v>2669</v>
      </c>
      <c r="I2896">
        <v>3.3652000000000002</v>
      </c>
      <c r="J2896">
        <v>57740.67</v>
      </c>
      <c r="K2896">
        <v>17158.168905265662</v>
      </c>
    </row>
    <row r="2897" spans="1:11" x14ac:dyDescent="0.25">
      <c r="A2897" t="s">
        <v>610</v>
      </c>
      <c r="B2897" t="s">
        <v>1192</v>
      </c>
      <c r="C2897" s="1">
        <v>42192</v>
      </c>
      <c r="D2897" s="1">
        <v>42196</v>
      </c>
      <c r="E2897">
        <v>5</v>
      </c>
      <c r="F2897" t="s">
        <v>368</v>
      </c>
      <c r="G2897" t="s">
        <v>16</v>
      </c>
      <c r="H2897" t="s">
        <v>2670</v>
      </c>
      <c r="I2897">
        <v>3.1431</v>
      </c>
      <c r="J2897">
        <v>46172.13</v>
      </c>
      <c r="K2897">
        <v>14689.9971365849</v>
      </c>
    </row>
    <row r="2898" spans="1:11" x14ac:dyDescent="0.25">
      <c r="A2898" t="s">
        <v>502</v>
      </c>
      <c r="B2898" t="s">
        <v>2671</v>
      </c>
      <c r="C2898" s="1">
        <v>42209</v>
      </c>
      <c r="D2898" s="1">
        <v>42212</v>
      </c>
      <c r="E2898">
        <v>1</v>
      </c>
      <c r="F2898" t="s">
        <v>368</v>
      </c>
      <c r="G2898" t="s">
        <v>16</v>
      </c>
      <c r="H2898" t="s">
        <v>2672</v>
      </c>
      <c r="I2898">
        <v>3.2850000000000001</v>
      </c>
      <c r="J2898">
        <v>58928.800000000003</v>
      </c>
      <c r="K2898">
        <v>17938.751902587519</v>
      </c>
    </row>
    <row r="2899" spans="1:11" x14ac:dyDescent="0.25">
      <c r="A2899" t="s">
        <v>413</v>
      </c>
      <c r="B2899" t="s">
        <v>1196</v>
      </c>
      <c r="C2899" s="1">
        <v>42217</v>
      </c>
      <c r="D2899" s="1">
        <v>42219</v>
      </c>
      <c r="E2899">
        <v>1</v>
      </c>
      <c r="F2899" t="s">
        <v>368</v>
      </c>
      <c r="G2899" t="s">
        <v>16</v>
      </c>
      <c r="H2899" t="s">
        <v>2673</v>
      </c>
      <c r="I2899">
        <v>3.3940000000000001</v>
      </c>
      <c r="J2899">
        <v>79480.789999999994</v>
      </c>
      <c r="K2899">
        <v>23418.028874484386</v>
      </c>
    </row>
    <row r="2900" spans="1:11" x14ac:dyDescent="0.25">
      <c r="A2900" t="s">
        <v>571</v>
      </c>
      <c r="B2900" t="s">
        <v>1198</v>
      </c>
      <c r="C2900" s="1">
        <v>42188</v>
      </c>
      <c r="D2900" s="1">
        <v>42195</v>
      </c>
      <c r="E2900">
        <v>3</v>
      </c>
      <c r="F2900" t="s">
        <v>368</v>
      </c>
      <c r="G2900" t="s">
        <v>16</v>
      </c>
      <c r="H2900" t="s">
        <v>2674</v>
      </c>
      <c r="I2900">
        <v>3.1173000000000002</v>
      </c>
      <c r="J2900">
        <v>33996.81</v>
      </c>
      <c r="K2900">
        <v>10905.851217399673</v>
      </c>
    </row>
    <row r="2901" spans="1:11" x14ac:dyDescent="0.25">
      <c r="A2901" t="s">
        <v>413</v>
      </c>
      <c r="B2901" t="s">
        <v>1196</v>
      </c>
      <c r="C2901" s="1">
        <v>42217</v>
      </c>
      <c r="D2901" s="1">
        <v>42220</v>
      </c>
      <c r="E2901">
        <v>1</v>
      </c>
      <c r="F2901" t="s">
        <v>368</v>
      </c>
      <c r="G2901" t="s">
        <v>16</v>
      </c>
      <c r="H2901" t="s">
        <v>2675</v>
      </c>
      <c r="I2901">
        <v>3.3940000000000001</v>
      </c>
      <c r="J2901">
        <v>79145.84</v>
      </c>
      <c r="K2901">
        <v>23319.340011785505</v>
      </c>
    </row>
    <row r="2902" spans="1:11" x14ac:dyDescent="0.25">
      <c r="A2902" t="s">
        <v>413</v>
      </c>
      <c r="B2902" t="s">
        <v>1196</v>
      </c>
      <c r="C2902" s="1">
        <v>42219</v>
      </c>
      <c r="D2902" s="1">
        <v>42220</v>
      </c>
      <c r="E2902">
        <v>1</v>
      </c>
      <c r="F2902" t="s">
        <v>368</v>
      </c>
      <c r="G2902" t="s">
        <v>16</v>
      </c>
      <c r="H2902" t="s">
        <v>2676</v>
      </c>
      <c r="I2902">
        <v>3.3940000000000001</v>
      </c>
      <c r="J2902">
        <v>59292.31</v>
      </c>
      <c r="K2902">
        <v>17469.743665291691</v>
      </c>
    </row>
    <row r="2903" spans="1:11" x14ac:dyDescent="0.25">
      <c r="A2903" t="s">
        <v>407</v>
      </c>
      <c r="B2903" t="s">
        <v>2662</v>
      </c>
      <c r="C2903" s="1">
        <v>42154</v>
      </c>
      <c r="D2903" s="1">
        <v>42194</v>
      </c>
      <c r="E2903">
        <v>25205</v>
      </c>
      <c r="F2903" t="s">
        <v>406</v>
      </c>
      <c r="G2903" t="s">
        <v>16</v>
      </c>
      <c r="H2903" t="s">
        <v>6015</v>
      </c>
      <c r="I2903">
        <v>3.1787999999999998</v>
      </c>
      <c r="J2903">
        <v>99275.01</v>
      </c>
      <c r="K2903">
        <v>31230.341638354097</v>
      </c>
    </row>
    <row r="2904" spans="1:11" x14ac:dyDescent="0.25">
      <c r="A2904" t="s">
        <v>413</v>
      </c>
      <c r="B2904" t="s">
        <v>1196</v>
      </c>
      <c r="C2904" s="1">
        <v>42220</v>
      </c>
      <c r="D2904" s="1">
        <v>42223</v>
      </c>
      <c r="E2904">
        <v>1</v>
      </c>
      <c r="F2904" t="s">
        <v>368</v>
      </c>
      <c r="G2904" t="s">
        <v>16</v>
      </c>
      <c r="H2904" t="s">
        <v>2677</v>
      </c>
      <c r="I2904">
        <v>3.4424999999999999</v>
      </c>
      <c r="J2904">
        <v>80247.850000000006</v>
      </c>
      <c r="K2904">
        <v>23310.922294843862</v>
      </c>
    </row>
    <row r="2905" spans="1:11" x14ac:dyDescent="0.25">
      <c r="A2905" t="s">
        <v>413</v>
      </c>
      <c r="B2905" t="s">
        <v>1196</v>
      </c>
      <c r="C2905" s="1">
        <v>42222</v>
      </c>
      <c r="D2905" s="1">
        <v>42227</v>
      </c>
      <c r="E2905">
        <v>1</v>
      </c>
      <c r="F2905" t="s">
        <v>368</v>
      </c>
      <c r="G2905" t="s">
        <v>16</v>
      </c>
      <c r="H2905" t="s">
        <v>2678</v>
      </c>
      <c r="I2905">
        <v>3.4851000000000001</v>
      </c>
      <c r="J2905">
        <v>77907.149999999994</v>
      </c>
      <c r="K2905">
        <v>22354.351381595938</v>
      </c>
    </row>
    <row r="2906" spans="1:11" x14ac:dyDescent="0.25">
      <c r="A2906" t="s">
        <v>2679</v>
      </c>
      <c r="B2906" t="s">
        <v>2680</v>
      </c>
      <c r="C2906" s="1">
        <v>42251</v>
      </c>
      <c r="D2906" s="1">
        <v>42261</v>
      </c>
      <c r="E2906">
        <v>10</v>
      </c>
      <c r="F2906" t="s">
        <v>642</v>
      </c>
      <c r="G2906" t="s">
        <v>16</v>
      </c>
      <c r="H2906" t="s">
        <v>6016</v>
      </c>
      <c r="I2906">
        <v>3.7759999999999998</v>
      </c>
      <c r="J2906">
        <v>206280.71</v>
      </c>
      <c r="K2906">
        <v>54629.425317796609</v>
      </c>
    </row>
    <row r="2907" spans="1:11" x14ac:dyDescent="0.25">
      <c r="A2907" t="s">
        <v>2679</v>
      </c>
      <c r="B2907" t="s">
        <v>2680</v>
      </c>
      <c r="C2907" s="1">
        <v>42251</v>
      </c>
      <c r="D2907" s="1">
        <v>42261</v>
      </c>
      <c r="E2907">
        <v>10</v>
      </c>
      <c r="F2907" t="s">
        <v>642</v>
      </c>
      <c r="G2907" t="s">
        <v>16</v>
      </c>
      <c r="H2907" t="s">
        <v>2681</v>
      </c>
      <c r="I2907">
        <v>3.7759999999999998</v>
      </c>
      <c r="J2907">
        <v>566410</v>
      </c>
      <c r="K2907">
        <v>150002.64830508476</v>
      </c>
    </row>
    <row r="2908" spans="1:11" x14ac:dyDescent="0.25">
      <c r="A2908" t="s">
        <v>556</v>
      </c>
      <c r="B2908" t="s">
        <v>2682</v>
      </c>
      <c r="C2908" s="1">
        <v>42213</v>
      </c>
      <c r="D2908" s="1">
        <v>42242</v>
      </c>
      <c r="E2908">
        <v>1</v>
      </c>
      <c r="F2908" t="s">
        <v>368</v>
      </c>
      <c r="G2908" t="s">
        <v>16</v>
      </c>
      <c r="H2908" t="s">
        <v>2683</v>
      </c>
      <c r="I2908">
        <v>3.3557000000000001</v>
      </c>
      <c r="J2908">
        <v>79451.679999999993</v>
      </c>
      <c r="K2908">
        <v>23676.633787287301</v>
      </c>
    </row>
    <row r="2909" spans="1:11" x14ac:dyDescent="0.25">
      <c r="A2909" t="s">
        <v>2679</v>
      </c>
      <c r="B2909" t="s">
        <v>2680</v>
      </c>
      <c r="C2909" s="1">
        <v>42251</v>
      </c>
      <c r="D2909" s="1">
        <v>42261</v>
      </c>
      <c r="E2909">
        <v>10</v>
      </c>
      <c r="F2909" t="s">
        <v>642</v>
      </c>
      <c r="G2909" t="s">
        <v>16</v>
      </c>
      <c r="H2909" t="s">
        <v>2684</v>
      </c>
      <c r="I2909">
        <v>3.7759999999999998</v>
      </c>
      <c r="J2909">
        <v>566410</v>
      </c>
      <c r="K2909">
        <v>150002.64830508476</v>
      </c>
    </row>
    <row r="2910" spans="1:11" x14ac:dyDescent="0.25">
      <c r="A2910" t="s">
        <v>468</v>
      </c>
      <c r="B2910" t="s">
        <v>1203</v>
      </c>
      <c r="C2910" s="1">
        <v>42222</v>
      </c>
      <c r="D2910" s="1">
        <v>42227</v>
      </c>
      <c r="E2910">
        <v>1</v>
      </c>
      <c r="F2910" t="s">
        <v>368</v>
      </c>
      <c r="G2910" t="s">
        <v>16</v>
      </c>
      <c r="H2910" t="s">
        <v>2685</v>
      </c>
      <c r="I2910">
        <v>3.4851000000000001</v>
      </c>
      <c r="J2910">
        <v>80469.570000000007</v>
      </c>
      <c r="K2910">
        <v>23089.601446156496</v>
      </c>
    </row>
    <row r="2911" spans="1:11" x14ac:dyDescent="0.25">
      <c r="A2911" t="s">
        <v>468</v>
      </c>
      <c r="B2911" t="s">
        <v>1203</v>
      </c>
      <c r="C2911" s="1">
        <v>42226</v>
      </c>
      <c r="D2911" s="1">
        <v>42227</v>
      </c>
      <c r="E2911">
        <v>1</v>
      </c>
      <c r="F2911" t="s">
        <v>368</v>
      </c>
      <c r="G2911" t="s">
        <v>16</v>
      </c>
      <c r="H2911" t="s">
        <v>2686</v>
      </c>
      <c r="I2911">
        <v>3.5181</v>
      </c>
      <c r="J2911">
        <v>58945.48</v>
      </c>
      <c r="K2911">
        <v>16754.918848241949</v>
      </c>
    </row>
    <row r="2912" spans="1:11" x14ac:dyDescent="0.25">
      <c r="A2912" t="s">
        <v>413</v>
      </c>
      <c r="B2912" t="s">
        <v>1196</v>
      </c>
      <c r="C2912" s="1">
        <v>42219</v>
      </c>
      <c r="D2912" s="1">
        <v>42221</v>
      </c>
      <c r="E2912">
        <v>1</v>
      </c>
      <c r="F2912" t="s">
        <v>368</v>
      </c>
      <c r="G2912" t="s">
        <v>16</v>
      </c>
      <c r="H2912" t="s">
        <v>6017</v>
      </c>
      <c r="I2912">
        <v>3.3940000000000001</v>
      </c>
      <c r="J2912">
        <v>78954.429999999993</v>
      </c>
      <c r="K2912">
        <v>23262.943429581614</v>
      </c>
    </row>
    <row r="2913" spans="1:11" x14ac:dyDescent="0.25">
      <c r="A2913" t="s">
        <v>413</v>
      </c>
      <c r="B2913" t="s">
        <v>1196</v>
      </c>
      <c r="C2913" s="1">
        <v>42219</v>
      </c>
      <c r="D2913" s="1">
        <v>42221</v>
      </c>
      <c r="E2913">
        <v>1</v>
      </c>
      <c r="F2913" t="s">
        <v>368</v>
      </c>
      <c r="G2913" t="s">
        <v>16</v>
      </c>
      <c r="H2913" t="s">
        <v>6018</v>
      </c>
      <c r="I2913">
        <v>3.3940000000000001</v>
      </c>
      <c r="J2913">
        <v>47699.55</v>
      </c>
      <c r="K2913">
        <v>14054.080730701238</v>
      </c>
    </row>
    <row r="2914" spans="1:11" x14ac:dyDescent="0.25">
      <c r="A2914" t="s">
        <v>6019</v>
      </c>
      <c r="B2914" t="s">
        <v>6020</v>
      </c>
      <c r="C2914" s="1">
        <v>42293</v>
      </c>
      <c r="D2914" s="1">
        <v>42304</v>
      </c>
      <c r="E2914">
        <v>344</v>
      </c>
      <c r="F2914" t="s">
        <v>406</v>
      </c>
      <c r="G2914" t="s">
        <v>16</v>
      </c>
      <c r="H2914" t="s">
        <v>6021</v>
      </c>
      <c r="I2914">
        <v>3.8344</v>
      </c>
      <c r="J2914">
        <v>304834.8</v>
      </c>
      <c r="K2914">
        <v>79500</v>
      </c>
    </row>
    <row r="2915" spans="1:11" x14ac:dyDescent="0.25">
      <c r="A2915" t="s">
        <v>342</v>
      </c>
      <c r="B2915" t="s">
        <v>1169</v>
      </c>
      <c r="C2915" s="1">
        <v>42300</v>
      </c>
      <c r="D2915" s="1">
        <v>42304</v>
      </c>
      <c r="E2915">
        <v>2</v>
      </c>
      <c r="F2915" t="s">
        <v>675</v>
      </c>
      <c r="G2915" t="s">
        <v>16</v>
      </c>
      <c r="H2915" t="s">
        <v>2687</v>
      </c>
      <c r="I2915">
        <v>3.9359999999999999</v>
      </c>
      <c r="J2915">
        <v>79830</v>
      </c>
      <c r="K2915">
        <v>20282.012195121952</v>
      </c>
    </row>
    <row r="2916" spans="1:11" x14ac:dyDescent="0.25">
      <c r="A2916" t="s">
        <v>342</v>
      </c>
      <c r="B2916" t="s">
        <v>1169</v>
      </c>
      <c r="C2916" s="1">
        <v>42300</v>
      </c>
      <c r="D2916" s="1">
        <v>42304</v>
      </c>
      <c r="E2916">
        <v>2</v>
      </c>
      <c r="F2916" t="s">
        <v>675</v>
      </c>
      <c r="G2916" t="s">
        <v>16</v>
      </c>
      <c r="H2916" t="s">
        <v>2688</v>
      </c>
      <c r="I2916">
        <v>3.9359999999999999</v>
      </c>
      <c r="J2916">
        <v>79830</v>
      </c>
      <c r="K2916">
        <v>20282.012195121952</v>
      </c>
    </row>
    <row r="2917" spans="1:11" x14ac:dyDescent="0.25">
      <c r="A2917" t="s">
        <v>2689</v>
      </c>
      <c r="B2917" t="s">
        <v>2690</v>
      </c>
      <c r="C2917" s="1">
        <v>42256</v>
      </c>
      <c r="D2917" s="1">
        <v>42271</v>
      </c>
      <c r="E2917">
        <v>34</v>
      </c>
      <c r="F2917" t="s">
        <v>278</v>
      </c>
      <c r="G2917" t="s">
        <v>16</v>
      </c>
      <c r="H2917" t="s">
        <v>2691</v>
      </c>
      <c r="I2917">
        <v>3.8028</v>
      </c>
      <c r="J2917">
        <v>39196.6</v>
      </c>
      <c r="K2917">
        <v>10307.299884295782</v>
      </c>
    </row>
    <row r="2918" spans="1:11" x14ac:dyDescent="0.25">
      <c r="A2918" t="s">
        <v>474</v>
      </c>
      <c r="B2918" t="s">
        <v>2692</v>
      </c>
      <c r="C2918" s="1">
        <v>42268</v>
      </c>
      <c r="D2918" s="1">
        <v>42276</v>
      </c>
      <c r="E2918">
        <v>32</v>
      </c>
      <c r="F2918" t="s">
        <v>311</v>
      </c>
      <c r="G2918" t="s">
        <v>16</v>
      </c>
      <c r="H2918" t="s">
        <v>2693</v>
      </c>
      <c r="I2918">
        <v>3.9020999999999999</v>
      </c>
      <c r="J2918">
        <v>628141.5</v>
      </c>
      <c r="K2918">
        <v>160975.24409933112</v>
      </c>
    </row>
    <row r="2919" spans="1:11" x14ac:dyDescent="0.25">
      <c r="A2919" t="s">
        <v>351</v>
      </c>
      <c r="B2919" t="s">
        <v>1214</v>
      </c>
      <c r="C2919" s="1">
        <v>42268</v>
      </c>
      <c r="D2919" s="1">
        <v>42290</v>
      </c>
      <c r="E2919">
        <v>17</v>
      </c>
      <c r="F2919" t="s">
        <v>311</v>
      </c>
      <c r="G2919" t="s">
        <v>16</v>
      </c>
      <c r="H2919" t="s">
        <v>6022</v>
      </c>
      <c r="I2919">
        <v>3.9020999999999999</v>
      </c>
      <c r="J2919">
        <v>682762.5</v>
      </c>
      <c r="K2919">
        <v>174973.09141231645</v>
      </c>
    </row>
    <row r="2920" spans="1:11" x14ac:dyDescent="0.25">
      <c r="A2920" t="s">
        <v>342</v>
      </c>
      <c r="B2920" t="s">
        <v>1169</v>
      </c>
      <c r="C2920" s="1">
        <v>42263</v>
      </c>
      <c r="D2920" s="1">
        <v>42268</v>
      </c>
      <c r="E2920">
        <v>2</v>
      </c>
      <c r="F2920" t="s">
        <v>675</v>
      </c>
      <c r="G2920" t="s">
        <v>16</v>
      </c>
      <c r="H2920" t="s">
        <v>6023</v>
      </c>
      <c r="I2920">
        <v>3.8599000000000001</v>
      </c>
      <c r="J2920">
        <v>79830</v>
      </c>
      <c r="K2920">
        <v>20681.882950335501</v>
      </c>
    </row>
    <row r="2921" spans="1:11" x14ac:dyDescent="0.25">
      <c r="A2921" t="s">
        <v>351</v>
      </c>
      <c r="B2921" t="s">
        <v>1214</v>
      </c>
      <c r="C2921" s="1">
        <v>42268</v>
      </c>
      <c r="D2921" s="1">
        <v>42276</v>
      </c>
      <c r="E2921">
        <v>17</v>
      </c>
      <c r="F2921" t="s">
        <v>311</v>
      </c>
      <c r="G2921" t="s">
        <v>16</v>
      </c>
      <c r="H2921" t="s">
        <v>2694</v>
      </c>
      <c r="I2921">
        <v>3.9020999999999999</v>
      </c>
      <c r="J2921">
        <v>140125.81</v>
      </c>
      <c r="K2921">
        <v>35910.358524896852</v>
      </c>
    </row>
    <row r="2922" spans="1:11" x14ac:dyDescent="0.25">
      <c r="A2922" t="s">
        <v>351</v>
      </c>
      <c r="B2922" t="s">
        <v>1214</v>
      </c>
      <c r="C2922" s="1">
        <v>42268</v>
      </c>
      <c r="D2922" s="1">
        <v>42277</v>
      </c>
      <c r="E2922">
        <v>17</v>
      </c>
      <c r="F2922" t="s">
        <v>311</v>
      </c>
      <c r="G2922" t="s">
        <v>16</v>
      </c>
      <c r="H2922" t="s">
        <v>6024</v>
      </c>
      <c r="I2922">
        <v>3.9020999999999999</v>
      </c>
      <c r="J2922">
        <v>292144.32</v>
      </c>
      <c r="K2922">
        <v>74868.486199738603</v>
      </c>
    </row>
    <row r="2923" spans="1:11" x14ac:dyDescent="0.25">
      <c r="A2923" t="s">
        <v>6025</v>
      </c>
      <c r="B2923" t="s">
        <v>6026</v>
      </c>
      <c r="C2923" s="1">
        <v>42251</v>
      </c>
      <c r="D2923" s="1">
        <v>42270</v>
      </c>
      <c r="E2923">
        <v>17</v>
      </c>
      <c r="F2923" t="s">
        <v>642</v>
      </c>
      <c r="G2923" t="s">
        <v>16</v>
      </c>
      <c r="H2923" t="s">
        <v>6027</v>
      </c>
      <c r="I2923">
        <v>3.7759999999999998</v>
      </c>
      <c r="J2923">
        <v>146847.96</v>
      </c>
      <c r="K2923">
        <v>38889.819915254237</v>
      </c>
    </row>
    <row r="2924" spans="1:11" x14ac:dyDescent="0.25">
      <c r="A2924" t="s">
        <v>6028</v>
      </c>
      <c r="B2924" t="s">
        <v>6029</v>
      </c>
      <c r="C2924" s="1">
        <v>42251</v>
      </c>
      <c r="D2924" s="1">
        <v>42278</v>
      </c>
      <c r="E2924">
        <v>17</v>
      </c>
      <c r="F2924" t="s">
        <v>642</v>
      </c>
      <c r="G2924" t="s">
        <v>16</v>
      </c>
      <c r="H2924" t="s">
        <v>1877</v>
      </c>
      <c r="I2924">
        <v>3.7759999999999998</v>
      </c>
      <c r="J2924">
        <v>23309.200000000001</v>
      </c>
      <c r="K2924">
        <v>6172.9872881355932</v>
      </c>
    </row>
    <row r="2925" spans="1:11" x14ac:dyDescent="0.25">
      <c r="A2925" t="s">
        <v>629</v>
      </c>
      <c r="B2925" t="s">
        <v>1281</v>
      </c>
      <c r="C2925" s="1">
        <v>42268</v>
      </c>
      <c r="D2925" s="1">
        <v>42287</v>
      </c>
      <c r="E2925">
        <v>19</v>
      </c>
      <c r="F2925" t="s">
        <v>311</v>
      </c>
      <c r="G2925" t="s">
        <v>16</v>
      </c>
      <c r="H2925" t="s">
        <v>2695</v>
      </c>
      <c r="I2925">
        <v>3.9020999999999999</v>
      </c>
      <c r="J2925">
        <v>3527.85</v>
      </c>
      <c r="K2925">
        <v>904.09010532790035</v>
      </c>
    </row>
    <row r="2926" spans="1:11" x14ac:dyDescent="0.25">
      <c r="A2926" t="s">
        <v>351</v>
      </c>
      <c r="B2926" t="s">
        <v>1214</v>
      </c>
      <c r="C2926" s="1">
        <v>42268</v>
      </c>
      <c r="D2926" s="1">
        <v>42297</v>
      </c>
      <c r="E2926">
        <v>17</v>
      </c>
      <c r="F2926" t="s">
        <v>311</v>
      </c>
      <c r="G2926" t="s">
        <v>16</v>
      </c>
      <c r="H2926" t="s">
        <v>2696</v>
      </c>
      <c r="I2926">
        <v>3.9020999999999999</v>
      </c>
      <c r="J2926">
        <v>682762.5</v>
      </c>
      <c r="K2926">
        <v>174973.09141231645</v>
      </c>
    </row>
    <row r="2927" spans="1:11" x14ac:dyDescent="0.25">
      <c r="A2927" t="s">
        <v>567</v>
      </c>
      <c r="B2927" t="s">
        <v>6030</v>
      </c>
      <c r="C2927" s="1">
        <v>42258</v>
      </c>
      <c r="D2927" s="1">
        <v>42272</v>
      </c>
      <c r="E2927">
        <v>7</v>
      </c>
      <c r="F2927" t="s">
        <v>311</v>
      </c>
      <c r="G2927" t="s">
        <v>16</v>
      </c>
      <c r="H2927" t="s">
        <v>6031</v>
      </c>
      <c r="I2927">
        <v>3.8698000000000001</v>
      </c>
      <c r="J2927">
        <v>10968.9</v>
      </c>
      <c r="K2927">
        <v>2834.4875704170759</v>
      </c>
    </row>
    <row r="2928" spans="1:11" x14ac:dyDescent="0.25">
      <c r="A2928" t="s">
        <v>557</v>
      </c>
      <c r="B2928" t="s">
        <v>2697</v>
      </c>
      <c r="C2928" s="1">
        <v>42258</v>
      </c>
      <c r="D2928" s="1">
        <v>42272</v>
      </c>
      <c r="E2928">
        <v>7</v>
      </c>
      <c r="F2928" t="s">
        <v>311</v>
      </c>
      <c r="G2928" t="s">
        <v>16</v>
      </c>
      <c r="H2928" t="s">
        <v>2698</v>
      </c>
      <c r="I2928">
        <v>3.8698000000000001</v>
      </c>
      <c r="J2928">
        <v>10968.9</v>
      </c>
      <c r="K2928">
        <v>2834.4875704170759</v>
      </c>
    </row>
    <row r="2929" spans="1:11" x14ac:dyDescent="0.25">
      <c r="A2929" t="s">
        <v>350</v>
      </c>
      <c r="B2929" t="s">
        <v>1733</v>
      </c>
      <c r="C2929" s="1">
        <v>42301</v>
      </c>
      <c r="D2929" s="1">
        <v>42308</v>
      </c>
      <c r="E2929">
        <v>21</v>
      </c>
      <c r="F2929" t="s">
        <v>331</v>
      </c>
      <c r="G2929" t="s">
        <v>16</v>
      </c>
      <c r="H2929" t="s">
        <v>2699</v>
      </c>
      <c r="I2929">
        <v>3.8988</v>
      </c>
      <c r="J2929">
        <v>88822.73</v>
      </c>
      <c r="K2929">
        <v>22782.06884169488</v>
      </c>
    </row>
    <row r="2930" spans="1:11" x14ac:dyDescent="0.25">
      <c r="A2930" t="s">
        <v>350</v>
      </c>
      <c r="B2930" t="s">
        <v>1733</v>
      </c>
      <c r="C2930" s="1">
        <v>42304</v>
      </c>
      <c r="D2930" s="1">
        <v>42308</v>
      </c>
      <c r="E2930">
        <v>21</v>
      </c>
      <c r="F2930" t="s">
        <v>331</v>
      </c>
      <c r="G2930" t="s">
        <v>16</v>
      </c>
      <c r="H2930" t="s">
        <v>2700</v>
      </c>
      <c r="I2930">
        <v>3.8582000000000001</v>
      </c>
      <c r="J2930">
        <v>97246.01</v>
      </c>
      <c r="K2930">
        <v>25205.020475869576</v>
      </c>
    </row>
    <row r="2931" spans="1:11" x14ac:dyDescent="0.25">
      <c r="A2931" t="s">
        <v>350</v>
      </c>
      <c r="B2931" t="s">
        <v>1733</v>
      </c>
      <c r="C2931" s="1">
        <v>42304</v>
      </c>
      <c r="D2931" s="1">
        <v>42308</v>
      </c>
      <c r="E2931">
        <v>21</v>
      </c>
      <c r="F2931" t="s">
        <v>331</v>
      </c>
      <c r="G2931" t="s">
        <v>16</v>
      </c>
      <c r="H2931" t="s">
        <v>2701</v>
      </c>
      <c r="I2931">
        <v>3.8582000000000001</v>
      </c>
      <c r="J2931">
        <v>91067.25</v>
      </c>
      <c r="K2931">
        <v>23603.558654294749</v>
      </c>
    </row>
    <row r="2932" spans="1:11" x14ac:dyDescent="0.25">
      <c r="A2932" t="s">
        <v>351</v>
      </c>
      <c r="B2932" t="s">
        <v>1214</v>
      </c>
      <c r="C2932" s="1">
        <v>42268</v>
      </c>
      <c r="D2932" s="1">
        <v>42290</v>
      </c>
      <c r="E2932">
        <v>17</v>
      </c>
      <c r="F2932" t="s">
        <v>311</v>
      </c>
      <c r="G2932" t="s">
        <v>16</v>
      </c>
      <c r="H2932" t="s">
        <v>2702</v>
      </c>
      <c r="I2932">
        <v>3.9020999999999999</v>
      </c>
      <c r="J2932">
        <v>682762.5</v>
      </c>
      <c r="K2932">
        <v>174973.09141231645</v>
      </c>
    </row>
    <row r="2933" spans="1:11" x14ac:dyDescent="0.25">
      <c r="A2933" t="s">
        <v>351</v>
      </c>
      <c r="B2933" t="s">
        <v>1214</v>
      </c>
      <c r="C2933" s="1">
        <v>42268</v>
      </c>
      <c r="D2933" s="1">
        <v>42290</v>
      </c>
      <c r="E2933">
        <v>17</v>
      </c>
      <c r="F2933" t="s">
        <v>311</v>
      </c>
      <c r="G2933" t="s">
        <v>16</v>
      </c>
      <c r="H2933" t="s">
        <v>6032</v>
      </c>
      <c r="I2933">
        <v>3.9020999999999999</v>
      </c>
      <c r="J2933">
        <v>708122.25</v>
      </c>
      <c r="K2933">
        <v>181472.09195048819</v>
      </c>
    </row>
    <row r="2934" spans="1:11" x14ac:dyDescent="0.25">
      <c r="A2934" t="s">
        <v>429</v>
      </c>
      <c r="B2934" t="s">
        <v>1216</v>
      </c>
      <c r="C2934" s="1">
        <v>42269</v>
      </c>
      <c r="D2934" s="1">
        <v>42290</v>
      </c>
      <c r="E2934">
        <v>5</v>
      </c>
      <c r="F2934" t="s">
        <v>301</v>
      </c>
      <c r="G2934" t="s">
        <v>16</v>
      </c>
      <c r="H2934" t="s">
        <v>6033</v>
      </c>
      <c r="I2934">
        <v>3.9821</v>
      </c>
      <c r="J2934">
        <v>150076.79999999999</v>
      </c>
      <c r="K2934">
        <v>37687.853142814092</v>
      </c>
    </row>
    <row r="2935" spans="1:11" x14ac:dyDescent="0.25">
      <c r="A2935" t="s">
        <v>439</v>
      </c>
      <c r="B2935" t="s">
        <v>2197</v>
      </c>
      <c r="C2935" s="1">
        <v>42301</v>
      </c>
      <c r="D2935" s="1">
        <v>42305</v>
      </c>
      <c r="E2935">
        <v>19</v>
      </c>
      <c r="F2935" t="s">
        <v>331</v>
      </c>
      <c r="G2935" t="s">
        <v>16</v>
      </c>
      <c r="H2935" t="s">
        <v>2703</v>
      </c>
      <c r="I2935">
        <v>3.8988</v>
      </c>
      <c r="J2935">
        <v>95178.02</v>
      </c>
      <c r="K2935">
        <v>24412.131938032217</v>
      </c>
    </row>
    <row r="2936" spans="1:11" x14ac:dyDescent="0.25">
      <c r="A2936" t="s">
        <v>350</v>
      </c>
      <c r="B2936" t="s">
        <v>1733</v>
      </c>
      <c r="C2936" s="1">
        <v>42301</v>
      </c>
      <c r="D2936" s="1">
        <v>42305</v>
      </c>
      <c r="E2936">
        <v>21</v>
      </c>
      <c r="F2936" t="s">
        <v>331</v>
      </c>
      <c r="G2936" t="s">
        <v>16</v>
      </c>
      <c r="H2936" t="s">
        <v>2704</v>
      </c>
      <c r="I2936">
        <v>3.8988</v>
      </c>
      <c r="J2936">
        <v>127559.73</v>
      </c>
      <c r="K2936">
        <v>32717.690058479533</v>
      </c>
    </row>
    <row r="2937" spans="1:11" x14ac:dyDescent="0.25">
      <c r="A2937" t="s">
        <v>2202</v>
      </c>
      <c r="B2937" t="s">
        <v>1776</v>
      </c>
      <c r="C2937" s="1">
        <v>42333</v>
      </c>
      <c r="D2937" s="1">
        <v>42347</v>
      </c>
      <c r="E2937">
        <v>1284</v>
      </c>
      <c r="F2937" t="s">
        <v>2203</v>
      </c>
      <c r="G2937" t="s">
        <v>16</v>
      </c>
      <c r="H2937" t="s">
        <v>476</v>
      </c>
      <c r="I2937">
        <v>3.7081</v>
      </c>
      <c r="J2937">
        <v>614633.24</v>
      </c>
      <c r="K2937">
        <v>165754.22453547639</v>
      </c>
    </row>
    <row r="2938" spans="1:11" x14ac:dyDescent="0.25">
      <c r="A2938" t="s">
        <v>342</v>
      </c>
      <c r="B2938" t="s">
        <v>1169</v>
      </c>
      <c r="C2938" s="1">
        <v>42350</v>
      </c>
      <c r="D2938" s="1">
        <v>42355</v>
      </c>
      <c r="E2938">
        <v>2</v>
      </c>
      <c r="F2938" t="s">
        <v>675</v>
      </c>
      <c r="G2938" t="s">
        <v>16</v>
      </c>
      <c r="H2938" t="s">
        <v>6034</v>
      </c>
      <c r="I2938">
        <v>3.8548</v>
      </c>
      <c r="J2938">
        <v>79830</v>
      </c>
      <c r="K2938">
        <v>20709.245615855558</v>
      </c>
    </row>
    <row r="2939" spans="1:11" x14ac:dyDescent="0.25">
      <c r="A2939" t="s">
        <v>467</v>
      </c>
      <c r="B2939" t="s">
        <v>3122</v>
      </c>
      <c r="C2939" s="1">
        <v>42328</v>
      </c>
      <c r="D2939" s="1">
        <v>42333</v>
      </c>
      <c r="E2939">
        <v>5</v>
      </c>
      <c r="F2939" t="s">
        <v>675</v>
      </c>
      <c r="G2939" t="s">
        <v>16</v>
      </c>
      <c r="H2939" t="s">
        <v>6035</v>
      </c>
      <c r="I2939">
        <v>3.7442000000000002</v>
      </c>
      <c r="J2939">
        <v>42610</v>
      </c>
      <c r="K2939">
        <v>11380.268148069013</v>
      </c>
    </row>
    <row r="2940" spans="1:11" x14ac:dyDescent="0.25">
      <c r="A2940" t="s">
        <v>2705</v>
      </c>
      <c r="B2940" t="s">
        <v>2706</v>
      </c>
      <c r="C2940" s="1">
        <v>42319</v>
      </c>
      <c r="D2940" s="1">
        <v>42352</v>
      </c>
      <c r="E2940">
        <v>86</v>
      </c>
      <c r="F2940" t="s">
        <v>278</v>
      </c>
      <c r="G2940" t="s">
        <v>16</v>
      </c>
      <c r="H2940" t="s">
        <v>2707</v>
      </c>
      <c r="I2940">
        <v>3.7980999999999998</v>
      </c>
      <c r="J2940">
        <v>21924</v>
      </c>
      <c r="K2940">
        <v>5772.3598641425979</v>
      </c>
    </row>
    <row r="2941" spans="1:11" x14ac:dyDescent="0.25">
      <c r="A2941" t="s">
        <v>2708</v>
      </c>
      <c r="C2941" s="1">
        <v>42328</v>
      </c>
      <c r="D2941" s="1">
        <v>42342</v>
      </c>
      <c r="E2941">
        <v>767</v>
      </c>
      <c r="F2941" t="s">
        <v>487</v>
      </c>
      <c r="G2941" t="s">
        <v>16</v>
      </c>
      <c r="H2941" t="s">
        <v>2709</v>
      </c>
      <c r="I2941">
        <v>3.7442000000000002</v>
      </c>
      <c r="J2941">
        <v>26.91</v>
      </c>
      <c r="K2941">
        <v>7.1871160728593555</v>
      </c>
    </row>
    <row r="2942" spans="1:11" x14ac:dyDescent="0.25">
      <c r="A2942" t="s">
        <v>1220</v>
      </c>
      <c r="B2942" t="s">
        <v>1221</v>
      </c>
      <c r="C2942" s="1">
        <v>42335</v>
      </c>
      <c r="D2942" s="1">
        <v>42342</v>
      </c>
      <c r="E2942">
        <v>20</v>
      </c>
      <c r="F2942" t="s">
        <v>331</v>
      </c>
      <c r="G2942" t="s">
        <v>16</v>
      </c>
      <c r="H2942" t="s">
        <v>6036</v>
      </c>
      <c r="I2942">
        <v>3.7606000000000002</v>
      </c>
      <c r="J2942">
        <v>60078.06</v>
      </c>
      <c r="K2942">
        <v>15975.658139658564</v>
      </c>
    </row>
    <row r="2943" spans="1:11" x14ac:dyDescent="0.25">
      <c r="A2943" t="s">
        <v>1220</v>
      </c>
      <c r="B2943" t="s">
        <v>1221</v>
      </c>
      <c r="C2943" s="1">
        <v>42334</v>
      </c>
      <c r="D2943" s="1">
        <v>42342</v>
      </c>
      <c r="E2943">
        <v>20</v>
      </c>
      <c r="F2943" t="s">
        <v>331</v>
      </c>
      <c r="G2943" t="s">
        <v>16</v>
      </c>
      <c r="H2943" t="s">
        <v>2710</v>
      </c>
      <c r="I2943">
        <v>3.7688000000000001</v>
      </c>
      <c r="J2943">
        <v>39841.24</v>
      </c>
      <c r="K2943">
        <v>10571.33305030779</v>
      </c>
    </row>
    <row r="2944" spans="1:11" x14ac:dyDescent="0.25">
      <c r="A2944" t="s">
        <v>1220</v>
      </c>
      <c r="B2944" t="s">
        <v>1221</v>
      </c>
      <c r="C2944" s="1">
        <v>42333</v>
      </c>
      <c r="D2944" s="1">
        <v>42342</v>
      </c>
      <c r="E2944">
        <v>20</v>
      </c>
      <c r="F2944" t="s">
        <v>331</v>
      </c>
      <c r="G2944" t="s">
        <v>16</v>
      </c>
      <c r="H2944" t="s">
        <v>2711</v>
      </c>
      <c r="I2944">
        <v>3.7081</v>
      </c>
      <c r="J2944">
        <v>59737.53</v>
      </c>
      <c r="K2944">
        <v>16110.01051751571</v>
      </c>
    </row>
    <row r="2945" spans="1:11" x14ac:dyDescent="0.25">
      <c r="A2945" t="s">
        <v>350</v>
      </c>
      <c r="B2945" t="s">
        <v>1733</v>
      </c>
      <c r="C2945" s="1">
        <v>42301</v>
      </c>
      <c r="D2945" s="1">
        <v>42311</v>
      </c>
      <c r="E2945">
        <v>21</v>
      </c>
      <c r="F2945" t="s">
        <v>331</v>
      </c>
      <c r="G2945" t="s">
        <v>16</v>
      </c>
      <c r="H2945" t="s">
        <v>2712</v>
      </c>
      <c r="I2945">
        <v>3.8988</v>
      </c>
      <c r="J2945">
        <v>122894.14</v>
      </c>
      <c r="K2945">
        <v>31521.016723094286</v>
      </c>
    </row>
    <row r="2946" spans="1:11" x14ac:dyDescent="0.25">
      <c r="A2946" t="s">
        <v>1220</v>
      </c>
      <c r="B2946" t="s">
        <v>1221</v>
      </c>
      <c r="C2946" s="1">
        <v>42335</v>
      </c>
      <c r="D2946" s="1">
        <v>42341</v>
      </c>
      <c r="E2946">
        <v>20</v>
      </c>
      <c r="F2946" t="s">
        <v>331</v>
      </c>
      <c r="G2946" t="s">
        <v>16</v>
      </c>
      <c r="H2946" t="s">
        <v>6037</v>
      </c>
      <c r="I2946">
        <v>3.7606000000000002</v>
      </c>
      <c r="J2946">
        <v>60207.78</v>
      </c>
      <c r="K2946">
        <v>16010.152635217784</v>
      </c>
    </row>
    <row r="2947" spans="1:11" x14ac:dyDescent="0.25">
      <c r="A2947" t="s">
        <v>1220</v>
      </c>
      <c r="B2947" t="s">
        <v>1221</v>
      </c>
      <c r="C2947" s="1">
        <v>42333</v>
      </c>
      <c r="D2947" s="1">
        <v>42341</v>
      </c>
      <c r="E2947">
        <v>20</v>
      </c>
      <c r="F2947" t="s">
        <v>331</v>
      </c>
      <c r="G2947" t="s">
        <v>16</v>
      </c>
      <c r="H2947" t="s">
        <v>2713</v>
      </c>
      <c r="I2947">
        <v>3.7081</v>
      </c>
      <c r="J2947">
        <v>59964.55</v>
      </c>
      <c r="K2947">
        <v>16171.233246136835</v>
      </c>
    </row>
    <row r="2948" spans="1:11" x14ac:dyDescent="0.25">
      <c r="A2948" t="s">
        <v>462</v>
      </c>
      <c r="B2948" t="s">
        <v>461</v>
      </c>
      <c r="C2948" s="1">
        <v>42313</v>
      </c>
      <c r="D2948" s="1">
        <v>42327</v>
      </c>
      <c r="E2948">
        <v>367</v>
      </c>
      <c r="F2948" t="s">
        <v>675</v>
      </c>
      <c r="G2948" t="s">
        <v>16</v>
      </c>
      <c r="H2948" t="s">
        <v>2714</v>
      </c>
      <c r="I2948">
        <v>3.7686999999999999</v>
      </c>
      <c r="J2948">
        <v>8976</v>
      </c>
      <c r="K2948">
        <v>2381.7231406055139</v>
      </c>
    </row>
    <row r="2949" spans="1:11" x14ac:dyDescent="0.25">
      <c r="A2949" t="s">
        <v>6038</v>
      </c>
      <c r="C2949" s="1">
        <v>42317</v>
      </c>
      <c r="D2949" s="1">
        <v>42329</v>
      </c>
      <c r="E2949">
        <v>769</v>
      </c>
      <c r="F2949" t="s">
        <v>487</v>
      </c>
      <c r="G2949" t="s">
        <v>16</v>
      </c>
      <c r="H2949" t="s">
        <v>6039</v>
      </c>
      <c r="I2949">
        <v>3.8058999999999998</v>
      </c>
      <c r="J2949">
        <v>20</v>
      </c>
      <c r="K2949">
        <v>5.2549988176252658</v>
      </c>
    </row>
    <row r="2950" spans="1:11" x14ac:dyDescent="0.25">
      <c r="A2950" t="s">
        <v>429</v>
      </c>
      <c r="B2950" t="s">
        <v>1216</v>
      </c>
      <c r="C2950" s="1">
        <v>42307</v>
      </c>
      <c r="D2950" s="1">
        <v>42311</v>
      </c>
      <c r="E2950">
        <v>5</v>
      </c>
      <c r="F2950" t="s">
        <v>675</v>
      </c>
      <c r="G2950" t="s">
        <v>16</v>
      </c>
      <c r="H2950" t="s">
        <v>6040</v>
      </c>
      <c r="I2950">
        <v>3.9327999999999999</v>
      </c>
      <c r="J2950">
        <v>152440</v>
      </c>
      <c r="K2950">
        <v>38761.187957689181</v>
      </c>
    </row>
    <row r="2951" spans="1:11" x14ac:dyDescent="0.25">
      <c r="A2951" t="s">
        <v>429</v>
      </c>
      <c r="B2951" t="s">
        <v>1216</v>
      </c>
      <c r="C2951" s="1">
        <v>42306</v>
      </c>
      <c r="D2951" s="1">
        <v>42311</v>
      </c>
      <c r="E2951">
        <v>5</v>
      </c>
      <c r="F2951" t="s">
        <v>675</v>
      </c>
      <c r="G2951" t="s">
        <v>16</v>
      </c>
      <c r="H2951" t="s">
        <v>2715</v>
      </c>
      <c r="I2951">
        <v>3.8797000000000001</v>
      </c>
      <c r="J2951">
        <v>235885.27</v>
      </c>
      <c r="K2951">
        <v>60799.873701574863</v>
      </c>
    </row>
    <row r="2952" spans="1:11" x14ac:dyDescent="0.25">
      <c r="A2952" t="s">
        <v>6041</v>
      </c>
      <c r="B2952" t="s">
        <v>6042</v>
      </c>
      <c r="C2952" s="1">
        <v>42319</v>
      </c>
      <c r="D2952" s="1">
        <v>42331</v>
      </c>
      <c r="E2952">
        <v>970</v>
      </c>
      <c r="F2952" t="s">
        <v>278</v>
      </c>
      <c r="G2952" t="s">
        <v>16</v>
      </c>
      <c r="H2952" t="s">
        <v>6043</v>
      </c>
      <c r="I2952">
        <v>3.7980999999999998</v>
      </c>
      <c r="J2952">
        <v>485616.6</v>
      </c>
      <c r="K2952">
        <v>127857.77099075854</v>
      </c>
    </row>
    <row r="2953" spans="1:11" x14ac:dyDescent="0.25">
      <c r="A2953" t="s">
        <v>4440</v>
      </c>
      <c r="B2953" t="s">
        <v>4441</v>
      </c>
      <c r="C2953" s="1">
        <v>42327</v>
      </c>
      <c r="D2953" s="1">
        <v>42332</v>
      </c>
      <c r="E2953">
        <v>348</v>
      </c>
      <c r="F2953" t="s">
        <v>406</v>
      </c>
      <c r="G2953" t="s">
        <v>16</v>
      </c>
      <c r="H2953" t="s">
        <v>617</v>
      </c>
      <c r="I2953">
        <v>3.7921</v>
      </c>
      <c r="J2953">
        <v>91200.01</v>
      </c>
      <c r="K2953">
        <v>24050.001318530631</v>
      </c>
    </row>
    <row r="2954" spans="1:11" x14ac:dyDescent="0.25">
      <c r="A2954" t="s">
        <v>1220</v>
      </c>
      <c r="B2954" t="s">
        <v>1221</v>
      </c>
      <c r="C2954" s="1">
        <v>42334</v>
      </c>
      <c r="D2954" s="1">
        <v>42338</v>
      </c>
      <c r="E2954">
        <v>20</v>
      </c>
      <c r="F2954" t="s">
        <v>331</v>
      </c>
      <c r="G2954" t="s">
        <v>16</v>
      </c>
      <c r="H2954" t="s">
        <v>6044</v>
      </c>
      <c r="I2954">
        <v>3.7688000000000001</v>
      </c>
      <c r="J2954">
        <v>58472.73</v>
      </c>
      <c r="K2954">
        <v>15514.946402037784</v>
      </c>
    </row>
    <row r="2955" spans="1:11" x14ac:dyDescent="0.25">
      <c r="A2955" t="s">
        <v>1220</v>
      </c>
      <c r="B2955" t="s">
        <v>1221</v>
      </c>
      <c r="C2955" s="1">
        <v>42334</v>
      </c>
      <c r="D2955" s="1">
        <v>42338</v>
      </c>
      <c r="E2955">
        <v>20</v>
      </c>
      <c r="F2955" t="s">
        <v>331</v>
      </c>
      <c r="G2955" t="s">
        <v>16</v>
      </c>
      <c r="H2955" t="s">
        <v>2716</v>
      </c>
      <c r="I2955">
        <v>3.7688000000000001</v>
      </c>
      <c r="J2955">
        <v>50867.71</v>
      </c>
      <c r="K2955">
        <v>13497.057418807048</v>
      </c>
    </row>
    <row r="2956" spans="1:11" x14ac:dyDescent="0.25">
      <c r="A2956" t="s">
        <v>1220</v>
      </c>
      <c r="B2956" t="s">
        <v>1221</v>
      </c>
      <c r="C2956" s="1">
        <v>42334</v>
      </c>
      <c r="D2956" s="1">
        <v>42338</v>
      </c>
      <c r="E2956">
        <v>20</v>
      </c>
      <c r="F2956" t="s">
        <v>331</v>
      </c>
      <c r="G2956" t="s">
        <v>16</v>
      </c>
      <c r="H2956" t="s">
        <v>2717</v>
      </c>
      <c r="I2956">
        <v>3.7688000000000001</v>
      </c>
      <c r="J2956">
        <v>52083.86</v>
      </c>
      <c r="K2956">
        <v>13819.746338357038</v>
      </c>
    </row>
    <row r="2957" spans="1:11" x14ac:dyDescent="0.25">
      <c r="A2957" t="s">
        <v>1220</v>
      </c>
      <c r="B2957" t="s">
        <v>1221</v>
      </c>
      <c r="C2957" s="1">
        <v>42335</v>
      </c>
      <c r="D2957" s="1">
        <v>42340</v>
      </c>
      <c r="E2957">
        <v>20</v>
      </c>
      <c r="F2957" t="s">
        <v>331</v>
      </c>
      <c r="G2957" t="s">
        <v>16</v>
      </c>
      <c r="H2957" t="s">
        <v>2718</v>
      </c>
      <c r="I2957">
        <v>3.7606000000000002</v>
      </c>
      <c r="J2957">
        <v>58813.26</v>
      </c>
      <c r="K2957">
        <v>15639.32883050577</v>
      </c>
    </row>
    <row r="2958" spans="1:11" x14ac:dyDescent="0.25">
      <c r="A2958" t="s">
        <v>353</v>
      </c>
      <c r="B2958" t="s">
        <v>352</v>
      </c>
      <c r="C2958" s="1">
        <v>42305</v>
      </c>
      <c r="D2958" s="1">
        <v>42338</v>
      </c>
      <c r="E2958">
        <v>981</v>
      </c>
      <c r="F2958" t="s">
        <v>675</v>
      </c>
      <c r="G2958" t="s">
        <v>16</v>
      </c>
      <c r="H2958" t="s">
        <v>6045</v>
      </c>
      <c r="I2958">
        <v>3.9114</v>
      </c>
      <c r="J2958">
        <v>103779</v>
      </c>
      <c r="K2958">
        <v>26532.443626323056</v>
      </c>
    </row>
    <row r="2959" spans="1:11" x14ac:dyDescent="0.25">
      <c r="A2959" t="s">
        <v>460</v>
      </c>
      <c r="B2959" t="s">
        <v>2719</v>
      </c>
      <c r="C2959" s="1">
        <v>42354</v>
      </c>
      <c r="D2959" s="1">
        <v>42359</v>
      </c>
      <c r="E2959">
        <v>489</v>
      </c>
      <c r="F2959" t="s">
        <v>389</v>
      </c>
      <c r="G2959" t="s">
        <v>16</v>
      </c>
      <c r="H2959" t="s">
        <v>2720</v>
      </c>
      <c r="I2959">
        <v>3.8702999999999999</v>
      </c>
      <c r="J2959">
        <v>19892.8</v>
      </c>
      <c r="K2959">
        <v>5139.8599591762913</v>
      </c>
    </row>
    <row r="2960" spans="1:11" x14ac:dyDescent="0.25">
      <c r="A2960" t="s">
        <v>428</v>
      </c>
      <c r="B2960" t="s">
        <v>1231</v>
      </c>
      <c r="C2960" s="1">
        <v>42356</v>
      </c>
      <c r="D2960" s="1">
        <v>42366</v>
      </c>
      <c r="E2960">
        <v>22</v>
      </c>
      <c r="F2960" t="s">
        <v>331</v>
      </c>
      <c r="G2960" t="s">
        <v>16</v>
      </c>
      <c r="H2960" t="s">
        <v>2721</v>
      </c>
      <c r="I2960">
        <v>3.8929</v>
      </c>
      <c r="J2960">
        <v>48240.69</v>
      </c>
      <c r="K2960">
        <v>12391.967427881527</v>
      </c>
    </row>
    <row r="2961" spans="1:11" x14ac:dyDescent="0.25">
      <c r="A2961" t="s">
        <v>428</v>
      </c>
      <c r="B2961" t="s">
        <v>1231</v>
      </c>
      <c r="C2961" s="1">
        <v>42356</v>
      </c>
      <c r="D2961" s="1">
        <v>42361</v>
      </c>
      <c r="E2961">
        <v>22</v>
      </c>
      <c r="F2961" t="s">
        <v>331</v>
      </c>
      <c r="G2961" t="s">
        <v>16</v>
      </c>
      <c r="H2961" t="s">
        <v>6046</v>
      </c>
      <c r="I2961">
        <v>3.8929</v>
      </c>
      <c r="J2961">
        <v>41110.699999999997</v>
      </c>
      <c r="K2961">
        <v>10560.430527370341</v>
      </c>
    </row>
    <row r="2962" spans="1:11" x14ac:dyDescent="0.25">
      <c r="A2962" t="s">
        <v>428</v>
      </c>
      <c r="B2962" t="s">
        <v>1231</v>
      </c>
      <c r="C2962" s="1">
        <v>42356</v>
      </c>
      <c r="D2962" s="1">
        <v>42361</v>
      </c>
      <c r="E2962">
        <v>22</v>
      </c>
      <c r="F2962" t="s">
        <v>331</v>
      </c>
      <c r="G2962" t="s">
        <v>16</v>
      </c>
      <c r="H2962" t="s">
        <v>6047</v>
      </c>
      <c r="I2962">
        <v>3.8929</v>
      </c>
      <c r="J2962">
        <v>40386.050000000003</v>
      </c>
      <c r="K2962">
        <v>10374.283952837217</v>
      </c>
    </row>
    <row r="2963" spans="1:11" x14ac:dyDescent="0.25">
      <c r="A2963" t="s">
        <v>428</v>
      </c>
      <c r="B2963" t="s">
        <v>1231</v>
      </c>
      <c r="C2963" s="1">
        <v>42361</v>
      </c>
      <c r="D2963" s="1">
        <v>42366</v>
      </c>
      <c r="E2963">
        <v>22</v>
      </c>
      <c r="F2963" t="s">
        <v>331</v>
      </c>
      <c r="G2963" t="s">
        <v>16</v>
      </c>
      <c r="H2963" t="s">
        <v>6048</v>
      </c>
      <c r="I2963">
        <v>3.9769999999999999</v>
      </c>
      <c r="J2963">
        <v>48499.49</v>
      </c>
      <c r="K2963">
        <v>12194.993713854665</v>
      </c>
    </row>
    <row r="2964" spans="1:11" x14ac:dyDescent="0.25">
      <c r="A2964" t="s">
        <v>428</v>
      </c>
      <c r="B2964" t="s">
        <v>1231</v>
      </c>
      <c r="C2964" s="1">
        <v>42361</v>
      </c>
      <c r="D2964" s="1">
        <v>42366</v>
      </c>
      <c r="E2964">
        <v>22</v>
      </c>
      <c r="F2964" t="s">
        <v>331</v>
      </c>
      <c r="G2964" t="s">
        <v>16</v>
      </c>
      <c r="H2964" t="s">
        <v>6049</v>
      </c>
      <c r="I2964">
        <v>3.9769999999999999</v>
      </c>
      <c r="J2964">
        <v>30668.04</v>
      </c>
      <c r="K2964">
        <v>7711.3502640181041</v>
      </c>
    </row>
    <row r="2965" spans="1:11" x14ac:dyDescent="0.25">
      <c r="A2965" t="s">
        <v>428</v>
      </c>
      <c r="B2965" t="s">
        <v>1231</v>
      </c>
      <c r="C2965" s="1">
        <v>42360</v>
      </c>
      <c r="D2965" s="1">
        <v>42366</v>
      </c>
      <c r="E2965">
        <v>22</v>
      </c>
      <c r="F2965" t="s">
        <v>331</v>
      </c>
      <c r="G2965" t="s">
        <v>16</v>
      </c>
      <c r="H2965" t="s">
        <v>2722</v>
      </c>
      <c r="I2965">
        <v>3.9830999999999999</v>
      </c>
      <c r="J2965">
        <v>48072.47</v>
      </c>
      <c r="K2965">
        <v>12069.109487585047</v>
      </c>
    </row>
    <row r="2966" spans="1:11" x14ac:dyDescent="0.25">
      <c r="A2966" t="s">
        <v>428</v>
      </c>
      <c r="B2966" t="s">
        <v>1231</v>
      </c>
      <c r="C2966" s="1">
        <v>42356</v>
      </c>
      <c r="D2966" s="1">
        <v>42359</v>
      </c>
      <c r="E2966">
        <v>22</v>
      </c>
      <c r="F2966" t="s">
        <v>331</v>
      </c>
      <c r="G2966" t="s">
        <v>16</v>
      </c>
      <c r="H2966" t="s">
        <v>6050</v>
      </c>
      <c r="I2966">
        <v>3.8929</v>
      </c>
      <c r="J2966">
        <v>49767.62</v>
      </c>
      <c r="K2966">
        <v>12784.202008785225</v>
      </c>
    </row>
    <row r="2967" spans="1:11" x14ac:dyDescent="0.25">
      <c r="A2967" t="s">
        <v>428</v>
      </c>
      <c r="B2967" t="s">
        <v>1231</v>
      </c>
      <c r="C2967" s="1">
        <v>42360</v>
      </c>
      <c r="D2967" s="1">
        <v>42368</v>
      </c>
      <c r="E2967">
        <v>22</v>
      </c>
      <c r="F2967" t="s">
        <v>331</v>
      </c>
      <c r="G2967" t="s">
        <v>16</v>
      </c>
      <c r="H2967" t="s">
        <v>6051</v>
      </c>
      <c r="I2967">
        <v>3.9830999999999999</v>
      </c>
      <c r="J2967">
        <v>48331.27</v>
      </c>
      <c r="K2967">
        <v>12134.084004920791</v>
      </c>
    </row>
    <row r="2968" spans="1:11" x14ac:dyDescent="0.25">
      <c r="A2968" t="s">
        <v>428</v>
      </c>
      <c r="B2968" t="s">
        <v>1231</v>
      </c>
      <c r="C2968" s="1">
        <v>42357</v>
      </c>
      <c r="D2968" s="1">
        <v>42367</v>
      </c>
      <c r="E2968">
        <v>22</v>
      </c>
      <c r="F2968" t="s">
        <v>331</v>
      </c>
      <c r="G2968" t="s">
        <v>16</v>
      </c>
      <c r="H2968" t="s">
        <v>6052</v>
      </c>
      <c r="I2968">
        <v>3.9062000000000001</v>
      </c>
      <c r="J2968">
        <v>48603.02</v>
      </c>
      <c r="K2968">
        <v>12442.53238441452</v>
      </c>
    </row>
    <row r="2969" spans="1:11" x14ac:dyDescent="0.25">
      <c r="A2969" t="s">
        <v>428</v>
      </c>
      <c r="B2969" t="s">
        <v>1231</v>
      </c>
      <c r="C2969" s="1">
        <v>42359</v>
      </c>
      <c r="D2969" s="1">
        <v>42367</v>
      </c>
      <c r="E2969">
        <v>22</v>
      </c>
      <c r="F2969" t="s">
        <v>331</v>
      </c>
      <c r="G2969" t="s">
        <v>16</v>
      </c>
      <c r="H2969" t="s">
        <v>2723</v>
      </c>
      <c r="I2969">
        <v>3.9062000000000001</v>
      </c>
      <c r="J2969">
        <v>48292.45</v>
      </c>
      <c r="K2969">
        <v>12363.025446725718</v>
      </c>
    </row>
    <row r="2970" spans="1:11" x14ac:dyDescent="0.25">
      <c r="A2970" t="s">
        <v>428</v>
      </c>
      <c r="B2970" t="s">
        <v>1231</v>
      </c>
      <c r="C2970" s="1">
        <v>42360</v>
      </c>
      <c r="D2970" s="1">
        <v>42381</v>
      </c>
      <c r="E2970">
        <v>22</v>
      </c>
      <c r="F2970" t="s">
        <v>331</v>
      </c>
      <c r="G2970" t="s">
        <v>16</v>
      </c>
      <c r="H2970" t="s">
        <v>6053</v>
      </c>
      <c r="I2970">
        <v>3.9830999999999999</v>
      </c>
      <c r="J2970">
        <v>64765.2</v>
      </c>
      <c r="K2970">
        <v>16259.99849363561</v>
      </c>
    </row>
    <row r="2971" spans="1:11" x14ac:dyDescent="0.25">
      <c r="A2971" t="s">
        <v>428</v>
      </c>
      <c r="B2971" t="s">
        <v>1231</v>
      </c>
      <c r="C2971" s="1">
        <v>42360</v>
      </c>
      <c r="D2971" s="1">
        <v>42394</v>
      </c>
      <c r="E2971">
        <v>22</v>
      </c>
      <c r="F2971" t="s">
        <v>331</v>
      </c>
      <c r="G2971" t="s">
        <v>16</v>
      </c>
      <c r="H2971" t="s">
        <v>6054</v>
      </c>
      <c r="I2971">
        <v>3.9830999999999999</v>
      </c>
      <c r="J2971">
        <v>49030.04</v>
      </c>
      <c r="K2971">
        <v>12309.517712334613</v>
      </c>
    </row>
    <row r="2972" spans="1:11" x14ac:dyDescent="0.25">
      <c r="A2972" t="s">
        <v>428</v>
      </c>
      <c r="B2972" t="s">
        <v>1231</v>
      </c>
      <c r="C2972" s="1">
        <v>42357</v>
      </c>
      <c r="D2972" s="1">
        <v>42374</v>
      </c>
      <c r="E2972">
        <v>22</v>
      </c>
      <c r="F2972" t="s">
        <v>331</v>
      </c>
      <c r="G2972" t="s">
        <v>16</v>
      </c>
      <c r="H2972" t="s">
        <v>6055</v>
      </c>
      <c r="I2972">
        <v>3.9062000000000001</v>
      </c>
      <c r="J2972">
        <v>47283.13</v>
      </c>
      <c r="K2972">
        <v>12104.636219343607</v>
      </c>
    </row>
    <row r="2973" spans="1:11" x14ac:dyDescent="0.25">
      <c r="A2973" t="s">
        <v>390</v>
      </c>
      <c r="B2973" t="s">
        <v>6056</v>
      </c>
      <c r="C2973" s="1">
        <v>42395</v>
      </c>
      <c r="D2973" s="1">
        <v>42404</v>
      </c>
      <c r="E2973">
        <v>2500</v>
      </c>
      <c r="F2973" t="s">
        <v>311</v>
      </c>
      <c r="G2973" t="s">
        <v>16</v>
      </c>
      <c r="H2973" t="s">
        <v>6057</v>
      </c>
      <c r="I2973">
        <v>4.1002000000000001</v>
      </c>
      <c r="J2973">
        <v>721441.6</v>
      </c>
      <c r="K2973">
        <v>175952.78279108336</v>
      </c>
    </row>
    <row r="2974" spans="1:11" x14ac:dyDescent="0.25">
      <c r="A2974" t="s">
        <v>62</v>
      </c>
      <c r="B2974" t="s">
        <v>63</v>
      </c>
      <c r="C2974" s="1">
        <v>42399</v>
      </c>
      <c r="D2974" s="1">
        <v>42410</v>
      </c>
      <c r="E2974">
        <v>1</v>
      </c>
      <c r="F2974" t="s">
        <v>368</v>
      </c>
      <c r="G2974" t="s">
        <v>16</v>
      </c>
      <c r="H2974" t="s">
        <v>2724</v>
      </c>
      <c r="I2974">
        <v>4.0427999999999997</v>
      </c>
      <c r="J2974">
        <v>51095.22</v>
      </c>
      <c r="K2974">
        <v>12638.572276639952</v>
      </c>
    </row>
    <row r="2975" spans="1:11" x14ac:dyDescent="0.25">
      <c r="A2975" t="s">
        <v>62</v>
      </c>
      <c r="B2975" t="s">
        <v>63</v>
      </c>
      <c r="C2975" s="1">
        <v>42398</v>
      </c>
      <c r="D2975" s="1">
        <v>42410</v>
      </c>
      <c r="E2975">
        <v>1</v>
      </c>
      <c r="F2975" t="s">
        <v>368</v>
      </c>
      <c r="G2975" t="s">
        <v>16</v>
      </c>
      <c r="H2975" t="s">
        <v>6058</v>
      </c>
      <c r="I2975">
        <v>4.0838000000000001</v>
      </c>
      <c r="J2975">
        <v>71522.09</v>
      </c>
      <c r="K2975">
        <v>17513.612321857094</v>
      </c>
    </row>
    <row r="2976" spans="1:11" x14ac:dyDescent="0.25">
      <c r="A2976" t="s">
        <v>428</v>
      </c>
      <c r="B2976" t="s">
        <v>1231</v>
      </c>
      <c r="C2976" s="1">
        <v>42422</v>
      </c>
      <c r="D2976" s="1">
        <v>42430</v>
      </c>
      <c r="E2976">
        <v>22</v>
      </c>
      <c r="F2976" t="s">
        <v>331</v>
      </c>
      <c r="G2976" t="s">
        <v>16</v>
      </c>
      <c r="H2976" t="s">
        <v>2725</v>
      </c>
      <c r="I2976">
        <v>4.0491999999999999</v>
      </c>
      <c r="J2976">
        <v>47852.49</v>
      </c>
      <c r="K2976">
        <v>11817.764002765978</v>
      </c>
    </row>
    <row r="2977" spans="1:11" x14ac:dyDescent="0.25">
      <c r="A2977" t="s">
        <v>410</v>
      </c>
      <c r="B2977" t="s">
        <v>1250</v>
      </c>
      <c r="C2977" s="1">
        <v>42426</v>
      </c>
      <c r="D2977" s="1">
        <v>42432</v>
      </c>
      <c r="E2977">
        <v>2108</v>
      </c>
      <c r="F2977" t="s">
        <v>409</v>
      </c>
      <c r="G2977" t="s">
        <v>16</v>
      </c>
      <c r="H2977" t="s">
        <v>2726</v>
      </c>
      <c r="I2977">
        <v>3.94</v>
      </c>
      <c r="J2977">
        <v>64572.69</v>
      </c>
      <c r="K2977">
        <v>16389.007614213198</v>
      </c>
    </row>
    <row r="2978" spans="1:11" x14ac:dyDescent="0.25">
      <c r="A2978" t="s">
        <v>410</v>
      </c>
      <c r="B2978" t="s">
        <v>1250</v>
      </c>
      <c r="C2978" s="1">
        <v>42426</v>
      </c>
      <c r="D2978" s="1">
        <v>42433</v>
      </c>
      <c r="E2978">
        <v>2108</v>
      </c>
      <c r="F2978" t="s">
        <v>409</v>
      </c>
      <c r="G2978" t="s">
        <v>16</v>
      </c>
      <c r="H2978" t="s">
        <v>2727</v>
      </c>
      <c r="I2978">
        <v>3.94</v>
      </c>
      <c r="J2978">
        <v>65890.5</v>
      </c>
      <c r="K2978">
        <v>16723.477157360405</v>
      </c>
    </row>
    <row r="2979" spans="1:11" x14ac:dyDescent="0.25">
      <c r="A2979" t="s">
        <v>410</v>
      </c>
      <c r="B2979" t="s">
        <v>1250</v>
      </c>
      <c r="C2979" s="1">
        <v>42429</v>
      </c>
      <c r="D2979" s="1">
        <v>42433</v>
      </c>
      <c r="E2979">
        <v>2108</v>
      </c>
      <c r="F2979" t="s">
        <v>409</v>
      </c>
      <c r="G2979" t="s">
        <v>16</v>
      </c>
      <c r="H2979" t="s">
        <v>6059</v>
      </c>
      <c r="I2979">
        <v>3.9578000000000002</v>
      </c>
      <c r="J2979">
        <v>48758.97</v>
      </c>
      <c r="K2979">
        <v>12319.715498509273</v>
      </c>
    </row>
    <row r="2980" spans="1:11" x14ac:dyDescent="0.25">
      <c r="A2980" t="s">
        <v>410</v>
      </c>
      <c r="B2980" t="s">
        <v>1250</v>
      </c>
      <c r="C2980" s="1">
        <v>42429</v>
      </c>
      <c r="D2980" s="1">
        <v>42435</v>
      </c>
      <c r="E2980">
        <v>2108</v>
      </c>
      <c r="F2980" t="s">
        <v>409</v>
      </c>
      <c r="G2980" t="s">
        <v>16</v>
      </c>
      <c r="H2980" t="s">
        <v>3295</v>
      </c>
      <c r="I2980">
        <v>3.9578000000000002</v>
      </c>
      <c r="J2980">
        <v>40852.11</v>
      </c>
      <c r="K2980">
        <v>10321.92379604831</v>
      </c>
    </row>
    <row r="2981" spans="1:11" x14ac:dyDescent="0.25">
      <c r="A2981" t="s">
        <v>428</v>
      </c>
      <c r="B2981" t="s">
        <v>1231</v>
      </c>
      <c r="C2981" s="1">
        <v>42424</v>
      </c>
      <c r="D2981" s="1">
        <v>42437</v>
      </c>
      <c r="E2981">
        <v>22</v>
      </c>
      <c r="F2981" t="s">
        <v>331</v>
      </c>
      <c r="G2981" t="s">
        <v>16</v>
      </c>
      <c r="H2981" t="s">
        <v>6060</v>
      </c>
      <c r="I2981">
        <v>3.9683999999999999</v>
      </c>
      <c r="J2981">
        <v>38548.559999999998</v>
      </c>
      <c r="K2981">
        <v>9713.8796492289075</v>
      </c>
    </row>
    <row r="2982" spans="1:11" x14ac:dyDescent="0.25">
      <c r="A2982" t="s">
        <v>2238</v>
      </c>
      <c r="B2982" t="s">
        <v>2239</v>
      </c>
      <c r="C2982" s="1">
        <v>42435</v>
      </c>
      <c r="D2982" s="1">
        <v>42438</v>
      </c>
      <c r="E2982">
        <v>724</v>
      </c>
      <c r="F2982" t="s">
        <v>368</v>
      </c>
      <c r="G2982" t="s">
        <v>16</v>
      </c>
      <c r="H2982" t="s">
        <v>2728</v>
      </c>
      <c r="I2982">
        <v>3.7187999999999999</v>
      </c>
      <c r="J2982">
        <v>51099.59</v>
      </c>
      <c r="K2982">
        <v>13740.881467139938</v>
      </c>
    </row>
    <row r="2983" spans="1:11" x14ac:dyDescent="0.25">
      <c r="A2983" t="s">
        <v>473</v>
      </c>
      <c r="B2983" t="s">
        <v>1248</v>
      </c>
      <c r="C2983" s="1">
        <v>42410</v>
      </c>
      <c r="D2983" s="1">
        <v>42420</v>
      </c>
      <c r="E2983">
        <v>641</v>
      </c>
      <c r="F2983" t="s">
        <v>409</v>
      </c>
      <c r="G2983" t="s">
        <v>16</v>
      </c>
      <c r="H2983" t="s">
        <v>2729</v>
      </c>
      <c r="I2983">
        <v>3.8975</v>
      </c>
      <c r="J2983">
        <v>66898</v>
      </c>
      <c r="K2983">
        <v>17164.336112892881</v>
      </c>
    </row>
    <row r="2984" spans="1:11" x14ac:dyDescent="0.25">
      <c r="A2984" t="s">
        <v>332</v>
      </c>
      <c r="B2984" t="s">
        <v>1241</v>
      </c>
      <c r="C2984" s="1">
        <v>42420</v>
      </c>
      <c r="D2984" s="1">
        <v>42424</v>
      </c>
      <c r="E2984">
        <v>2758</v>
      </c>
      <c r="F2984" t="s">
        <v>331</v>
      </c>
      <c r="G2984" t="s">
        <v>16</v>
      </c>
      <c r="H2984" t="s">
        <v>6061</v>
      </c>
      <c r="I2984">
        <v>4.0491999999999999</v>
      </c>
      <c r="J2984">
        <v>69058.080000000002</v>
      </c>
      <c r="K2984">
        <v>17054.746616615626</v>
      </c>
    </row>
    <row r="2985" spans="1:11" x14ac:dyDescent="0.25">
      <c r="A2985" t="s">
        <v>218</v>
      </c>
      <c r="B2985" t="s">
        <v>219</v>
      </c>
      <c r="C2985" s="1">
        <v>42423</v>
      </c>
      <c r="D2985" s="1">
        <v>42431</v>
      </c>
      <c r="E2985">
        <v>2</v>
      </c>
      <c r="F2985" t="s">
        <v>301</v>
      </c>
      <c r="G2985" t="s">
        <v>16</v>
      </c>
      <c r="H2985" t="s">
        <v>2730</v>
      </c>
      <c r="I2985">
        <v>3.9618000000000002</v>
      </c>
      <c r="J2985">
        <v>67230</v>
      </c>
      <c r="K2985">
        <v>16969.559291231257</v>
      </c>
    </row>
    <row r="2986" spans="1:11" x14ac:dyDescent="0.25">
      <c r="A2986" t="s">
        <v>218</v>
      </c>
      <c r="B2986" t="s">
        <v>219</v>
      </c>
      <c r="C2986" s="1">
        <v>42423</v>
      </c>
      <c r="D2986" s="1">
        <v>42431</v>
      </c>
      <c r="E2986">
        <v>2</v>
      </c>
      <c r="F2986" t="s">
        <v>301</v>
      </c>
      <c r="G2986" t="s">
        <v>16</v>
      </c>
      <c r="H2986" t="s">
        <v>2731</v>
      </c>
      <c r="I2986">
        <v>3.9618000000000002</v>
      </c>
      <c r="J2986">
        <v>67230</v>
      </c>
      <c r="K2986">
        <v>16969.559291231257</v>
      </c>
    </row>
    <row r="2987" spans="1:11" x14ac:dyDescent="0.25">
      <c r="A2987" t="s">
        <v>218</v>
      </c>
      <c r="B2987" t="s">
        <v>219</v>
      </c>
      <c r="C2987" s="1">
        <v>42423</v>
      </c>
      <c r="D2987" s="1">
        <v>42431</v>
      </c>
      <c r="E2987">
        <v>2</v>
      </c>
      <c r="F2987" t="s">
        <v>301</v>
      </c>
      <c r="G2987" t="s">
        <v>16</v>
      </c>
      <c r="H2987" t="s">
        <v>2732</v>
      </c>
      <c r="I2987">
        <v>3.9618000000000002</v>
      </c>
      <c r="J2987">
        <v>67230</v>
      </c>
      <c r="K2987">
        <v>16969.559291231257</v>
      </c>
    </row>
    <row r="2988" spans="1:11" x14ac:dyDescent="0.25">
      <c r="A2988" t="s">
        <v>218</v>
      </c>
      <c r="B2988" t="s">
        <v>219</v>
      </c>
      <c r="C2988" s="1">
        <v>42423</v>
      </c>
      <c r="D2988" s="1">
        <v>42431</v>
      </c>
      <c r="E2988">
        <v>2</v>
      </c>
      <c r="F2988" t="s">
        <v>301</v>
      </c>
      <c r="G2988" t="s">
        <v>16</v>
      </c>
      <c r="H2988" t="s">
        <v>2733</v>
      </c>
      <c r="I2988">
        <v>3.9618000000000002</v>
      </c>
      <c r="J2988">
        <v>67230.039999999994</v>
      </c>
      <c r="K2988">
        <v>16969.569387652078</v>
      </c>
    </row>
    <row r="2989" spans="1:11" x14ac:dyDescent="0.25">
      <c r="A2989" t="s">
        <v>2238</v>
      </c>
      <c r="B2989" t="s">
        <v>2239</v>
      </c>
      <c r="C2989" s="1">
        <v>42414</v>
      </c>
      <c r="D2989" s="1">
        <v>42417</v>
      </c>
      <c r="E2989">
        <v>724</v>
      </c>
      <c r="F2989" t="s">
        <v>368</v>
      </c>
      <c r="G2989" t="s">
        <v>16</v>
      </c>
      <c r="H2989" t="s">
        <v>2734</v>
      </c>
      <c r="I2989">
        <v>3.9891000000000001</v>
      </c>
      <c r="J2989">
        <v>44529.13</v>
      </c>
      <c r="K2989">
        <v>11162.700859843073</v>
      </c>
    </row>
    <row r="2990" spans="1:11" x14ac:dyDescent="0.25">
      <c r="A2990" t="s">
        <v>429</v>
      </c>
      <c r="B2990" t="s">
        <v>1216</v>
      </c>
      <c r="C2990" s="1">
        <v>42408</v>
      </c>
      <c r="D2990" s="1">
        <v>42417</v>
      </c>
      <c r="E2990">
        <v>5</v>
      </c>
      <c r="F2990" t="s">
        <v>675</v>
      </c>
      <c r="G2990" t="s">
        <v>16</v>
      </c>
      <c r="H2990" t="s">
        <v>2735</v>
      </c>
      <c r="I2990">
        <v>3.8975</v>
      </c>
      <c r="J2990">
        <v>66484</v>
      </c>
      <c r="K2990">
        <v>17058.11417575369</v>
      </c>
    </row>
    <row r="2991" spans="1:11" x14ac:dyDescent="0.25">
      <c r="A2991" t="s">
        <v>489</v>
      </c>
      <c r="B2991" t="s">
        <v>1767</v>
      </c>
      <c r="C2991" s="1">
        <v>42402</v>
      </c>
      <c r="D2991" s="1">
        <v>42405</v>
      </c>
      <c r="E2991">
        <v>570</v>
      </c>
      <c r="F2991" t="s">
        <v>331</v>
      </c>
      <c r="G2991" t="s">
        <v>16</v>
      </c>
      <c r="H2991" t="s">
        <v>2736</v>
      </c>
      <c r="I2991">
        <v>3.9986000000000002</v>
      </c>
      <c r="J2991">
        <v>71506.080000000002</v>
      </c>
      <c r="K2991">
        <v>17882.778972640423</v>
      </c>
    </row>
    <row r="2992" spans="1:11" x14ac:dyDescent="0.25">
      <c r="A2992" t="s">
        <v>179</v>
      </c>
      <c r="B2992" t="s">
        <v>180</v>
      </c>
      <c r="C2992" s="1">
        <v>42397</v>
      </c>
      <c r="D2992" s="1">
        <v>42401</v>
      </c>
      <c r="E2992">
        <v>1</v>
      </c>
      <c r="F2992" t="s">
        <v>368</v>
      </c>
      <c r="G2992" t="s">
        <v>16</v>
      </c>
      <c r="H2992" t="s">
        <v>6062</v>
      </c>
      <c r="I2992">
        <v>4.0448000000000004</v>
      </c>
      <c r="J2992">
        <v>72895.44</v>
      </c>
      <c r="K2992">
        <v>18022.013449367088</v>
      </c>
    </row>
    <row r="2993" spans="1:11" x14ac:dyDescent="0.25">
      <c r="A2993" t="s">
        <v>179</v>
      </c>
      <c r="B2993" t="s">
        <v>180</v>
      </c>
      <c r="C2993" s="1">
        <v>42398</v>
      </c>
      <c r="D2993" s="1">
        <v>42401</v>
      </c>
      <c r="E2993">
        <v>1</v>
      </c>
      <c r="F2993" t="s">
        <v>368</v>
      </c>
      <c r="G2993" t="s">
        <v>16</v>
      </c>
      <c r="H2993" t="s">
        <v>2737</v>
      </c>
      <c r="I2993">
        <v>4.0838000000000001</v>
      </c>
      <c r="J2993">
        <v>67364.89</v>
      </c>
      <c r="K2993">
        <v>16495.638865762281</v>
      </c>
    </row>
    <row r="2994" spans="1:11" x14ac:dyDescent="0.25">
      <c r="A2994" t="s">
        <v>179</v>
      </c>
      <c r="B2994" t="s">
        <v>180</v>
      </c>
      <c r="C2994" s="1">
        <v>42399</v>
      </c>
      <c r="D2994" s="1">
        <v>42401</v>
      </c>
      <c r="E2994">
        <v>1</v>
      </c>
      <c r="F2994" t="s">
        <v>368</v>
      </c>
      <c r="G2994" t="s">
        <v>16</v>
      </c>
      <c r="H2994" t="s">
        <v>6063</v>
      </c>
      <c r="I2994">
        <v>4.0427999999999997</v>
      </c>
      <c r="J2994">
        <v>63344.76</v>
      </c>
      <c r="K2994">
        <v>15668.536657761948</v>
      </c>
    </row>
    <row r="2995" spans="1:11" x14ac:dyDescent="0.25">
      <c r="A2995" t="s">
        <v>179</v>
      </c>
      <c r="B2995" t="s">
        <v>180</v>
      </c>
      <c r="C2995" s="1">
        <v>42399</v>
      </c>
      <c r="D2995" s="1">
        <v>42401</v>
      </c>
      <c r="E2995">
        <v>1</v>
      </c>
      <c r="F2995" t="s">
        <v>368</v>
      </c>
      <c r="G2995" t="s">
        <v>16</v>
      </c>
      <c r="H2995" t="s">
        <v>6064</v>
      </c>
      <c r="I2995">
        <v>4.0427999999999997</v>
      </c>
      <c r="J2995">
        <v>72615.429999999993</v>
      </c>
      <c r="K2995">
        <v>17961.667656079946</v>
      </c>
    </row>
    <row r="2996" spans="1:11" x14ac:dyDescent="0.25">
      <c r="A2996" t="s">
        <v>428</v>
      </c>
      <c r="B2996" t="s">
        <v>1231</v>
      </c>
      <c r="C2996" s="1">
        <v>42422</v>
      </c>
      <c r="D2996" s="1">
        <v>42427</v>
      </c>
      <c r="E2996">
        <v>22</v>
      </c>
      <c r="F2996" t="s">
        <v>331</v>
      </c>
      <c r="G2996" t="s">
        <v>16</v>
      </c>
      <c r="H2996" t="s">
        <v>6065</v>
      </c>
      <c r="I2996">
        <v>4.0491999999999999</v>
      </c>
      <c r="J2996">
        <v>48797.120000000003</v>
      </c>
      <c r="K2996">
        <v>12051.052059666106</v>
      </c>
    </row>
    <row r="2997" spans="1:11" x14ac:dyDescent="0.25">
      <c r="A2997" t="s">
        <v>147</v>
      </c>
      <c r="B2997" t="s">
        <v>148</v>
      </c>
      <c r="C2997" s="1">
        <v>42458</v>
      </c>
      <c r="D2997" s="1">
        <v>42465</v>
      </c>
      <c r="E2997">
        <v>3</v>
      </c>
      <c r="F2997" t="s">
        <v>331</v>
      </c>
      <c r="G2997" t="s">
        <v>16</v>
      </c>
      <c r="H2997" t="s">
        <v>6066</v>
      </c>
      <c r="I2997">
        <v>3.6408</v>
      </c>
      <c r="J2997">
        <v>73671</v>
      </c>
      <c r="K2997">
        <v>20234.838497033619</v>
      </c>
    </row>
    <row r="2998" spans="1:11" x14ac:dyDescent="0.25">
      <c r="A2998" t="s">
        <v>147</v>
      </c>
      <c r="B2998" t="s">
        <v>148</v>
      </c>
      <c r="C2998" s="1">
        <v>42452</v>
      </c>
      <c r="D2998" s="1">
        <v>42458</v>
      </c>
      <c r="E2998">
        <v>3</v>
      </c>
      <c r="F2998" t="s">
        <v>331</v>
      </c>
      <c r="G2998" t="s">
        <v>16</v>
      </c>
      <c r="H2998" t="s">
        <v>2738</v>
      </c>
      <c r="I2998">
        <v>3.6073</v>
      </c>
      <c r="J2998">
        <v>59358</v>
      </c>
      <c r="K2998">
        <v>16454.966318299004</v>
      </c>
    </row>
    <row r="2999" spans="1:11" x14ac:dyDescent="0.25">
      <c r="A2999" t="s">
        <v>149</v>
      </c>
      <c r="B2999" t="s">
        <v>150</v>
      </c>
      <c r="C2999" s="1">
        <v>42453</v>
      </c>
      <c r="D2999" s="1">
        <v>42460</v>
      </c>
      <c r="E2999">
        <v>2</v>
      </c>
      <c r="F2999" t="s">
        <v>331</v>
      </c>
      <c r="G2999" t="s">
        <v>16</v>
      </c>
      <c r="H2999" t="s">
        <v>2739</v>
      </c>
      <c r="I2999">
        <v>3.6530999999999998</v>
      </c>
      <c r="J2999">
        <v>97521.06</v>
      </c>
      <c r="K2999">
        <v>26695.425802742877</v>
      </c>
    </row>
    <row r="3000" spans="1:11" x14ac:dyDescent="0.25">
      <c r="A3000" t="s">
        <v>104</v>
      </c>
      <c r="B3000" t="s">
        <v>105</v>
      </c>
      <c r="C3000" s="1">
        <v>42452</v>
      </c>
      <c r="D3000" s="1">
        <v>42458</v>
      </c>
      <c r="E3000">
        <v>3</v>
      </c>
      <c r="F3000" t="s">
        <v>331</v>
      </c>
      <c r="G3000" t="s">
        <v>16</v>
      </c>
      <c r="H3000" t="s">
        <v>2740</v>
      </c>
      <c r="I3000">
        <v>3.6073</v>
      </c>
      <c r="J3000">
        <v>71532.240000000005</v>
      </c>
      <c r="K3000">
        <v>19829.856125079699</v>
      </c>
    </row>
    <row r="3001" spans="1:11" x14ac:dyDescent="0.25">
      <c r="A3001" t="s">
        <v>104</v>
      </c>
      <c r="B3001" t="s">
        <v>105</v>
      </c>
      <c r="C3001" s="1">
        <v>42452</v>
      </c>
      <c r="D3001" s="1">
        <v>42458</v>
      </c>
      <c r="E3001">
        <v>3</v>
      </c>
      <c r="F3001" t="s">
        <v>331</v>
      </c>
      <c r="G3001" t="s">
        <v>16</v>
      </c>
      <c r="H3001" t="s">
        <v>2741</v>
      </c>
      <c r="I3001">
        <v>3.6073</v>
      </c>
      <c r="J3001">
        <v>71807.97</v>
      </c>
      <c r="K3001">
        <v>19906.292795165358</v>
      </c>
    </row>
    <row r="3002" spans="1:11" x14ac:dyDescent="0.25">
      <c r="A3002" t="s">
        <v>147</v>
      </c>
      <c r="B3002" t="s">
        <v>148</v>
      </c>
      <c r="C3002" s="1">
        <v>42452</v>
      </c>
      <c r="D3002" s="1">
        <v>42459</v>
      </c>
      <c r="E3002">
        <v>3</v>
      </c>
      <c r="F3002" t="s">
        <v>331</v>
      </c>
      <c r="G3002" t="s">
        <v>16</v>
      </c>
      <c r="H3002" t="s">
        <v>2742</v>
      </c>
      <c r="I3002">
        <v>3.6073</v>
      </c>
      <c r="J3002">
        <v>90285</v>
      </c>
      <c r="K3002">
        <v>25028.414603720234</v>
      </c>
    </row>
    <row r="3003" spans="1:11" x14ac:dyDescent="0.25">
      <c r="A3003" t="s">
        <v>179</v>
      </c>
      <c r="B3003" t="s">
        <v>180</v>
      </c>
      <c r="C3003" s="1">
        <v>42453</v>
      </c>
      <c r="D3003" s="1">
        <v>42459</v>
      </c>
      <c r="E3003">
        <v>1</v>
      </c>
      <c r="F3003" t="s">
        <v>368</v>
      </c>
      <c r="G3003" t="s">
        <v>16</v>
      </c>
      <c r="H3003" t="s">
        <v>6067</v>
      </c>
      <c r="I3003">
        <v>3.6530999999999998</v>
      </c>
      <c r="J3003">
        <v>62892.08</v>
      </c>
      <c r="K3003">
        <v>17216.084968930496</v>
      </c>
    </row>
    <row r="3004" spans="1:11" x14ac:dyDescent="0.25">
      <c r="A3004" t="s">
        <v>147</v>
      </c>
      <c r="B3004" t="s">
        <v>148</v>
      </c>
      <c r="C3004" s="1">
        <v>42453</v>
      </c>
      <c r="D3004" s="1">
        <v>42459</v>
      </c>
      <c r="E3004">
        <v>3</v>
      </c>
      <c r="F3004" t="s">
        <v>331</v>
      </c>
      <c r="G3004" t="s">
        <v>16</v>
      </c>
      <c r="H3004" t="s">
        <v>6068</v>
      </c>
      <c r="I3004">
        <v>3.6530999999999998</v>
      </c>
      <c r="J3004">
        <v>93912</v>
      </c>
      <c r="K3004">
        <v>25707.481317237416</v>
      </c>
    </row>
    <row r="3005" spans="1:11" x14ac:dyDescent="0.25">
      <c r="A3005" t="s">
        <v>179</v>
      </c>
      <c r="B3005" t="s">
        <v>180</v>
      </c>
      <c r="C3005" s="1">
        <v>42453</v>
      </c>
      <c r="D3005" s="1">
        <v>42457</v>
      </c>
      <c r="E3005">
        <v>1</v>
      </c>
      <c r="F3005" t="s">
        <v>368</v>
      </c>
      <c r="G3005" t="s">
        <v>16</v>
      </c>
      <c r="H3005" t="s">
        <v>6069</v>
      </c>
      <c r="I3005">
        <v>3.6530999999999998</v>
      </c>
      <c r="J3005">
        <v>64824.23</v>
      </c>
      <c r="K3005">
        <v>17744.991924666723</v>
      </c>
    </row>
    <row r="3006" spans="1:11" x14ac:dyDescent="0.25">
      <c r="A3006" t="s">
        <v>147</v>
      </c>
      <c r="B3006" t="s">
        <v>148</v>
      </c>
      <c r="C3006" s="1">
        <v>42453</v>
      </c>
      <c r="D3006" s="1">
        <v>42459</v>
      </c>
      <c r="E3006">
        <v>3</v>
      </c>
      <c r="F3006" t="s">
        <v>331</v>
      </c>
      <c r="G3006" t="s">
        <v>16</v>
      </c>
      <c r="H3006" t="s">
        <v>2743</v>
      </c>
      <c r="I3006">
        <v>3.6530999999999998</v>
      </c>
      <c r="J3006">
        <v>91299</v>
      </c>
      <c r="K3006">
        <v>24992.198406832555</v>
      </c>
    </row>
    <row r="3007" spans="1:11" x14ac:dyDescent="0.25">
      <c r="A3007" t="s">
        <v>1265</v>
      </c>
      <c r="B3007" t="s">
        <v>1266</v>
      </c>
      <c r="C3007" s="1">
        <v>42467</v>
      </c>
      <c r="D3007" s="1">
        <v>42472</v>
      </c>
      <c r="E3007">
        <v>4070</v>
      </c>
      <c r="F3007" t="s">
        <v>331</v>
      </c>
      <c r="G3007" t="s">
        <v>16</v>
      </c>
      <c r="H3007" t="s">
        <v>2744</v>
      </c>
      <c r="I3007">
        <v>3.6749000000000001</v>
      </c>
      <c r="J3007">
        <v>44903.6</v>
      </c>
      <c r="K3007">
        <v>12218.999156439631</v>
      </c>
    </row>
    <row r="3008" spans="1:11" x14ac:dyDescent="0.25">
      <c r="A3008" t="s">
        <v>1265</v>
      </c>
      <c r="B3008" t="s">
        <v>1266</v>
      </c>
      <c r="C3008" s="1">
        <v>42468</v>
      </c>
      <c r="D3008" s="1">
        <v>42472</v>
      </c>
      <c r="E3008">
        <v>4070</v>
      </c>
      <c r="F3008" t="s">
        <v>331</v>
      </c>
      <c r="G3008" t="s">
        <v>16</v>
      </c>
      <c r="H3008" t="s">
        <v>2745</v>
      </c>
      <c r="I3008">
        <v>3.6920999999999999</v>
      </c>
      <c r="J3008">
        <v>37349.279999999999</v>
      </c>
      <c r="K3008">
        <v>10115.999024945153</v>
      </c>
    </row>
    <row r="3009" spans="1:11" x14ac:dyDescent="0.25">
      <c r="A3009" t="s">
        <v>1265</v>
      </c>
      <c r="B3009" t="s">
        <v>1266</v>
      </c>
      <c r="C3009" s="1">
        <v>42467</v>
      </c>
      <c r="D3009" s="1">
        <v>42472</v>
      </c>
      <c r="E3009">
        <v>4070</v>
      </c>
      <c r="F3009" t="s">
        <v>331</v>
      </c>
      <c r="G3009" t="s">
        <v>16</v>
      </c>
      <c r="H3009" t="s">
        <v>6070</v>
      </c>
      <c r="I3009">
        <v>3.6749000000000001</v>
      </c>
      <c r="J3009">
        <v>52036.58</v>
      </c>
      <c r="K3009">
        <v>14159.998911535007</v>
      </c>
    </row>
    <row r="3010" spans="1:11" x14ac:dyDescent="0.25">
      <c r="A3010" t="s">
        <v>431</v>
      </c>
      <c r="B3010" t="s">
        <v>6071</v>
      </c>
      <c r="C3010" s="1">
        <v>42473</v>
      </c>
      <c r="D3010" s="1">
        <v>42474</v>
      </c>
      <c r="E3010">
        <v>4071</v>
      </c>
      <c r="F3010" t="s">
        <v>368</v>
      </c>
      <c r="G3010" t="s">
        <v>16</v>
      </c>
      <c r="H3010" t="s">
        <v>6072</v>
      </c>
      <c r="I3010">
        <v>3.5406</v>
      </c>
      <c r="J3010">
        <v>46838.17</v>
      </c>
      <c r="K3010">
        <v>13228.879285996723</v>
      </c>
    </row>
    <row r="3011" spans="1:11" x14ac:dyDescent="0.25">
      <c r="A3011" t="s">
        <v>1243</v>
      </c>
      <c r="B3011" t="s">
        <v>1244</v>
      </c>
      <c r="C3011" s="1">
        <v>42445</v>
      </c>
      <c r="D3011" s="1">
        <v>42447</v>
      </c>
      <c r="E3011">
        <v>2461</v>
      </c>
      <c r="F3011" t="s">
        <v>368</v>
      </c>
      <c r="G3011" t="s">
        <v>16</v>
      </c>
      <c r="H3011" t="s">
        <v>2746</v>
      </c>
      <c r="I3011">
        <v>3.7115999999999998</v>
      </c>
      <c r="J3011">
        <v>42081.5</v>
      </c>
      <c r="K3011">
        <v>11337.832740597047</v>
      </c>
    </row>
    <row r="3012" spans="1:11" x14ac:dyDescent="0.25">
      <c r="A3012" t="s">
        <v>1243</v>
      </c>
      <c r="B3012" t="s">
        <v>1244</v>
      </c>
      <c r="C3012" s="1">
        <v>42441</v>
      </c>
      <c r="D3012" s="1">
        <v>42444</v>
      </c>
      <c r="E3012">
        <v>2461</v>
      </c>
      <c r="F3012" t="s">
        <v>368</v>
      </c>
      <c r="G3012" t="s">
        <v>16</v>
      </c>
      <c r="H3012" t="s">
        <v>6073</v>
      </c>
      <c r="I3012">
        <v>3.6271</v>
      </c>
      <c r="J3012">
        <v>49553.51</v>
      </c>
      <c r="K3012">
        <v>13662.019244024152</v>
      </c>
    </row>
    <row r="3013" spans="1:11" x14ac:dyDescent="0.25">
      <c r="A3013" t="s">
        <v>1243</v>
      </c>
      <c r="B3013" t="s">
        <v>1244</v>
      </c>
      <c r="C3013" s="1">
        <v>42442</v>
      </c>
      <c r="D3013" s="1">
        <v>42445</v>
      </c>
      <c r="E3013">
        <v>2461</v>
      </c>
      <c r="F3013" t="s">
        <v>368</v>
      </c>
      <c r="G3013" t="s">
        <v>16</v>
      </c>
      <c r="H3013" t="s">
        <v>2747</v>
      </c>
      <c r="I3013">
        <v>3.6271</v>
      </c>
      <c r="J3013">
        <v>34059.42</v>
      </c>
      <c r="K3013">
        <v>9390.262192936505</v>
      </c>
    </row>
    <row r="3014" spans="1:11" x14ac:dyDescent="0.25">
      <c r="A3014" t="s">
        <v>379</v>
      </c>
      <c r="B3014" t="s">
        <v>6074</v>
      </c>
      <c r="C3014" s="1">
        <v>42444</v>
      </c>
      <c r="D3014" s="1">
        <v>42448</v>
      </c>
      <c r="E3014">
        <v>3514</v>
      </c>
      <c r="F3014" t="s">
        <v>318</v>
      </c>
      <c r="G3014" t="s">
        <v>16</v>
      </c>
      <c r="H3014" t="s">
        <v>4851</v>
      </c>
      <c r="I3014">
        <v>3.6238999999999999</v>
      </c>
      <c r="J3014">
        <v>302087.12</v>
      </c>
      <c r="K3014">
        <v>83359.673280167772</v>
      </c>
    </row>
    <row r="3015" spans="1:11" x14ac:dyDescent="0.25">
      <c r="A3015" t="s">
        <v>104</v>
      </c>
      <c r="B3015" t="s">
        <v>105</v>
      </c>
      <c r="C3015" s="1">
        <v>42452</v>
      </c>
      <c r="D3015" s="1">
        <v>42461</v>
      </c>
      <c r="E3015">
        <v>3</v>
      </c>
      <c r="F3015" t="s">
        <v>331</v>
      </c>
      <c r="G3015" t="s">
        <v>16</v>
      </c>
      <c r="H3015" t="s">
        <v>2748</v>
      </c>
      <c r="I3015">
        <v>3.6073</v>
      </c>
      <c r="J3015">
        <v>61921.08</v>
      </c>
      <c r="K3015">
        <v>17165.492196379564</v>
      </c>
    </row>
    <row r="3016" spans="1:11" x14ac:dyDescent="0.25">
      <c r="A3016" t="s">
        <v>104</v>
      </c>
      <c r="B3016" t="s">
        <v>105</v>
      </c>
      <c r="C3016" s="1">
        <v>42457</v>
      </c>
      <c r="D3016" s="1">
        <v>42461</v>
      </c>
      <c r="E3016">
        <v>3</v>
      </c>
      <c r="F3016" t="s">
        <v>331</v>
      </c>
      <c r="G3016" t="s">
        <v>16</v>
      </c>
      <c r="H3016" t="s">
        <v>6075</v>
      </c>
      <c r="I3016">
        <v>3.6947999999999999</v>
      </c>
      <c r="J3016">
        <v>73659.3</v>
      </c>
      <c r="K3016">
        <v>19935.936992530042</v>
      </c>
    </row>
    <row r="3017" spans="1:11" x14ac:dyDescent="0.25">
      <c r="A3017" t="s">
        <v>179</v>
      </c>
      <c r="B3017" t="s">
        <v>180</v>
      </c>
      <c r="C3017" s="1">
        <v>42458</v>
      </c>
      <c r="D3017" s="1">
        <v>42461</v>
      </c>
      <c r="E3017">
        <v>1</v>
      </c>
      <c r="F3017" t="s">
        <v>368</v>
      </c>
      <c r="G3017" t="s">
        <v>16</v>
      </c>
      <c r="H3017" t="s">
        <v>2749</v>
      </c>
      <c r="I3017">
        <v>3.6408</v>
      </c>
      <c r="J3017">
        <v>48244.45</v>
      </c>
      <c r="K3017">
        <v>13251.057459898924</v>
      </c>
    </row>
    <row r="3018" spans="1:11" x14ac:dyDescent="0.25">
      <c r="A3018" t="s">
        <v>147</v>
      </c>
      <c r="B3018" t="s">
        <v>148</v>
      </c>
      <c r="C3018" s="1">
        <v>42457</v>
      </c>
      <c r="D3018" s="1">
        <v>42462</v>
      </c>
      <c r="E3018">
        <v>3</v>
      </c>
      <c r="F3018" t="s">
        <v>331</v>
      </c>
      <c r="G3018" t="s">
        <v>16</v>
      </c>
      <c r="H3018" t="s">
        <v>6076</v>
      </c>
      <c r="I3018">
        <v>3.6947999999999999</v>
      </c>
      <c r="J3018">
        <v>97110</v>
      </c>
      <c r="K3018">
        <v>26282.884053264046</v>
      </c>
    </row>
    <row r="3019" spans="1:11" x14ac:dyDescent="0.25">
      <c r="A3019" t="s">
        <v>147</v>
      </c>
      <c r="B3019" t="s">
        <v>148</v>
      </c>
      <c r="C3019" s="1">
        <v>42457</v>
      </c>
      <c r="D3019" s="1">
        <v>42462</v>
      </c>
      <c r="E3019">
        <v>3</v>
      </c>
      <c r="F3019" t="s">
        <v>331</v>
      </c>
      <c r="G3019" t="s">
        <v>16</v>
      </c>
      <c r="H3019" t="s">
        <v>6077</v>
      </c>
      <c r="I3019">
        <v>3.6947999999999999</v>
      </c>
      <c r="J3019">
        <v>66651</v>
      </c>
      <c r="K3019">
        <v>18039.13608314388</v>
      </c>
    </row>
    <row r="3020" spans="1:11" x14ac:dyDescent="0.25">
      <c r="A3020" t="s">
        <v>488</v>
      </c>
      <c r="B3020" t="s">
        <v>1283</v>
      </c>
      <c r="C3020" s="1">
        <v>42430</v>
      </c>
      <c r="D3020" s="1">
        <v>42443</v>
      </c>
      <c r="E3020">
        <v>530</v>
      </c>
      <c r="F3020" t="s">
        <v>409</v>
      </c>
      <c r="G3020" t="s">
        <v>16</v>
      </c>
      <c r="H3020" t="s">
        <v>2750</v>
      </c>
      <c r="I3020">
        <v>3.9796</v>
      </c>
      <c r="J3020">
        <v>67704</v>
      </c>
      <c r="K3020">
        <v>17012.765102020305</v>
      </c>
    </row>
    <row r="3021" spans="1:11" x14ac:dyDescent="0.25">
      <c r="A3021" t="s">
        <v>147</v>
      </c>
      <c r="B3021" t="s">
        <v>148</v>
      </c>
      <c r="C3021" s="1">
        <v>42458</v>
      </c>
      <c r="D3021" s="1">
        <v>42464</v>
      </c>
      <c r="E3021">
        <v>3</v>
      </c>
      <c r="F3021" t="s">
        <v>331</v>
      </c>
      <c r="G3021" t="s">
        <v>16</v>
      </c>
      <c r="H3021" t="s">
        <v>6078</v>
      </c>
      <c r="I3021">
        <v>3.6408</v>
      </c>
      <c r="J3021">
        <v>68289</v>
      </c>
      <c r="K3021">
        <v>18756.59195781147</v>
      </c>
    </row>
    <row r="3022" spans="1:11" x14ac:dyDescent="0.25">
      <c r="A3022" t="s">
        <v>6079</v>
      </c>
      <c r="B3022" t="s">
        <v>6080</v>
      </c>
      <c r="C3022" s="1">
        <v>42437</v>
      </c>
      <c r="D3022" s="1">
        <v>42453</v>
      </c>
      <c r="E3022">
        <v>81</v>
      </c>
      <c r="F3022" t="s">
        <v>368</v>
      </c>
      <c r="G3022" t="s">
        <v>16</v>
      </c>
      <c r="H3022" t="s">
        <v>6081</v>
      </c>
      <c r="I3022">
        <v>3.7713999999999999</v>
      </c>
      <c r="J3022">
        <v>51243.55</v>
      </c>
      <c r="K3022">
        <v>13587.407859150448</v>
      </c>
    </row>
    <row r="3023" spans="1:11" x14ac:dyDescent="0.25">
      <c r="A3023" t="s">
        <v>2751</v>
      </c>
      <c r="B3023" t="s">
        <v>2752</v>
      </c>
      <c r="C3023" s="1">
        <v>42446</v>
      </c>
      <c r="D3023" s="1">
        <v>42457</v>
      </c>
      <c r="E3023">
        <v>3511</v>
      </c>
      <c r="F3023" t="s">
        <v>311</v>
      </c>
      <c r="G3023" t="s">
        <v>16</v>
      </c>
      <c r="H3023" t="s">
        <v>2753</v>
      </c>
      <c r="I3023">
        <v>3.8079000000000001</v>
      </c>
      <c r="J3023">
        <v>318480.65000000002</v>
      </c>
      <c r="K3023">
        <v>83636.820819874469</v>
      </c>
    </row>
    <row r="3024" spans="1:11" x14ac:dyDescent="0.25">
      <c r="A3024" t="s">
        <v>614</v>
      </c>
      <c r="B3024" t="s">
        <v>6082</v>
      </c>
      <c r="C3024" s="1">
        <v>42419</v>
      </c>
      <c r="D3024" s="1">
        <v>42440</v>
      </c>
      <c r="E3024">
        <v>1441</v>
      </c>
      <c r="F3024" t="s">
        <v>301</v>
      </c>
      <c r="G3024" t="s">
        <v>16</v>
      </c>
      <c r="H3024" t="s">
        <v>6083</v>
      </c>
      <c r="I3024">
        <v>4.0091000000000001</v>
      </c>
      <c r="J3024">
        <v>31574.99</v>
      </c>
      <c r="K3024">
        <v>7875.8299867800752</v>
      </c>
    </row>
    <row r="3025" spans="1:11" x14ac:dyDescent="0.25">
      <c r="A3025" t="s">
        <v>2754</v>
      </c>
      <c r="B3025" t="s">
        <v>2755</v>
      </c>
      <c r="C3025" s="1">
        <v>42480</v>
      </c>
      <c r="D3025" s="1">
        <v>42492</v>
      </c>
      <c r="E3025">
        <v>4217</v>
      </c>
      <c r="F3025" t="s">
        <v>1553</v>
      </c>
      <c r="G3025" t="s">
        <v>16</v>
      </c>
      <c r="H3025" t="s">
        <v>2756</v>
      </c>
      <c r="I3025">
        <v>3.5537999999999998</v>
      </c>
      <c r="J3025">
        <v>32806.68</v>
      </c>
      <c r="K3025">
        <v>9231.4367719061283</v>
      </c>
    </row>
    <row r="3026" spans="1:11" x14ac:dyDescent="0.25">
      <c r="A3026" t="s">
        <v>270</v>
      </c>
      <c r="B3026" t="s">
        <v>271</v>
      </c>
      <c r="C3026" s="1">
        <v>42514</v>
      </c>
      <c r="D3026" s="1">
        <v>42516</v>
      </c>
      <c r="E3026">
        <v>3</v>
      </c>
      <c r="F3026" t="s">
        <v>368</v>
      </c>
      <c r="G3026" t="s">
        <v>16</v>
      </c>
      <c r="H3026" t="s">
        <v>4126</v>
      </c>
      <c r="I3026">
        <v>3.5659999999999998</v>
      </c>
      <c r="J3026">
        <v>35179.019999999997</v>
      </c>
      <c r="K3026">
        <v>9865.1205832865962</v>
      </c>
    </row>
    <row r="3027" spans="1:11" x14ac:dyDescent="0.25">
      <c r="A3027" t="s">
        <v>270</v>
      </c>
      <c r="B3027" t="s">
        <v>271</v>
      </c>
      <c r="C3027" s="1">
        <v>42513</v>
      </c>
      <c r="D3027" s="1">
        <v>42516</v>
      </c>
      <c r="E3027">
        <v>3</v>
      </c>
      <c r="F3027" t="s">
        <v>368</v>
      </c>
      <c r="G3027" t="s">
        <v>16</v>
      </c>
      <c r="H3027" t="s">
        <v>6084</v>
      </c>
      <c r="I3027">
        <v>3.5419</v>
      </c>
      <c r="J3027">
        <v>47001.279999999999</v>
      </c>
      <c r="K3027">
        <v>13270.075383268868</v>
      </c>
    </row>
    <row r="3028" spans="1:11" x14ac:dyDescent="0.25">
      <c r="A3028" t="s">
        <v>270</v>
      </c>
      <c r="B3028" t="s">
        <v>271</v>
      </c>
      <c r="C3028" s="1">
        <v>42516</v>
      </c>
      <c r="D3028" s="1">
        <v>42517</v>
      </c>
      <c r="E3028">
        <v>3</v>
      </c>
      <c r="F3028" t="s">
        <v>368</v>
      </c>
      <c r="G3028" t="s">
        <v>16</v>
      </c>
      <c r="H3028" t="s">
        <v>6085</v>
      </c>
      <c r="I3028">
        <v>3.5804</v>
      </c>
      <c r="J3028">
        <v>36155.97</v>
      </c>
      <c r="K3028">
        <v>10098.304658697352</v>
      </c>
    </row>
    <row r="3029" spans="1:11" x14ac:dyDescent="0.25">
      <c r="A3029" t="s">
        <v>270</v>
      </c>
      <c r="B3029" t="s">
        <v>271</v>
      </c>
      <c r="C3029" s="1">
        <v>42520</v>
      </c>
      <c r="D3029" s="1">
        <v>42521</v>
      </c>
      <c r="E3029">
        <v>3</v>
      </c>
      <c r="F3029" t="s">
        <v>368</v>
      </c>
      <c r="G3029" t="s">
        <v>16</v>
      </c>
      <c r="H3029" t="s">
        <v>2757</v>
      </c>
      <c r="I3029">
        <v>3.6168</v>
      </c>
      <c r="J3029">
        <v>47669.45</v>
      </c>
      <c r="K3029">
        <v>13180.007188675072</v>
      </c>
    </row>
    <row r="3030" spans="1:11" x14ac:dyDescent="0.25">
      <c r="A3030" t="s">
        <v>270</v>
      </c>
      <c r="B3030" t="s">
        <v>271</v>
      </c>
      <c r="C3030" s="1">
        <v>42521</v>
      </c>
      <c r="D3030" s="1">
        <v>42522</v>
      </c>
      <c r="E3030">
        <v>3</v>
      </c>
      <c r="F3030" t="s">
        <v>368</v>
      </c>
      <c r="G3030" t="s">
        <v>16</v>
      </c>
      <c r="H3030" t="s">
        <v>6086</v>
      </c>
      <c r="I3030">
        <v>3.5996999999999999</v>
      </c>
      <c r="J3030">
        <v>47749.279999999999</v>
      </c>
      <c r="K3030">
        <v>13264.794288412922</v>
      </c>
    </row>
    <row r="3031" spans="1:11" x14ac:dyDescent="0.25">
      <c r="A3031" t="s">
        <v>90</v>
      </c>
      <c r="B3031" t="s">
        <v>91</v>
      </c>
      <c r="C3031" s="1">
        <v>42535</v>
      </c>
      <c r="D3031" s="1">
        <v>42541</v>
      </c>
      <c r="E3031">
        <v>11</v>
      </c>
      <c r="F3031" t="s">
        <v>331</v>
      </c>
      <c r="G3031" t="s">
        <v>16</v>
      </c>
      <c r="H3031" t="s">
        <v>2758</v>
      </c>
      <c r="I3031">
        <v>3.4533</v>
      </c>
      <c r="J3031">
        <v>503.51</v>
      </c>
      <c r="K3031">
        <v>145.80546144267802</v>
      </c>
    </row>
    <row r="3032" spans="1:11" x14ac:dyDescent="0.25">
      <c r="A3032" t="s">
        <v>270</v>
      </c>
      <c r="B3032" t="s">
        <v>271</v>
      </c>
      <c r="C3032" s="1">
        <v>42521</v>
      </c>
      <c r="D3032" s="1">
        <v>42527</v>
      </c>
      <c r="E3032">
        <v>3</v>
      </c>
      <c r="F3032" t="s">
        <v>368</v>
      </c>
      <c r="G3032" t="s">
        <v>16</v>
      </c>
      <c r="H3032" t="s">
        <v>6087</v>
      </c>
      <c r="I3032">
        <v>3.5996999999999999</v>
      </c>
      <c r="J3032">
        <v>47568.05</v>
      </c>
      <c r="K3032">
        <v>13214.448426257744</v>
      </c>
    </row>
    <row r="3033" spans="1:11" x14ac:dyDescent="0.25">
      <c r="A3033" t="s">
        <v>90</v>
      </c>
      <c r="B3033" t="s">
        <v>91</v>
      </c>
      <c r="C3033" s="1">
        <v>42535</v>
      </c>
      <c r="D3033" s="1">
        <v>42541</v>
      </c>
      <c r="E3033">
        <v>11</v>
      </c>
      <c r="F3033" t="s">
        <v>331</v>
      </c>
      <c r="G3033" t="s">
        <v>16</v>
      </c>
      <c r="H3033" t="s">
        <v>2759</v>
      </c>
      <c r="I3033">
        <v>3.4533</v>
      </c>
      <c r="J3033">
        <v>45549.49</v>
      </c>
      <c r="K3033">
        <v>13190.13407465323</v>
      </c>
    </row>
    <row r="3034" spans="1:11" x14ac:dyDescent="0.25">
      <c r="A3034" t="s">
        <v>90</v>
      </c>
      <c r="B3034" t="s">
        <v>91</v>
      </c>
      <c r="C3034" s="1">
        <v>42535</v>
      </c>
      <c r="D3034" s="1">
        <v>42541</v>
      </c>
      <c r="E3034">
        <v>11</v>
      </c>
      <c r="F3034" t="s">
        <v>331</v>
      </c>
      <c r="G3034" t="s">
        <v>16</v>
      </c>
      <c r="H3034" t="s">
        <v>6088</v>
      </c>
      <c r="I3034">
        <v>3.4533</v>
      </c>
      <c r="J3034">
        <v>44837.2</v>
      </c>
      <c r="K3034">
        <v>12983.870500680508</v>
      </c>
    </row>
    <row r="3035" spans="1:11" x14ac:dyDescent="0.25">
      <c r="A3035" t="s">
        <v>90</v>
      </c>
      <c r="B3035" t="s">
        <v>91</v>
      </c>
      <c r="C3035" s="1">
        <v>42535</v>
      </c>
      <c r="D3035" s="1">
        <v>42542</v>
      </c>
      <c r="E3035">
        <v>11</v>
      </c>
      <c r="F3035" t="s">
        <v>331</v>
      </c>
      <c r="G3035" t="s">
        <v>16</v>
      </c>
      <c r="H3035" t="s">
        <v>6089</v>
      </c>
      <c r="I3035">
        <v>3.4533</v>
      </c>
      <c r="J3035">
        <v>39863.480000000003</v>
      </c>
      <c r="K3035">
        <v>11543.59018909449</v>
      </c>
    </row>
    <row r="3036" spans="1:11" x14ac:dyDescent="0.25">
      <c r="A3036" t="s">
        <v>90</v>
      </c>
      <c r="B3036" t="s">
        <v>91</v>
      </c>
      <c r="C3036" s="1">
        <v>42535</v>
      </c>
      <c r="D3036" s="1">
        <v>42542</v>
      </c>
      <c r="E3036">
        <v>11</v>
      </c>
      <c r="F3036" t="s">
        <v>331</v>
      </c>
      <c r="G3036" t="s">
        <v>16</v>
      </c>
      <c r="H3036" t="s">
        <v>6090</v>
      </c>
      <c r="I3036">
        <v>3.4533</v>
      </c>
      <c r="J3036">
        <v>38598.550000000003</v>
      </c>
      <c r="K3036">
        <v>11177.294182376278</v>
      </c>
    </row>
    <row r="3037" spans="1:11" x14ac:dyDescent="0.25">
      <c r="A3037" t="s">
        <v>90</v>
      </c>
      <c r="B3037" t="s">
        <v>91</v>
      </c>
      <c r="C3037" s="1">
        <v>42536</v>
      </c>
      <c r="D3037" s="1">
        <v>42542</v>
      </c>
      <c r="E3037">
        <v>11</v>
      </c>
      <c r="F3037" t="s">
        <v>331</v>
      </c>
      <c r="G3037" t="s">
        <v>16</v>
      </c>
      <c r="H3037" t="s">
        <v>6091</v>
      </c>
      <c r="I3037">
        <v>3.4839000000000002</v>
      </c>
      <c r="J3037">
        <v>45991.6</v>
      </c>
      <c r="K3037">
        <v>13201.182582737736</v>
      </c>
    </row>
    <row r="3038" spans="1:11" x14ac:dyDescent="0.25">
      <c r="A3038" t="s">
        <v>90</v>
      </c>
      <c r="B3038" t="s">
        <v>91</v>
      </c>
      <c r="C3038" s="1">
        <v>42535</v>
      </c>
      <c r="D3038" s="1">
        <v>42545</v>
      </c>
      <c r="E3038">
        <v>11</v>
      </c>
      <c r="F3038" t="s">
        <v>331</v>
      </c>
      <c r="G3038" t="s">
        <v>16</v>
      </c>
      <c r="H3038" t="s">
        <v>6092</v>
      </c>
      <c r="I3038">
        <v>3.4533</v>
      </c>
      <c r="J3038">
        <v>45181.06</v>
      </c>
      <c r="K3038">
        <v>13083.444820895955</v>
      </c>
    </row>
    <row r="3039" spans="1:11" x14ac:dyDescent="0.25">
      <c r="A3039" t="s">
        <v>90</v>
      </c>
      <c r="B3039" t="s">
        <v>91</v>
      </c>
      <c r="C3039" s="1">
        <v>42538</v>
      </c>
      <c r="D3039" s="1">
        <v>42545</v>
      </c>
      <c r="E3039">
        <v>11</v>
      </c>
      <c r="F3039" t="s">
        <v>331</v>
      </c>
      <c r="G3039" t="s">
        <v>16</v>
      </c>
      <c r="H3039" t="s">
        <v>6093</v>
      </c>
      <c r="I3039">
        <v>3.4904000000000002</v>
      </c>
      <c r="J3039">
        <v>44210.879999999997</v>
      </c>
      <c r="K3039">
        <v>12666.422186568874</v>
      </c>
    </row>
    <row r="3040" spans="1:11" x14ac:dyDescent="0.25">
      <c r="A3040" t="s">
        <v>96</v>
      </c>
      <c r="B3040" t="s">
        <v>97</v>
      </c>
      <c r="C3040" s="1">
        <v>42552</v>
      </c>
      <c r="D3040" s="1">
        <v>42571</v>
      </c>
      <c r="E3040">
        <v>1</v>
      </c>
      <c r="F3040" t="s">
        <v>368</v>
      </c>
      <c r="G3040" t="s">
        <v>16</v>
      </c>
      <c r="H3040" t="s">
        <v>2760</v>
      </c>
      <c r="I3040">
        <v>3.2098</v>
      </c>
      <c r="J3040">
        <v>40023.75</v>
      </c>
      <c r="K3040">
        <v>12469.234843292417</v>
      </c>
    </row>
    <row r="3041" spans="1:11" x14ac:dyDescent="0.25">
      <c r="A3041" t="s">
        <v>35</v>
      </c>
      <c r="B3041" t="s">
        <v>38</v>
      </c>
      <c r="C3041" s="1">
        <v>42537</v>
      </c>
      <c r="D3041" s="1">
        <v>42542</v>
      </c>
      <c r="E3041">
        <v>8</v>
      </c>
      <c r="F3041" t="s">
        <v>331</v>
      </c>
      <c r="G3041" t="s">
        <v>16</v>
      </c>
      <c r="H3041" t="s">
        <v>2761</v>
      </c>
      <c r="I3041">
        <v>3.4767999999999999</v>
      </c>
      <c r="J3041">
        <v>45770.54</v>
      </c>
      <c r="K3041">
        <v>13164.559364933271</v>
      </c>
    </row>
    <row r="3042" spans="1:11" x14ac:dyDescent="0.25">
      <c r="A3042" t="s">
        <v>90</v>
      </c>
      <c r="B3042" t="s">
        <v>91</v>
      </c>
      <c r="C3042" s="1">
        <v>42537</v>
      </c>
      <c r="D3042" s="1">
        <v>42544</v>
      </c>
      <c r="E3042">
        <v>11</v>
      </c>
      <c r="F3042" t="s">
        <v>331</v>
      </c>
      <c r="G3042" t="s">
        <v>16</v>
      </c>
      <c r="H3042" t="s">
        <v>6094</v>
      </c>
      <c r="I3042">
        <v>3.4767999999999999</v>
      </c>
      <c r="J3042">
        <v>45181.06</v>
      </c>
      <c r="K3042">
        <v>12995.012655315233</v>
      </c>
    </row>
    <row r="3043" spans="1:11" x14ac:dyDescent="0.25">
      <c r="A3043" t="s">
        <v>90</v>
      </c>
      <c r="B3043" t="s">
        <v>91</v>
      </c>
      <c r="C3043" s="1">
        <v>42535</v>
      </c>
      <c r="D3043" s="1">
        <v>42544</v>
      </c>
      <c r="E3043">
        <v>11</v>
      </c>
      <c r="F3043" t="s">
        <v>331</v>
      </c>
      <c r="G3043" t="s">
        <v>16</v>
      </c>
      <c r="H3043" t="s">
        <v>6095</v>
      </c>
      <c r="I3043">
        <v>3.4533</v>
      </c>
      <c r="J3043">
        <v>62484.71</v>
      </c>
      <c r="K3043">
        <v>18094.202646743695</v>
      </c>
    </row>
    <row r="3044" spans="1:11" x14ac:dyDescent="0.25">
      <c r="A3044" t="s">
        <v>90</v>
      </c>
      <c r="B3044" t="s">
        <v>91</v>
      </c>
      <c r="C3044" s="1">
        <v>42536</v>
      </c>
      <c r="D3044" s="1">
        <v>42548</v>
      </c>
      <c r="E3044">
        <v>11</v>
      </c>
      <c r="F3044" t="s">
        <v>331</v>
      </c>
      <c r="G3044" t="s">
        <v>16</v>
      </c>
      <c r="H3044" t="s">
        <v>2762</v>
      </c>
      <c r="I3044">
        <v>3.4839000000000002</v>
      </c>
      <c r="J3044">
        <v>29633.57</v>
      </c>
      <c r="K3044">
        <v>8505.8612474525671</v>
      </c>
    </row>
    <row r="3045" spans="1:11" x14ac:dyDescent="0.25">
      <c r="A3045" t="s">
        <v>90</v>
      </c>
      <c r="B3045" t="s">
        <v>91</v>
      </c>
      <c r="C3045" s="1">
        <v>42536</v>
      </c>
      <c r="D3045" s="1">
        <v>42543</v>
      </c>
      <c r="E3045">
        <v>11</v>
      </c>
      <c r="F3045" t="s">
        <v>331</v>
      </c>
      <c r="G3045" t="s">
        <v>16</v>
      </c>
      <c r="H3045" t="s">
        <v>6096</v>
      </c>
      <c r="I3045">
        <v>3.4839000000000002</v>
      </c>
      <c r="J3045">
        <v>42798.59</v>
      </c>
      <c r="K3045">
        <v>12284.678090645541</v>
      </c>
    </row>
    <row r="3046" spans="1:11" x14ac:dyDescent="0.25">
      <c r="A3046" t="s">
        <v>90</v>
      </c>
      <c r="B3046" t="s">
        <v>91</v>
      </c>
      <c r="C3046" s="1">
        <v>42538</v>
      </c>
      <c r="D3046" s="1">
        <v>42543</v>
      </c>
      <c r="E3046">
        <v>11</v>
      </c>
      <c r="F3046" t="s">
        <v>331</v>
      </c>
      <c r="G3046" t="s">
        <v>16</v>
      </c>
      <c r="H3046" t="s">
        <v>6097</v>
      </c>
      <c r="I3046">
        <v>3.4904000000000002</v>
      </c>
      <c r="J3046">
        <v>42859.99</v>
      </c>
      <c r="K3046">
        <v>12279.392046756819</v>
      </c>
    </row>
    <row r="3047" spans="1:11" x14ac:dyDescent="0.25">
      <c r="A3047" t="s">
        <v>90</v>
      </c>
      <c r="B3047" t="s">
        <v>91</v>
      </c>
      <c r="C3047" s="1">
        <v>42536</v>
      </c>
      <c r="D3047" s="1">
        <v>42543</v>
      </c>
      <c r="E3047">
        <v>11</v>
      </c>
      <c r="F3047" t="s">
        <v>331</v>
      </c>
      <c r="G3047" t="s">
        <v>16</v>
      </c>
      <c r="H3047" t="s">
        <v>2763</v>
      </c>
      <c r="I3047">
        <v>3.4839000000000002</v>
      </c>
      <c r="J3047">
        <v>45267.03</v>
      </c>
      <c r="K3047">
        <v>12993.205889950917</v>
      </c>
    </row>
    <row r="3048" spans="1:11" x14ac:dyDescent="0.25">
      <c r="A3048" t="s">
        <v>90</v>
      </c>
      <c r="B3048" t="s">
        <v>91</v>
      </c>
      <c r="C3048" s="1">
        <v>42537</v>
      </c>
      <c r="D3048" s="1">
        <v>42543</v>
      </c>
      <c r="E3048">
        <v>11</v>
      </c>
      <c r="F3048" t="s">
        <v>331</v>
      </c>
      <c r="G3048" t="s">
        <v>16</v>
      </c>
      <c r="H3048" t="s">
        <v>1091</v>
      </c>
      <c r="I3048">
        <v>3.4767999999999999</v>
      </c>
      <c r="J3048">
        <v>60839.08</v>
      </c>
      <c r="K3048">
        <v>17498.584905660377</v>
      </c>
    </row>
    <row r="3049" spans="1:11" x14ac:dyDescent="0.25">
      <c r="A3049" t="s">
        <v>98</v>
      </c>
      <c r="B3049" t="s">
        <v>99</v>
      </c>
      <c r="C3049" s="1">
        <v>42577</v>
      </c>
      <c r="D3049" s="1">
        <v>42597</v>
      </c>
      <c r="E3049">
        <v>4</v>
      </c>
      <c r="F3049" t="s">
        <v>301</v>
      </c>
      <c r="G3049" t="s">
        <v>16</v>
      </c>
      <c r="H3049" t="s">
        <v>6098</v>
      </c>
      <c r="I3049">
        <v>3.2818999999999998</v>
      </c>
      <c r="J3049">
        <v>57734.99</v>
      </c>
      <c r="K3049">
        <v>17591.940644139067</v>
      </c>
    </row>
    <row r="3050" spans="1:11" x14ac:dyDescent="0.25">
      <c r="A3050" t="s">
        <v>179</v>
      </c>
      <c r="B3050" t="s">
        <v>180</v>
      </c>
      <c r="C3050" s="1">
        <v>42594</v>
      </c>
      <c r="D3050" s="1">
        <v>42598</v>
      </c>
      <c r="E3050">
        <v>1</v>
      </c>
      <c r="F3050" t="s">
        <v>368</v>
      </c>
      <c r="G3050" t="s">
        <v>16</v>
      </c>
      <c r="H3050" t="s">
        <v>6099</v>
      </c>
      <c r="I3050">
        <v>3.1364000000000001</v>
      </c>
      <c r="J3050">
        <v>54897.59</v>
      </c>
      <c r="K3050">
        <v>17503.376482591506</v>
      </c>
    </row>
    <row r="3051" spans="1:11" x14ac:dyDescent="0.25">
      <c r="A3051" t="s">
        <v>179</v>
      </c>
      <c r="B3051" t="s">
        <v>180</v>
      </c>
      <c r="C3051" s="1">
        <v>42595</v>
      </c>
      <c r="D3051" s="1">
        <v>42598</v>
      </c>
      <c r="E3051">
        <v>1</v>
      </c>
      <c r="F3051" t="s">
        <v>368</v>
      </c>
      <c r="G3051" t="s">
        <v>16</v>
      </c>
      <c r="H3051" t="s">
        <v>6100</v>
      </c>
      <c r="I3051">
        <v>3.1602000000000001</v>
      </c>
      <c r="J3051">
        <v>41494.07</v>
      </c>
      <c r="K3051">
        <v>13130.203784570596</v>
      </c>
    </row>
    <row r="3052" spans="1:11" x14ac:dyDescent="0.25">
      <c r="A3052" t="s">
        <v>181</v>
      </c>
      <c r="B3052" t="s">
        <v>182</v>
      </c>
      <c r="C3052" s="1">
        <v>42587</v>
      </c>
      <c r="D3052" s="1">
        <v>42592</v>
      </c>
      <c r="E3052">
        <v>1</v>
      </c>
      <c r="F3052" t="s">
        <v>368</v>
      </c>
      <c r="G3052" t="s">
        <v>16</v>
      </c>
      <c r="H3052" t="s">
        <v>6101</v>
      </c>
      <c r="I3052">
        <v>3.2183000000000002</v>
      </c>
      <c r="J3052">
        <v>54433.599999999999</v>
      </c>
      <c r="K3052">
        <v>16913.774352919245</v>
      </c>
    </row>
    <row r="3053" spans="1:11" x14ac:dyDescent="0.25">
      <c r="A3053" t="s">
        <v>160</v>
      </c>
      <c r="B3053" t="s">
        <v>161</v>
      </c>
      <c r="C3053" s="1">
        <v>42573</v>
      </c>
      <c r="D3053" s="1">
        <v>42577</v>
      </c>
      <c r="E3053">
        <v>9</v>
      </c>
      <c r="F3053" t="s">
        <v>368</v>
      </c>
      <c r="G3053" t="s">
        <v>16</v>
      </c>
      <c r="H3053" t="s">
        <v>6102</v>
      </c>
      <c r="I3053">
        <v>3.2585000000000002</v>
      </c>
      <c r="J3053">
        <v>32718.49</v>
      </c>
      <c r="K3053">
        <v>10040.966702470461</v>
      </c>
    </row>
    <row r="3054" spans="1:11" x14ac:dyDescent="0.25">
      <c r="A3054" t="s">
        <v>160</v>
      </c>
      <c r="B3054" t="s">
        <v>161</v>
      </c>
      <c r="C3054" s="1">
        <v>42576</v>
      </c>
      <c r="D3054" s="1">
        <v>42577</v>
      </c>
      <c r="E3054">
        <v>9</v>
      </c>
      <c r="F3054" t="s">
        <v>368</v>
      </c>
      <c r="G3054" t="s">
        <v>16</v>
      </c>
      <c r="H3054" t="s">
        <v>2764</v>
      </c>
      <c r="I3054">
        <v>3.2854000000000001</v>
      </c>
      <c r="J3054">
        <v>43153.7</v>
      </c>
      <c r="K3054">
        <v>13134.991173068729</v>
      </c>
    </row>
    <row r="3055" spans="1:11" x14ac:dyDescent="0.25">
      <c r="A3055" t="s">
        <v>179</v>
      </c>
      <c r="B3055" t="s">
        <v>180</v>
      </c>
      <c r="C3055" s="1">
        <v>42597</v>
      </c>
      <c r="D3055" s="1">
        <v>42599</v>
      </c>
      <c r="E3055">
        <v>1</v>
      </c>
      <c r="F3055" t="s">
        <v>368</v>
      </c>
      <c r="G3055" t="s">
        <v>16</v>
      </c>
      <c r="H3055" t="s">
        <v>6103</v>
      </c>
      <c r="I3055">
        <v>3.1602000000000001</v>
      </c>
      <c r="J3055">
        <v>42312.959999999999</v>
      </c>
      <c r="K3055">
        <v>13389.329789253845</v>
      </c>
    </row>
    <row r="3056" spans="1:11" x14ac:dyDescent="0.25">
      <c r="A3056" t="s">
        <v>96</v>
      </c>
      <c r="B3056" t="s">
        <v>97</v>
      </c>
      <c r="C3056" s="1">
        <v>42552</v>
      </c>
      <c r="D3056" s="1">
        <v>42573</v>
      </c>
      <c r="E3056">
        <v>1</v>
      </c>
      <c r="F3056" t="s">
        <v>368</v>
      </c>
      <c r="G3056" t="s">
        <v>16</v>
      </c>
      <c r="H3056" t="s">
        <v>1806</v>
      </c>
      <c r="I3056">
        <v>3.2098</v>
      </c>
      <c r="J3056">
        <v>57771</v>
      </c>
      <c r="K3056">
        <v>17998.317652190166</v>
      </c>
    </row>
    <row r="3057" spans="1:11" x14ac:dyDescent="0.25">
      <c r="A3057" t="s">
        <v>35</v>
      </c>
      <c r="B3057" t="s">
        <v>38</v>
      </c>
      <c r="C3057" s="1">
        <v>42537</v>
      </c>
      <c r="D3057" s="1">
        <v>42591</v>
      </c>
      <c r="E3057">
        <v>8</v>
      </c>
      <c r="F3057" t="s">
        <v>331</v>
      </c>
      <c r="G3057" t="s">
        <v>16</v>
      </c>
      <c r="H3057" t="s">
        <v>2765</v>
      </c>
      <c r="I3057">
        <v>3.4767999999999999</v>
      </c>
      <c r="J3057">
        <v>38991.54</v>
      </c>
      <c r="K3057">
        <v>11214.777956741831</v>
      </c>
    </row>
    <row r="3058" spans="1:11" x14ac:dyDescent="0.25">
      <c r="A3058" t="s">
        <v>212</v>
      </c>
      <c r="B3058" t="s">
        <v>213</v>
      </c>
      <c r="C3058" s="1">
        <v>42585</v>
      </c>
      <c r="D3058" s="1">
        <v>42590</v>
      </c>
      <c r="E3058">
        <v>1</v>
      </c>
      <c r="F3058" t="s">
        <v>368</v>
      </c>
      <c r="G3058" t="s">
        <v>16</v>
      </c>
      <c r="H3058" t="s">
        <v>2766</v>
      </c>
      <c r="I3058">
        <v>3.2490000000000001</v>
      </c>
      <c r="J3058">
        <v>57014.69</v>
      </c>
      <c r="K3058">
        <v>17548.381040320099</v>
      </c>
    </row>
    <row r="3059" spans="1:11" x14ac:dyDescent="0.25">
      <c r="A3059" t="s">
        <v>179</v>
      </c>
      <c r="B3059" t="s">
        <v>180</v>
      </c>
      <c r="C3059" s="1">
        <v>42595</v>
      </c>
      <c r="D3059" s="1">
        <v>42598</v>
      </c>
      <c r="E3059">
        <v>1</v>
      </c>
      <c r="F3059" t="s">
        <v>368</v>
      </c>
      <c r="G3059" t="s">
        <v>16</v>
      </c>
      <c r="H3059" t="s">
        <v>6104</v>
      </c>
      <c r="I3059">
        <v>3.1602000000000001</v>
      </c>
      <c r="J3059">
        <v>55706.83</v>
      </c>
      <c r="K3059">
        <v>17627.627998227959</v>
      </c>
    </row>
    <row r="3060" spans="1:11" x14ac:dyDescent="0.25">
      <c r="A3060" t="s">
        <v>181</v>
      </c>
      <c r="B3060" t="s">
        <v>182</v>
      </c>
      <c r="C3060" s="1">
        <v>42588</v>
      </c>
      <c r="D3060" s="1">
        <v>42594</v>
      </c>
      <c r="E3060">
        <v>1</v>
      </c>
      <c r="F3060" t="s">
        <v>368</v>
      </c>
      <c r="G3060" t="s">
        <v>16</v>
      </c>
      <c r="H3060" t="s">
        <v>6105</v>
      </c>
      <c r="I3060">
        <v>3.1859000000000002</v>
      </c>
      <c r="J3060">
        <v>54896.65</v>
      </c>
      <c r="K3060">
        <v>17231.127781788506</v>
      </c>
    </row>
    <row r="3061" spans="1:11" x14ac:dyDescent="0.25">
      <c r="A3061" t="s">
        <v>264</v>
      </c>
      <c r="B3061" t="s">
        <v>265</v>
      </c>
      <c r="C3061" s="1">
        <v>42577</v>
      </c>
      <c r="D3061" s="1">
        <v>42598</v>
      </c>
      <c r="E3061">
        <v>8</v>
      </c>
      <c r="F3061" t="s">
        <v>301</v>
      </c>
      <c r="G3061" t="s">
        <v>16</v>
      </c>
      <c r="H3061" t="s">
        <v>2767</v>
      </c>
      <c r="I3061">
        <v>3.2818999999999998</v>
      </c>
      <c r="J3061">
        <v>31515</v>
      </c>
      <c r="K3061">
        <v>9602.6691855327699</v>
      </c>
    </row>
    <row r="3062" spans="1:11" x14ac:dyDescent="0.25">
      <c r="A3062" t="s">
        <v>62</v>
      </c>
      <c r="B3062" t="s">
        <v>63</v>
      </c>
      <c r="C3062" s="1">
        <v>42597</v>
      </c>
      <c r="D3062" s="1">
        <v>42599</v>
      </c>
      <c r="E3062">
        <v>1</v>
      </c>
      <c r="F3062" t="s">
        <v>368</v>
      </c>
      <c r="G3062" t="s">
        <v>16</v>
      </c>
      <c r="H3062" t="s">
        <v>6106</v>
      </c>
      <c r="I3062">
        <v>3.1602000000000001</v>
      </c>
      <c r="J3062">
        <v>41037.620000000003</v>
      </c>
      <c r="K3062">
        <v>12985.766723625087</v>
      </c>
    </row>
    <row r="3063" spans="1:11" x14ac:dyDescent="0.25">
      <c r="A3063" t="s">
        <v>640</v>
      </c>
      <c r="B3063" t="s">
        <v>641</v>
      </c>
      <c r="C3063" s="1">
        <v>40796</v>
      </c>
      <c r="D3063" s="1">
        <v>40800</v>
      </c>
      <c r="E3063">
        <v>115</v>
      </c>
      <c r="F3063" t="s">
        <v>642</v>
      </c>
      <c r="G3063" t="s">
        <v>16</v>
      </c>
      <c r="H3063" t="s">
        <v>6107</v>
      </c>
      <c r="I3063">
        <v>1.6774</v>
      </c>
      <c r="J3063">
        <v>82280.070000000007</v>
      </c>
      <c r="K3063">
        <v>49052.14617860975</v>
      </c>
    </row>
    <row r="3064" spans="1:11" x14ac:dyDescent="0.25">
      <c r="A3064" t="s">
        <v>4070</v>
      </c>
      <c r="B3064" t="s">
        <v>4071</v>
      </c>
      <c r="C3064" s="1">
        <v>40799</v>
      </c>
      <c r="D3064" s="1">
        <v>40814</v>
      </c>
      <c r="E3064">
        <v>226</v>
      </c>
      <c r="F3064" t="s">
        <v>642</v>
      </c>
      <c r="G3064" t="s">
        <v>16</v>
      </c>
      <c r="H3064" t="s">
        <v>6108</v>
      </c>
      <c r="I3064">
        <v>1.6899</v>
      </c>
      <c r="J3064">
        <v>46481.02</v>
      </c>
      <c r="K3064">
        <v>27505.189656192673</v>
      </c>
    </row>
    <row r="3065" spans="1:11" x14ac:dyDescent="0.25">
      <c r="A3065" t="s">
        <v>672</v>
      </c>
      <c r="B3065" t="s">
        <v>673</v>
      </c>
      <c r="C3065" s="1">
        <v>40869</v>
      </c>
      <c r="D3065" s="1">
        <v>40878</v>
      </c>
      <c r="E3065">
        <v>118</v>
      </c>
      <c r="F3065" t="s">
        <v>370</v>
      </c>
      <c r="G3065" t="s">
        <v>16</v>
      </c>
      <c r="H3065" t="s">
        <v>6109</v>
      </c>
      <c r="I3065">
        <v>1.8061</v>
      </c>
      <c r="J3065">
        <v>368476.91</v>
      </c>
      <c r="K3065">
        <v>204018.00011073583</v>
      </c>
    </row>
    <row r="3066" spans="1:11" x14ac:dyDescent="0.25">
      <c r="A3066" t="s">
        <v>6110</v>
      </c>
      <c r="C3066" s="1">
        <v>40821</v>
      </c>
      <c r="D3066" s="1">
        <v>40830</v>
      </c>
      <c r="E3066">
        <v>1457</v>
      </c>
      <c r="F3066" t="s">
        <v>6111</v>
      </c>
      <c r="G3066" t="s">
        <v>16</v>
      </c>
      <c r="H3066" t="s">
        <v>6112</v>
      </c>
      <c r="I3066">
        <v>1.8855999999999999</v>
      </c>
      <c r="J3066">
        <v>231</v>
      </c>
      <c r="K3066">
        <v>122.50742469240561</v>
      </c>
    </row>
    <row r="3067" spans="1:11" x14ac:dyDescent="0.25">
      <c r="A3067" t="s">
        <v>5258</v>
      </c>
      <c r="B3067" t="s">
        <v>5259</v>
      </c>
      <c r="C3067" s="1">
        <v>40844</v>
      </c>
      <c r="D3067" s="1">
        <v>40845</v>
      </c>
      <c r="E3067">
        <v>1530</v>
      </c>
      <c r="F3067" t="s">
        <v>3648</v>
      </c>
      <c r="G3067" t="s">
        <v>16</v>
      </c>
      <c r="H3067" t="s">
        <v>6113</v>
      </c>
      <c r="I3067">
        <v>1.7323</v>
      </c>
      <c r="J3067">
        <v>103920</v>
      </c>
      <c r="K3067">
        <v>59989.609190094096</v>
      </c>
    </row>
    <row r="3068" spans="1:11" x14ac:dyDescent="0.25">
      <c r="A3068" t="s">
        <v>1813</v>
      </c>
      <c r="C3068" s="1">
        <v>40831</v>
      </c>
      <c r="D3068" s="1">
        <v>40835</v>
      </c>
      <c r="E3068">
        <v>1533</v>
      </c>
      <c r="F3068" t="s">
        <v>282</v>
      </c>
      <c r="G3068" t="s">
        <v>16</v>
      </c>
      <c r="H3068" t="s">
        <v>2768</v>
      </c>
      <c r="I3068">
        <v>1.7376</v>
      </c>
      <c r="J3068">
        <v>105</v>
      </c>
      <c r="K3068">
        <v>60.428176795580107</v>
      </c>
    </row>
    <row r="3069" spans="1:11" x14ac:dyDescent="0.25">
      <c r="A3069" t="s">
        <v>709</v>
      </c>
      <c r="B3069" t="s">
        <v>710</v>
      </c>
      <c r="C3069" s="1">
        <v>40879</v>
      </c>
      <c r="D3069" s="1">
        <v>40880</v>
      </c>
      <c r="E3069">
        <v>4</v>
      </c>
      <c r="F3069" t="s">
        <v>278</v>
      </c>
      <c r="G3069" t="s">
        <v>16</v>
      </c>
      <c r="H3069" t="s">
        <v>6114</v>
      </c>
      <c r="I3069">
        <v>1.7928999999999999</v>
      </c>
      <c r="J3069">
        <v>4197.8900000000003</v>
      </c>
      <c r="K3069">
        <v>2341.3966200011155</v>
      </c>
    </row>
    <row r="3070" spans="1:11" x14ac:dyDescent="0.25">
      <c r="A3070" t="s">
        <v>709</v>
      </c>
      <c r="B3070" t="s">
        <v>710</v>
      </c>
      <c r="C3070" s="1">
        <v>40879</v>
      </c>
      <c r="D3070" s="1">
        <v>40880</v>
      </c>
      <c r="E3070">
        <v>4</v>
      </c>
      <c r="F3070" t="s">
        <v>278</v>
      </c>
      <c r="G3070" t="s">
        <v>16</v>
      </c>
      <c r="H3070" t="s">
        <v>2769</v>
      </c>
      <c r="I3070">
        <v>1.7928999999999999</v>
      </c>
      <c r="J3070">
        <v>45195.54</v>
      </c>
      <c r="K3070">
        <v>25208.065145853088</v>
      </c>
    </row>
    <row r="3071" spans="1:11" x14ac:dyDescent="0.25">
      <c r="A3071" t="s">
        <v>654</v>
      </c>
      <c r="B3071" t="s">
        <v>655</v>
      </c>
      <c r="C3071" s="1">
        <v>40841</v>
      </c>
      <c r="D3071" s="1">
        <v>40844</v>
      </c>
      <c r="E3071">
        <v>116</v>
      </c>
      <c r="F3071" t="s">
        <v>301</v>
      </c>
      <c r="G3071" t="s">
        <v>16</v>
      </c>
      <c r="H3071" t="s">
        <v>2770</v>
      </c>
      <c r="I3071">
        <v>1.7767999999999999</v>
      </c>
      <c r="J3071">
        <v>37080</v>
      </c>
      <c r="K3071">
        <v>20868.977937865828</v>
      </c>
    </row>
    <row r="3072" spans="1:11" x14ac:dyDescent="0.25">
      <c r="A3072" t="s">
        <v>654</v>
      </c>
      <c r="B3072" t="s">
        <v>655</v>
      </c>
      <c r="C3072" s="1">
        <v>40841</v>
      </c>
      <c r="D3072" s="1">
        <v>40844</v>
      </c>
      <c r="E3072">
        <v>116</v>
      </c>
      <c r="F3072" t="s">
        <v>301</v>
      </c>
      <c r="G3072" t="s">
        <v>16</v>
      </c>
      <c r="H3072" t="s">
        <v>2771</v>
      </c>
      <c r="I3072">
        <v>1.7767999999999999</v>
      </c>
      <c r="J3072">
        <v>37080</v>
      </c>
      <c r="K3072">
        <v>20868.977937865828</v>
      </c>
    </row>
    <row r="3073" spans="1:11" x14ac:dyDescent="0.25">
      <c r="A3073" t="s">
        <v>654</v>
      </c>
      <c r="B3073" t="s">
        <v>655</v>
      </c>
      <c r="C3073" s="1">
        <v>40841</v>
      </c>
      <c r="D3073" s="1">
        <v>40844</v>
      </c>
      <c r="E3073">
        <v>116</v>
      </c>
      <c r="F3073" t="s">
        <v>301</v>
      </c>
      <c r="G3073" t="s">
        <v>16</v>
      </c>
      <c r="H3073" t="s">
        <v>6115</v>
      </c>
      <c r="I3073">
        <v>1.7767999999999999</v>
      </c>
      <c r="J3073">
        <v>37080</v>
      </c>
      <c r="K3073">
        <v>20868.977937865828</v>
      </c>
    </row>
    <row r="3074" spans="1:11" x14ac:dyDescent="0.25">
      <c r="A3074" t="s">
        <v>654</v>
      </c>
      <c r="B3074" t="s">
        <v>655</v>
      </c>
      <c r="C3074" s="1">
        <v>40845</v>
      </c>
      <c r="D3074" s="1">
        <v>40847</v>
      </c>
      <c r="E3074">
        <v>116</v>
      </c>
      <c r="F3074" t="s">
        <v>301</v>
      </c>
      <c r="G3074" t="s">
        <v>16</v>
      </c>
      <c r="H3074" t="s">
        <v>6116</v>
      </c>
      <c r="I3074">
        <v>1.6986000000000001</v>
      </c>
      <c r="J3074">
        <v>34819.19</v>
      </c>
      <c r="K3074">
        <v>20498.757800541622</v>
      </c>
    </row>
    <row r="3075" spans="1:11" x14ac:dyDescent="0.25">
      <c r="A3075" t="s">
        <v>709</v>
      </c>
      <c r="B3075" t="s">
        <v>710</v>
      </c>
      <c r="C3075" s="1">
        <v>40879</v>
      </c>
      <c r="D3075" s="1">
        <v>40880</v>
      </c>
      <c r="E3075">
        <v>4</v>
      </c>
      <c r="F3075" t="s">
        <v>278</v>
      </c>
      <c r="G3075" t="s">
        <v>16</v>
      </c>
      <c r="H3075" t="s">
        <v>2772</v>
      </c>
      <c r="I3075">
        <v>1.7928999999999999</v>
      </c>
      <c r="J3075">
        <v>10392.65</v>
      </c>
      <c r="K3075">
        <v>5796.5586480004458</v>
      </c>
    </row>
    <row r="3076" spans="1:11" x14ac:dyDescent="0.25">
      <c r="A3076" t="s">
        <v>1326</v>
      </c>
      <c r="B3076" t="s">
        <v>1327</v>
      </c>
      <c r="C3076" s="1">
        <v>40843</v>
      </c>
      <c r="D3076" s="1">
        <v>40845</v>
      </c>
      <c r="E3076">
        <v>1666</v>
      </c>
      <c r="F3076" t="s">
        <v>665</v>
      </c>
      <c r="G3076" t="s">
        <v>16</v>
      </c>
      <c r="H3076" t="s">
        <v>2773</v>
      </c>
      <c r="I3076">
        <v>1.7605999999999999</v>
      </c>
      <c r="J3076">
        <v>84427.199999999997</v>
      </c>
      <c r="K3076">
        <v>47953.652164034989</v>
      </c>
    </row>
    <row r="3077" spans="1:11" x14ac:dyDescent="0.25">
      <c r="A3077" t="s">
        <v>654</v>
      </c>
      <c r="B3077" t="s">
        <v>655</v>
      </c>
      <c r="C3077" s="1">
        <v>40841</v>
      </c>
      <c r="D3077" s="1">
        <v>40844</v>
      </c>
      <c r="E3077">
        <v>116</v>
      </c>
      <c r="F3077" t="s">
        <v>301</v>
      </c>
      <c r="G3077" t="s">
        <v>16</v>
      </c>
      <c r="H3077" t="s">
        <v>2774</v>
      </c>
      <c r="I3077">
        <v>1.7767999999999999</v>
      </c>
      <c r="J3077">
        <v>37080</v>
      </c>
      <c r="K3077">
        <v>20868.977937865828</v>
      </c>
    </row>
    <row r="3078" spans="1:11" x14ac:dyDescent="0.25">
      <c r="A3078" t="s">
        <v>654</v>
      </c>
      <c r="B3078" t="s">
        <v>655</v>
      </c>
      <c r="C3078" s="1">
        <v>40841</v>
      </c>
      <c r="D3078" s="1">
        <v>40844</v>
      </c>
      <c r="E3078">
        <v>116</v>
      </c>
      <c r="F3078" t="s">
        <v>301</v>
      </c>
      <c r="G3078" t="s">
        <v>16</v>
      </c>
      <c r="H3078" t="s">
        <v>2775</v>
      </c>
      <c r="I3078">
        <v>1.7767999999999999</v>
      </c>
      <c r="J3078">
        <v>37080</v>
      </c>
      <c r="K3078">
        <v>20868.977937865828</v>
      </c>
    </row>
    <row r="3079" spans="1:11" x14ac:dyDescent="0.25">
      <c r="A3079" t="s">
        <v>654</v>
      </c>
      <c r="B3079" t="s">
        <v>655</v>
      </c>
      <c r="C3079" s="1">
        <v>40841</v>
      </c>
      <c r="D3079" s="1">
        <v>40845</v>
      </c>
      <c r="E3079">
        <v>116</v>
      </c>
      <c r="F3079" t="s">
        <v>301</v>
      </c>
      <c r="G3079" t="s">
        <v>16</v>
      </c>
      <c r="H3079" t="s">
        <v>6117</v>
      </c>
      <c r="I3079">
        <v>1.7767999999999999</v>
      </c>
      <c r="J3079">
        <v>37080</v>
      </c>
      <c r="K3079">
        <v>20868.977937865828</v>
      </c>
    </row>
    <row r="3080" spans="1:11" x14ac:dyDescent="0.25">
      <c r="A3080" t="s">
        <v>2776</v>
      </c>
      <c r="B3080" t="s">
        <v>2777</v>
      </c>
      <c r="C3080" s="1">
        <v>40846</v>
      </c>
      <c r="D3080" s="1">
        <v>40857</v>
      </c>
      <c r="E3080">
        <v>4</v>
      </c>
      <c r="F3080" t="s">
        <v>331</v>
      </c>
      <c r="G3080" t="s">
        <v>16</v>
      </c>
      <c r="H3080" t="s">
        <v>2778</v>
      </c>
      <c r="I3080">
        <v>1.6986000000000001</v>
      </c>
      <c r="J3080">
        <v>54266.42</v>
      </c>
      <c r="K3080">
        <v>31947.733427528554</v>
      </c>
    </row>
    <row r="3081" spans="1:11" x14ac:dyDescent="0.25">
      <c r="A3081" t="s">
        <v>670</v>
      </c>
      <c r="C3081" s="1">
        <v>40850</v>
      </c>
      <c r="D3081" s="1">
        <v>40871</v>
      </c>
      <c r="E3081">
        <v>352</v>
      </c>
      <c r="F3081" t="s">
        <v>478</v>
      </c>
      <c r="G3081" t="s">
        <v>16</v>
      </c>
      <c r="H3081" t="s">
        <v>2779</v>
      </c>
      <c r="I3081">
        <v>1.7505999999999999</v>
      </c>
      <c r="J3081">
        <v>160.04</v>
      </c>
      <c r="K3081">
        <v>91.420084542442595</v>
      </c>
    </row>
    <row r="3082" spans="1:11" x14ac:dyDescent="0.25">
      <c r="A3082" t="s">
        <v>1332</v>
      </c>
      <c r="B3082" t="s">
        <v>1333</v>
      </c>
      <c r="C3082" s="1">
        <v>40831</v>
      </c>
      <c r="D3082" s="1">
        <v>40836</v>
      </c>
      <c r="E3082">
        <v>142</v>
      </c>
      <c r="F3082" t="s">
        <v>331</v>
      </c>
      <c r="G3082" t="s">
        <v>16</v>
      </c>
      <c r="H3082" t="s">
        <v>6118</v>
      </c>
      <c r="I3082">
        <v>1.7376</v>
      </c>
      <c r="J3082">
        <v>77953.87</v>
      </c>
      <c r="K3082">
        <v>44862.954650092084</v>
      </c>
    </row>
    <row r="3083" spans="1:11" x14ac:dyDescent="0.25">
      <c r="A3083" t="s">
        <v>654</v>
      </c>
      <c r="B3083" t="s">
        <v>655</v>
      </c>
      <c r="C3083" s="1">
        <v>40891</v>
      </c>
      <c r="D3083" s="1">
        <v>40896</v>
      </c>
      <c r="E3083">
        <v>116</v>
      </c>
      <c r="F3083" t="s">
        <v>675</v>
      </c>
      <c r="G3083" t="s">
        <v>16</v>
      </c>
      <c r="H3083" t="s">
        <v>6119</v>
      </c>
      <c r="I3083">
        <v>1.8409</v>
      </c>
      <c r="J3083">
        <v>121506</v>
      </c>
      <c r="K3083">
        <v>66003.585202889895</v>
      </c>
    </row>
    <row r="3084" spans="1:11" x14ac:dyDescent="0.25">
      <c r="A3084" t="s">
        <v>677</v>
      </c>
      <c r="B3084" t="s">
        <v>678</v>
      </c>
      <c r="C3084" s="1">
        <v>40906</v>
      </c>
      <c r="D3084" s="1">
        <v>40911</v>
      </c>
      <c r="E3084">
        <v>2629</v>
      </c>
      <c r="F3084" t="s">
        <v>331</v>
      </c>
      <c r="G3084" t="s">
        <v>16</v>
      </c>
      <c r="H3084" t="s">
        <v>2780</v>
      </c>
      <c r="I3084">
        <v>1.8633999999999999</v>
      </c>
      <c r="J3084">
        <v>76716.850000000006</v>
      </c>
      <c r="K3084">
        <v>41170.360631104435</v>
      </c>
    </row>
    <row r="3085" spans="1:11" x14ac:dyDescent="0.25">
      <c r="A3085" t="s">
        <v>677</v>
      </c>
      <c r="B3085" t="s">
        <v>678</v>
      </c>
      <c r="C3085" s="1">
        <v>40907</v>
      </c>
      <c r="D3085" s="1">
        <v>40910</v>
      </c>
      <c r="E3085">
        <v>2629</v>
      </c>
      <c r="F3085" t="s">
        <v>331</v>
      </c>
      <c r="G3085" t="s">
        <v>16</v>
      </c>
      <c r="H3085" t="s">
        <v>6120</v>
      </c>
      <c r="I3085">
        <v>1.8757999999999999</v>
      </c>
      <c r="J3085">
        <v>58993.69</v>
      </c>
      <c r="K3085">
        <v>31449.88271670754</v>
      </c>
    </row>
    <row r="3086" spans="1:11" x14ac:dyDescent="0.25">
      <c r="A3086" t="s">
        <v>6121</v>
      </c>
      <c r="C3086" s="1">
        <v>40894</v>
      </c>
      <c r="D3086" s="1">
        <v>40907</v>
      </c>
      <c r="E3086">
        <v>3117</v>
      </c>
      <c r="F3086" t="s">
        <v>285</v>
      </c>
      <c r="G3086" t="s">
        <v>16</v>
      </c>
      <c r="H3086" t="s">
        <v>5229</v>
      </c>
      <c r="I3086">
        <v>1.8465</v>
      </c>
      <c r="J3086">
        <v>295</v>
      </c>
      <c r="K3086">
        <v>159.76171134578934</v>
      </c>
    </row>
    <row r="3087" spans="1:11" x14ac:dyDescent="0.25">
      <c r="A3087" t="s">
        <v>677</v>
      </c>
      <c r="B3087" t="s">
        <v>678</v>
      </c>
      <c r="C3087" s="1">
        <v>40910</v>
      </c>
      <c r="D3087" s="1">
        <v>40912</v>
      </c>
      <c r="E3087">
        <v>2629</v>
      </c>
      <c r="F3087" t="s">
        <v>331</v>
      </c>
      <c r="G3087" t="s">
        <v>16</v>
      </c>
      <c r="H3087" t="s">
        <v>6122</v>
      </c>
      <c r="I3087">
        <v>1.8757999999999999</v>
      </c>
      <c r="J3087">
        <v>76779.48</v>
      </c>
      <c r="K3087">
        <v>40931.591854142236</v>
      </c>
    </row>
    <row r="3088" spans="1:11" x14ac:dyDescent="0.25">
      <c r="A3088" t="s">
        <v>677</v>
      </c>
      <c r="B3088" t="s">
        <v>678</v>
      </c>
      <c r="C3088" s="1">
        <v>40899</v>
      </c>
      <c r="D3088" s="1">
        <v>40904</v>
      </c>
      <c r="E3088">
        <v>2629</v>
      </c>
      <c r="F3088" t="s">
        <v>331</v>
      </c>
      <c r="G3088" t="s">
        <v>16</v>
      </c>
      <c r="H3088" t="s">
        <v>6123</v>
      </c>
      <c r="I3088">
        <v>1.8555999999999999</v>
      </c>
      <c r="J3088">
        <v>79315.83</v>
      </c>
      <c r="K3088">
        <v>42744.034274628153</v>
      </c>
    </row>
    <row r="3089" spans="1:11" x14ac:dyDescent="0.25">
      <c r="A3089" t="s">
        <v>6124</v>
      </c>
      <c r="C3089" s="1">
        <v>40880</v>
      </c>
      <c r="D3089" s="1">
        <v>40907</v>
      </c>
      <c r="E3089">
        <v>3138</v>
      </c>
      <c r="F3089" t="s">
        <v>307</v>
      </c>
      <c r="G3089" t="s">
        <v>16</v>
      </c>
      <c r="H3089" t="s">
        <v>6125</v>
      </c>
      <c r="I3089">
        <v>1.7829999999999999</v>
      </c>
      <c r="J3089">
        <v>780</v>
      </c>
      <c r="K3089">
        <v>437.46494671901291</v>
      </c>
    </row>
    <row r="3090" spans="1:11" x14ac:dyDescent="0.25">
      <c r="A3090" t="s">
        <v>1836</v>
      </c>
      <c r="B3090" t="s">
        <v>1837</v>
      </c>
      <c r="C3090" s="1">
        <v>40907</v>
      </c>
      <c r="D3090" s="1">
        <v>40921</v>
      </c>
      <c r="E3090">
        <v>1533</v>
      </c>
      <c r="F3090" t="s">
        <v>331</v>
      </c>
      <c r="G3090" t="s">
        <v>16</v>
      </c>
      <c r="H3090" t="s">
        <v>6126</v>
      </c>
      <c r="I3090">
        <v>1.8757999999999999</v>
      </c>
      <c r="J3090">
        <v>57929.05</v>
      </c>
      <c r="K3090">
        <v>30882.316878131998</v>
      </c>
    </row>
    <row r="3091" spans="1:11" x14ac:dyDescent="0.25">
      <c r="A3091" t="s">
        <v>1836</v>
      </c>
      <c r="B3091" t="s">
        <v>1837</v>
      </c>
      <c r="C3091" s="1">
        <v>40908</v>
      </c>
      <c r="D3091" s="1">
        <v>40921</v>
      </c>
      <c r="E3091">
        <v>1533</v>
      </c>
      <c r="F3091" t="s">
        <v>331</v>
      </c>
      <c r="G3091" t="s">
        <v>16</v>
      </c>
      <c r="H3091" t="s">
        <v>6127</v>
      </c>
      <c r="I3091">
        <v>1.8757999999999999</v>
      </c>
      <c r="J3091">
        <v>57929.05</v>
      </c>
      <c r="K3091">
        <v>30882.316878131998</v>
      </c>
    </row>
    <row r="3092" spans="1:11" x14ac:dyDescent="0.25">
      <c r="A3092" t="s">
        <v>1836</v>
      </c>
      <c r="B3092" t="s">
        <v>1837</v>
      </c>
      <c r="C3092" s="1">
        <v>40907</v>
      </c>
      <c r="D3092" s="1">
        <v>40921</v>
      </c>
      <c r="E3092">
        <v>1533</v>
      </c>
      <c r="F3092" t="s">
        <v>331</v>
      </c>
      <c r="G3092" t="s">
        <v>16</v>
      </c>
      <c r="H3092" t="s">
        <v>6128</v>
      </c>
      <c r="I3092">
        <v>1.8757999999999999</v>
      </c>
      <c r="J3092">
        <v>57929.05</v>
      </c>
      <c r="K3092">
        <v>30882.316878131998</v>
      </c>
    </row>
    <row r="3093" spans="1:11" x14ac:dyDescent="0.25">
      <c r="A3093" t="s">
        <v>681</v>
      </c>
      <c r="B3093" t="s">
        <v>682</v>
      </c>
      <c r="C3093" s="1">
        <v>40899</v>
      </c>
      <c r="D3093" s="1">
        <v>40921</v>
      </c>
      <c r="E3093">
        <v>1534</v>
      </c>
      <c r="F3093" t="s">
        <v>331</v>
      </c>
      <c r="G3093" t="s">
        <v>16</v>
      </c>
      <c r="H3093" t="s">
        <v>2781</v>
      </c>
      <c r="I3093">
        <v>1.8555999999999999</v>
      </c>
      <c r="J3093">
        <v>58278.19</v>
      </c>
      <c r="K3093">
        <v>31406.655529208881</v>
      </c>
    </row>
    <row r="3094" spans="1:11" x14ac:dyDescent="0.25">
      <c r="A3094" t="s">
        <v>681</v>
      </c>
      <c r="B3094" t="s">
        <v>682</v>
      </c>
      <c r="C3094" s="1">
        <v>40899</v>
      </c>
      <c r="D3094" s="1">
        <v>40921</v>
      </c>
      <c r="E3094">
        <v>1534</v>
      </c>
      <c r="F3094" t="s">
        <v>331</v>
      </c>
      <c r="G3094" t="s">
        <v>16</v>
      </c>
      <c r="H3094" t="s">
        <v>2782</v>
      </c>
      <c r="I3094">
        <v>1.8555999999999999</v>
      </c>
      <c r="J3094">
        <v>77070.69</v>
      </c>
      <c r="K3094">
        <v>41534.107566285835</v>
      </c>
    </row>
    <row r="3095" spans="1:11" x14ac:dyDescent="0.25">
      <c r="A3095" t="s">
        <v>1368</v>
      </c>
      <c r="B3095" t="s">
        <v>1369</v>
      </c>
      <c r="C3095" s="1">
        <v>40933</v>
      </c>
      <c r="D3095" s="1">
        <v>40935</v>
      </c>
      <c r="E3095">
        <v>3413</v>
      </c>
      <c r="F3095" t="s">
        <v>689</v>
      </c>
      <c r="G3095" t="s">
        <v>16</v>
      </c>
      <c r="H3095" t="s">
        <v>2783</v>
      </c>
      <c r="I3095">
        <v>1.7648999999999999</v>
      </c>
      <c r="J3095">
        <v>49520.47</v>
      </c>
      <c r="K3095">
        <v>28058.513230211345</v>
      </c>
    </row>
    <row r="3096" spans="1:11" x14ac:dyDescent="0.25">
      <c r="A3096" t="s">
        <v>1368</v>
      </c>
      <c r="B3096" t="s">
        <v>1369</v>
      </c>
      <c r="C3096" s="1">
        <v>40932</v>
      </c>
      <c r="D3096" s="1">
        <v>40935</v>
      </c>
      <c r="E3096">
        <v>3413</v>
      </c>
      <c r="F3096" t="s">
        <v>689</v>
      </c>
      <c r="G3096" t="s">
        <v>16</v>
      </c>
      <c r="H3096" t="s">
        <v>2784</v>
      </c>
      <c r="I3096">
        <v>1.7527999999999999</v>
      </c>
      <c r="J3096">
        <v>50726.28</v>
      </c>
      <c r="K3096">
        <v>28940.141487905064</v>
      </c>
    </row>
    <row r="3097" spans="1:11" x14ac:dyDescent="0.25">
      <c r="A3097" t="s">
        <v>654</v>
      </c>
      <c r="B3097" t="s">
        <v>655</v>
      </c>
      <c r="C3097" s="1">
        <v>40904</v>
      </c>
      <c r="D3097" s="1">
        <v>40911</v>
      </c>
      <c r="E3097">
        <v>116</v>
      </c>
      <c r="F3097" t="s">
        <v>675</v>
      </c>
      <c r="G3097" t="s">
        <v>16</v>
      </c>
      <c r="H3097" t="s">
        <v>2785</v>
      </c>
      <c r="I3097">
        <v>1.8566</v>
      </c>
      <c r="J3097">
        <v>13896.61</v>
      </c>
      <c r="K3097">
        <v>7484.9779166217813</v>
      </c>
    </row>
    <row r="3098" spans="1:11" x14ac:dyDescent="0.25">
      <c r="A3098" t="s">
        <v>654</v>
      </c>
      <c r="B3098" t="s">
        <v>655</v>
      </c>
      <c r="C3098" s="1">
        <v>40904</v>
      </c>
      <c r="D3098" s="1">
        <v>40911</v>
      </c>
      <c r="E3098">
        <v>116</v>
      </c>
      <c r="F3098" t="s">
        <v>675</v>
      </c>
      <c r="G3098" t="s">
        <v>16</v>
      </c>
      <c r="H3098" t="s">
        <v>6129</v>
      </c>
      <c r="I3098">
        <v>1.8566</v>
      </c>
      <c r="J3098">
        <v>15383.21</v>
      </c>
      <c r="K3098">
        <v>8285.6888936766136</v>
      </c>
    </row>
    <row r="3099" spans="1:11" x14ac:dyDescent="0.25">
      <c r="A3099" t="s">
        <v>684</v>
      </c>
      <c r="B3099" t="s">
        <v>685</v>
      </c>
      <c r="C3099" s="1">
        <v>40926</v>
      </c>
      <c r="D3099" s="1">
        <v>40930</v>
      </c>
      <c r="E3099">
        <v>3636</v>
      </c>
      <c r="F3099" t="s">
        <v>309</v>
      </c>
      <c r="G3099" t="s">
        <v>16</v>
      </c>
      <c r="H3099" t="s">
        <v>6130</v>
      </c>
      <c r="I3099">
        <v>1.776</v>
      </c>
      <c r="J3099">
        <v>28208.71</v>
      </c>
      <c r="K3099">
        <v>15883.282657657657</v>
      </c>
    </row>
    <row r="3100" spans="1:11" x14ac:dyDescent="0.25">
      <c r="A3100" t="s">
        <v>684</v>
      </c>
      <c r="B3100" t="s">
        <v>685</v>
      </c>
      <c r="C3100" s="1">
        <v>40926</v>
      </c>
      <c r="D3100" s="1">
        <v>40930</v>
      </c>
      <c r="E3100">
        <v>3636</v>
      </c>
      <c r="F3100" t="s">
        <v>309</v>
      </c>
      <c r="G3100" t="s">
        <v>16</v>
      </c>
      <c r="H3100" t="s">
        <v>2786</v>
      </c>
      <c r="I3100">
        <v>1.776</v>
      </c>
      <c r="J3100">
        <v>28330.6</v>
      </c>
      <c r="K3100">
        <v>15951.914414414414</v>
      </c>
    </row>
    <row r="3101" spans="1:11" x14ac:dyDescent="0.25">
      <c r="A3101" t="s">
        <v>684</v>
      </c>
      <c r="B3101" t="s">
        <v>685</v>
      </c>
      <c r="C3101" s="1">
        <v>40925</v>
      </c>
      <c r="D3101" s="1">
        <v>40931</v>
      </c>
      <c r="E3101">
        <v>3636</v>
      </c>
      <c r="F3101" t="s">
        <v>309</v>
      </c>
      <c r="G3101" t="s">
        <v>16</v>
      </c>
      <c r="H3101" t="s">
        <v>6131</v>
      </c>
      <c r="I3101">
        <v>1.7836000000000001</v>
      </c>
      <c r="J3101">
        <v>28444.87</v>
      </c>
      <c r="K3101">
        <v>15948.009643417807</v>
      </c>
    </row>
    <row r="3102" spans="1:11" x14ac:dyDescent="0.25">
      <c r="A3102" t="s">
        <v>684</v>
      </c>
      <c r="B3102" t="s">
        <v>685</v>
      </c>
      <c r="C3102" s="1">
        <v>40925</v>
      </c>
      <c r="D3102" s="1">
        <v>40931</v>
      </c>
      <c r="E3102">
        <v>3636</v>
      </c>
      <c r="F3102" t="s">
        <v>309</v>
      </c>
      <c r="G3102" t="s">
        <v>16</v>
      </c>
      <c r="H3102" t="s">
        <v>2787</v>
      </c>
      <c r="I3102">
        <v>1.7836000000000001</v>
      </c>
      <c r="J3102">
        <v>28033.5</v>
      </c>
      <c r="K3102">
        <v>15717.369365328548</v>
      </c>
    </row>
    <row r="3103" spans="1:11" x14ac:dyDescent="0.25">
      <c r="A3103" t="s">
        <v>1841</v>
      </c>
      <c r="B3103" t="s">
        <v>286</v>
      </c>
      <c r="C3103" s="1">
        <v>40889</v>
      </c>
      <c r="D3103" s="1">
        <v>40892</v>
      </c>
      <c r="E3103">
        <v>1686</v>
      </c>
      <c r="F3103" t="s">
        <v>311</v>
      </c>
      <c r="G3103" t="s">
        <v>16</v>
      </c>
      <c r="H3103" t="s">
        <v>2788</v>
      </c>
      <c r="I3103">
        <v>1.8129999999999999</v>
      </c>
      <c r="J3103">
        <v>217900.08</v>
      </c>
      <c r="K3103">
        <v>120187.57859900717</v>
      </c>
    </row>
    <row r="3104" spans="1:11" x14ac:dyDescent="0.25">
      <c r="A3104" t="s">
        <v>704</v>
      </c>
      <c r="B3104" t="s">
        <v>705</v>
      </c>
      <c r="C3104" s="1">
        <v>40929</v>
      </c>
      <c r="D3104" s="1">
        <v>40931</v>
      </c>
      <c r="E3104">
        <v>3416</v>
      </c>
      <c r="F3104" t="s">
        <v>689</v>
      </c>
      <c r="G3104" t="s">
        <v>16</v>
      </c>
      <c r="H3104" t="s">
        <v>2789</v>
      </c>
      <c r="I3104">
        <v>1.7669999999999999</v>
      </c>
      <c r="J3104">
        <v>40258.589999999997</v>
      </c>
      <c r="K3104">
        <v>22783.58234295416</v>
      </c>
    </row>
    <row r="3105" spans="1:11" x14ac:dyDescent="0.25">
      <c r="A3105" t="s">
        <v>704</v>
      </c>
      <c r="B3105" t="s">
        <v>705</v>
      </c>
      <c r="C3105" s="1">
        <v>40930</v>
      </c>
      <c r="D3105" s="1">
        <v>40931</v>
      </c>
      <c r="E3105">
        <v>3416</v>
      </c>
      <c r="F3105" t="s">
        <v>689</v>
      </c>
      <c r="G3105" t="s">
        <v>16</v>
      </c>
      <c r="H3105" t="s">
        <v>6132</v>
      </c>
      <c r="I3105">
        <v>1.7669999999999999</v>
      </c>
      <c r="J3105">
        <v>40258.589999999997</v>
      </c>
      <c r="K3105">
        <v>22783.58234295416</v>
      </c>
    </row>
    <row r="3106" spans="1:11" x14ac:dyDescent="0.25">
      <c r="A3106" t="s">
        <v>2790</v>
      </c>
      <c r="C3106" s="1">
        <v>40878</v>
      </c>
      <c r="D3106" s="1">
        <v>40908</v>
      </c>
      <c r="E3106">
        <v>1819</v>
      </c>
      <c r="F3106" t="s">
        <v>478</v>
      </c>
      <c r="G3106" t="s">
        <v>16</v>
      </c>
      <c r="H3106" t="s">
        <v>2791</v>
      </c>
      <c r="I3106">
        <v>1.8109</v>
      </c>
      <c r="J3106">
        <v>219.65</v>
      </c>
      <c r="K3106">
        <v>121.29327958473687</v>
      </c>
    </row>
    <row r="3107" spans="1:11" x14ac:dyDescent="0.25">
      <c r="A3107" t="s">
        <v>704</v>
      </c>
      <c r="B3107" t="s">
        <v>705</v>
      </c>
      <c r="C3107" s="1">
        <v>40931</v>
      </c>
      <c r="D3107" s="1">
        <v>40933</v>
      </c>
      <c r="E3107">
        <v>3416</v>
      </c>
      <c r="F3107" t="s">
        <v>689</v>
      </c>
      <c r="G3107" t="s">
        <v>16</v>
      </c>
      <c r="H3107" t="s">
        <v>6133</v>
      </c>
      <c r="I3107">
        <v>1.7669999999999999</v>
      </c>
      <c r="J3107">
        <v>40258.589999999997</v>
      </c>
      <c r="K3107">
        <v>22783.58234295416</v>
      </c>
    </row>
    <row r="3108" spans="1:11" x14ac:dyDescent="0.25">
      <c r="A3108" t="s">
        <v>684</v>
      </c>
      <c r="B3108" t="s">
        <v>685</v>
      </c>
      <c r="C3108" s="1">
        <v>40926</v>
      </c>
      <c r="D3108" s="1">
        <v>40934</v>
      </c>
      <c r="E3108">
        <v>3636</v>
      </c>
      <c r="F3108" t="s">
        <v>309</v>
      </c>
      <c r="G3108" t="s">
        <v>16</v>
      </c>
      <c r="H3108" t="s">
        <v>6134</v>
      </c>
      <c r="I3108">
        <v>1.776</v>
      </c>
      <c r="J3108">
        <v>25420.6</v>
      </c>
      <c r="K3108">
        <v>14313.400900900901</v>
      </c>
    </row>
    <row r="3109" spans="1:11" x14ac:dyDescent="0.25">
      <c r="A3109" t="s">
        <v>2313</v>
      </c>
      <c r="B3109" t="s">
        <v>2314</v>
      </c>
      <c r="C3109" s="1">
        <v>40927</v>
      </c>
      <c r="D3109" s="1">
        <v>40934</v>
      </c>
      <c r="E3109">
        <v>1747</v>
      </c>
      <c r="F3109" t="s">
        <v>309</v>
      </c>
      <c r="G3109" t="s">
        <v>16</v>
      </c>
      <c r="H3109" t="s">
        <v>1008</v>
      </c>
      <c r="I3109">
        <v>1.7790999999999999</v>
      </c>
      <c r="J3109">
        <v>69673.5</v>
      </c>
      <c r="K3109">
        <v>39162.216851216908</v>
      </c>
    </row>
    <row r="3110" spans="1:11" x14ac:dyDescent="0.25">
      <c r="A3110" t="s">
        <v>654</v>
      </c>
      <c r="B3110" t="s">
        <v>655</v>
      </c>
      <c r="C3110" s="1">
        <v>40939</v>
      </c>
      <c r="D3110" s="1">
        <v>40942</v>
      </c>
      <c r="E3110">
        <v>116</v>
      </c>
      <c r="F3110" t="s">
        <v>675</v>
      </c>
      <c r="G3110" t="s">
        <v>16</v>
      </c>
      <c r="H3110" t="s">
        <v>6135</v>
      </c>
      <c r="I3110">
        <v>1.7508999999999999</v>
      </c>
      <c r="J3110">
        <v>55980.01</v>
      </c>
      <c r="K3110">
        <v>31972.134330915531</v>
      </c>
    </row>
    <row r="3111" spans="1:11" x14ac:dyDescent="0.25">
      <c r="A3111" t="s">
        <v>713</v>
      </c>
      <c r="B3111" t="s">
        <v>714</v>
      </c>
      <c r="C3111" s="1">
        <v>40942</v>
      </c>
      <c r="D3111" s="1">
        <v>40943</v>
      </c>
      <c r="E3111">
        <v>3412</v>
      </c>
      <c r="F3111" t="s">
        <v>689</v>
      </c>
      <c r="G3111" t="s">
        <v>16</v>
      </c>
      <c r="H3111" t="s">
        <v>2792</v>
      </c>
      <c r="I3111">
        <v>1.7325999999999999</v>
      </c>
      <c r="J3111">
        <v>26832.28</v>
      </c>
      <c r="K3111">
        <v>15486.713609604063</v>
      </c>
    </row>
    <row r="3112" spans="1:11" x14ac:dyDescent="0.25">
      <c r="A3112" t="s">
        <v>677</v>
      </c>
      <c r="B3112" t="s">
        <v>678</v>
      </c>
      <c r="C3112" s="1">
        <v>40912</v>
      </c>
      <c r="D3112" s="1">
        <v>40914</v>
      </c>
      <c r="E3112">
        <v>2629</v>
      </c>
      <c r="F3112" t="s">
        <v>331</v>
      </c>
      <c r="G3112" t="s">
        <v>16</v>
      </c>
      <c r="H3112" t="s">
        <v>2793</v>
      </c>
      <c r="I3112">
        <v>1.8456999999999999</v>
      </c>
      <c r="J3112">
        <v>55643.199999999997</v>
      </c>
      <c r="K3112">
        <v>30147.47792165574</v>
      </c>
    </row>
    <row r="3113" spans="1:11" x14ac:dyDescent="0.25">
      <c r="A3113" t="s">
        <v>654</v>
      </c>
      <c r="B3113" t="s">
        <v>655</v>
      </c>
      <c r="C3113" s="1">
        <v>40953</v>
      </c>
      <c r="D3113" s="1">
        <v>40955</v>
      </c>
      <c r="E3113">
        <v>116</v>
      </c>
      <c r="F3113" t="s">
        <v>301</v>
      </c>
      <c r="G3113" t="s">
        <v>16</v>
      </c>
      <c r="H3113" t="s">
        <v>2794</v>
      </c>
      <c r="I3113">
        <v>1.7169000000000001</v>
      </c>
      <c r="J3113">
        <v>76736</v>
      </c>
      <c r="K3113">
        <v>44694.507542664105</v>
      </c>
    </row>
    <row r="3114" spans="1:11" x14ac:dyDescent="0.25">
      <c r="A3114" t="s">
        <v>717</v>
      </c>
      <c r="B3114" t="s">
        <v>718</v>
      </c>
      <c r="C3114" s="1">
        <v>40994</v>
      </c>
      <c r="D3114" s="1">
        <v>41000</v>
      </c>
      <c r="E3114">
        <v>3</v>
      </c>
      <c r="F3114" t="s">
        <v>309</v>
      </c>
      <c r="G3114" t="s">
        <v>16</v>
      </c>
      <c r="H3114" t="s">
        <v>6136</v>
      </c>
      <c r="I3114">
        <v>1.8193999999999999</v>
      </c>
      <c r="J3114">
        <v>57502.85</v>
      </c>
      <c r="K3114">
        <v>31605.391887435417</v>
      </c>
    </row>
    <row r="3115" spans="1:11" x14ac:dyDescent="0.25">
      <c r="A3115" t="s">
        <v>717</v>
      </c>
      <c r="B3115" t="s">
        <v>718</v>
      </c>
      <c r="C3115" s="1">
        <v>40995</v>
      </c>
      <c r="D3115" s="1">
        <v>41001</v>
      </c>
      <c r="E3115">
        <v>3</v>
      </c>
      <c r="F3115" t="s">
        <v>309</v>
      </c>
      <c r="G3115" t="s">
        <v>16</v>
      </c>
      <c r="H3115" t="s">
        <v>6137</v>
      </c>
      <c r="I3115">
        <v>1.8143</v>
      </c>
      <c r="J3115">
        <v>41486.28</v>
      </c>
      <c r="K3115">
        <v>22866.273493909495</v>
      </c>
    </row>
    <row r="3116" spans="1:11" x14ac:dyDescent="0.25">
      <c r="A3116" t="s">
        <v>704</v>
      </c>
      <c r="B3116" t="s">
        <v>705</v>
      </c>
      <c r="C3116" s="1">
        <v>40968</v>
      </c>
      <c r="D3116" s="1">
        <v>40970</v>
      </c>
      <c r="E3116">
        <v>3416</v>
      </c>
      <c r="F3116" t="s">
        <v>689</v>
      </c>
      <c r="G3116" t="s">
        <v>16</v>
      </c>
      <c r="H3116" t="s">
        <v>6138</v>
      </c>
      <c r="I3116">
        <v>1.7023999999999999</v>
      </c>
      <c r="J3116">
        <v>40258.589999999997</v>
      </c>
      <c r="K3116">
        <v>23648.137922932332</v>
      </c>
    </row>
    <row r="3117" spans="1:11" x14ac:dyDescent="0.25">
      <c r="A3117" t="s">
        <v>720</v>
      </c>
      <c r="B3117" t="s">
        <v>721</v>
      </c>
      <c r="C3117" s="1">
        <v>41078</v>
      </c>
      <c r="D3117" s="1">
        <v>41080</v>
      </c>
      <c r="E3117">
        <v>4819</v>
      </c>
      <c r="F3117" t="s">
        <v>689</v>
      </c>
      <c r="G3117" t="s">
        <v>16</v>
      </c>
      <c r="H3117" t="s">
        <v>5766</v>
      </c>
      <c r="I3117">
        <v>2.0442999999999998</v>
      </c>
      <c r="J3117">
        <v>42308.18</v>
      </c>
      <c r="K3117">
        <v>20695.680673091032</v>
      </c>
    </row>
    <row r="3118" spans="1:11" x14ac:dyDescent="0.25">
      <c r="A3118" t="s">
        <v>1851</v>
      </c>
      <c r="B3118" t="s">
        <v>144</v>
      </c>
      <c r="C3118" s="1">
        <v>41004</v>
      </c>
      <c r="D3118" s="1">
        <v>41008</v>
      </c>
      <c r="E3118">
        <v>3513</v>
      </c>
      <c r="F3118" t="s">
        <v>689</v>
      </c>
      <c r="G3118" t="s">
        <v>16</v>
      </c>
      <c r="H3118" t="s">
        <v>2795</v>
      </c>
      <c r="I3118">
        <v>1.8315999999999999</v>
      </c>
      <c r="J3118">
        <v>22128</v>
      </c>
      <c r="K3118">
        <v>12081.240445512121</v>
      </c>
    </row>
    <row r="3119" spans="1:11" x14ac:dyDescent="0.25">
      <c r="A3119" t="s">
        <v>1851</v>
      </c>
      <c r="B3119" t="s">
        <v>144</v>
      </c>
      <c r="C3119" s="1">
        <v>41004</v>
      </c>
      <c r="D3119" s="1">
        <v>41008</v>
      </c>
      <c r="E3119">
        <v>3513</v>
      </c>
      <c r="F3119" t="s">
        <v>689</v>
      </c>
      <c r="G3119" t="s">
        <v>16</v>
      </c>
      <c r="H3119" t="s">
        <v>2796</v>
      </c>
      <c r="I3119">
        <v>1.8315999999999999</v>
      </c>
      <c r="J3119">
        <v>22698</v>
      </c>
      <c r="K3119">
        <v>12392.443765014195</v>
      </c>
    </row>
    <row r="3120" spans="1:11" x14ac:dyDescent="0.25">
      <c r="A3120" t="s">
        <v>2797</v>
      </c>
      <c r="C3120" s="1">
        <v>40999</v>
      </c>
      <c r="D3120" s="1">
        <v>41015</v>
      </c>
      <c r="E3120">
        <v>5209</v>
      </c>
      <c r="F3120" t="s">
        <v>282</v>
      </c>
      <c r="G3120" t="s">
        <v>16</v>
      </c>
      <c r="H3120" t="s">
        <v>2798</v>
      </c>
      <c r="I3120">
        <v>1.8221000000000001</v>
      </c>
      <c r="J3120">
        <v>72.89</v>
      </c>
      <c r="K3120">
        <v>40.003292903792328</v>
      </c>
    </row>
    <row r="3121" spans="1:11" x14ac:dyDescent="0.25">
      <c r="A3121" t="s">
        <v>704</v>
      </c>
      <c r="B3121" t="s">
        <v>705</v>
      </c>
      <c r="C3121" s="1">
        <v>40977</v>
      </c>
      <c r="D3121" s="1">
        <v>40981</v>
      </c>
      <c r="E3121">
        <v>3416</v>
      </c>
      <c r="F3121" t="s">
        <v>689</v>
      </c>
      <c r="G3121" t="s">
        <v>16</v>
      </c>
      <c r="H3121" t="s">
        <v>6139</v>
      </c>
      <c r="I3121">
        <v>1.7697000000000001</v>
      </c>
      <c r="J3121">
        <v>40258.589999999997</v>
      </c>
      <c r="K3121">
        <v>22748.82183420919</v>
      </c>
    </row>
    <row r="3122" spans="1:11" x14ac:dyDescent="0.25">
      <c r="A3122" t="s">
        <v>687</v>
      </c>
      <c r="B3122" t="s">
        <v>688</v>
      </c>
      <c r="C3122" s="1">
        <v>40962</v>
      </c>
      <c r="D3122" s="1">
        <v>40964</v>
      </c>
      <c r="E3122">
        <v>3414</v>
      </c>
      <c r="F3122" t="s">
        <v>689</v>
      </c>
      <c r="G3122" t="s">
        <v>16</v>
      </c>
      <c r="H3122" t="s">
        <v>2799</v>
      </c>
      <c r="I3122">
        <v>1.7076</v>
      </c>
      <c r="J3122">
        <v>46085.760000000002</v>
      </c>
      <c r="K3122">
        <v>26988.615600843288</v>
      </c>
    </row>
    <row r="3123" spans="1:11" x14ac:dyDescent="0.25">
      <c r="A3123" t="s">
        <v>704</v>
      </c>
      <c r="B3123" t="s">
        <v>705</v>
      </c>
      <c r="C3123" s="1">
        <v>40968</v>
      </c>
      <c r="D3123" s="1">
        <v>40969</v>
      </c>
      <c r="E3123">
        <v>3416</v>
      </c>
      <c r="F3123" t="s">
        <v>689</v>
      </c>
      <c r="G3123" t="s">
        <v>16</v>
      </c>
      <c r="H3123" t="s">
        <v>2800</v>
      </c>
      <c r="I3123">
        <v>1.7023999999999999</v>
      </c>
      <c r="J3123">
        <v>40258.589999999997</v>
      </c>
      <c r="K3123">
        <v>23648.137922932332</v>
      </c>
    </row>
    <row r="3124" spans="1:11" x14ac:dyDescent="0.25">
      <c r="A3124" t="s">
        <v>717</v>
      </c>
      <c r="B3124" t="s">
        <v>718</v>
      </c>
      <c r="C3124" s="1">
        <v>40997</v>
      </c>
      <c r="D3124" s="1">
        <v>41002</v>
      </c>
      <c r="E3124">
        <v>3</v>
      </c>
      <c r="F3124" t="s">
        <v>309</v>
      </c>
      <c r="G3124" t="s">
        <v>16</v>
      </c>
      <c r="H3124" t="s">
        <v>6140</v>
      </c>
      <c r="I3124">
        <v>1.8223</v>
      </c>
      <c r="J3124">
        <v>58174.879999999997</v>
      </c>
      <c r="K3124">
        <v>31923.876419908906</v>
      </c>
    </row>
    <row r="3125" spans="1:11" x14ac:dyDescent="0.25">
      <c r="A3125" t="s">
        <v>720</v>
      </c>
      <c r="B3125" t="s">
        <v>721</v>
      </c>
      <c r="C3125" s="1">
        <v>41079</v>
      </c>
      <c r="D3125" s="1">
        <v>41081</v>
      </c>
      <c r="E3125">
        <v>4819</v>
      </c>
      <c r="F3125" t="s">
        <v>689</v>
      </c>
      <c r="G3125" t="s">
        <v>16</v>
      </c>
      <c r="H3125" t="s">
        <v>2801</v>
      </c>
      <c r="I3125">
        <v>2.0634000000000001</v>
      </c>
      <c r="J3125">
        <v>43438.55</v>
      </c>
      <c r="K3125">
        <v>21051.928855287391</v>
      </c>
    </row>
    <row r="3126" spans="1:11" x14ac:dyDescent="0.25">
      <c r="A3126" t="s">
        <v>717</v>
      </c>
      <c r="B3126" t="s">
        <v>718</v>
      </c>
      <c r="C3126" s="1">
        <v>40992</v>
      </c>
      <c r="D3126" s="1">
        <v>41012</v>
      </c>
      <c r="E3126">
        <v>3</v>
      </c>
      <c r="F3126" t="s">
        <v>309</v>
      </c>
      <c r="G3126" t="s">
        <v>16</v>
      </c>
      <c r="H3126" t="s">
        <v>2802</v>
      </c>
      <c r="I3126">
        <v>1.8193999999999999</v>
      </c>
      <c r="J3126">
        <v>56069.2</v>
      </c>
      <c r="K3126">
        <v>30817.412333736396</v>
      </c>
    </row>
    <row r="3127" spans="1:11" x14ac:dyDescent="0.25">
      <c r="A3127" t="s">
        <v>704</v>
      </c>
      <c r="B3127" t="s">
        <v>705</v>
      </c>
      <c r="C3127" s="1">
        <v>40983</v>
      </c>
      <c r="D3127" s="1">
        <v>40987</v>
      </c>
      <c r="E3127">
        <v>3416</v>
      </c>
      <c r="F3127" t="s">
        <v>689</v>
      </c>
      <c r="G3127" t="s">
        <v>16</v>
      </c>
      <c r="H3127" t="s">
        <v>6141</v>
      </c>
      <c r="I3127">
        <v>1.8146</v>
      </c>
      <c r="J3127">
        <v>39170.519999999997</v>
      </c>
      <c r="K3127">
        <v>21586.311032734488</v>
      </c>
    </row>
    <row r="3128" spans="1:11" x14ac:dyDescent="0.25">
      <c r="A3128" t="s">
        <v>727</v>
      </c>
      <c r="B3128" t="s">
        <v>728</v>
      </c>
      <c r="C3128" s="1">
        <v>40970</v>
      </c>
      <c r="D3128" s="1">
        <v>40976</v>
      </c>
      <c r="E3128">
        <v>1715</v>
      </c>
      <c r="F3128" t="s">
        <v>689</v>
      </c>
      <c r="G3128" t="s">
        <v>16</v>
      </c>
      <c r="H3128" t="s">
        <v>6142</v>
      </c>
      <c r="I3128">
        <v>1.7152000000000001</v>
      </c>
      <c r="J3128">
        <v>39170.519999999997</v>
      </c>
      <c r="K3128">
        <v>22837.2901119403</v>
      </c>
    </row>
    <row r="3129" spans="1:11" x14ac:dyDescent="0.25">
      <c r="A3129" t="s">
        <v>727</v>
      </c>
      <c r="B3129" t="s">
        <v>728</v>
      </c>
      <c r="C3129" s="1">
        <v>40969</v>
      </c>
      <c r="D3129" s="1">
        <v>40976</v>
      </c>
      <c r="E3129">
        <v>1715</v>
      </c>
      <c r="F3129" t="s">
        <v>689</v>
      </c>
      <c r="G3129" t="s">
        <v>16</v>
      </c>
      <c r="H3129" t="s">
        <v>6143</v>
      </c>
      <c r="I3129">
        <v>1.7092000000000001</v>
      </c>
      <c r="J3129">
        <v>39170.519999999997</v>
      </c>
      <c r="K3129">
        <v>22917.458460098293</v>
      </c>
    </row>
    <row r="3130" spans="1:11" x14ac:dyDescent="0.25">
      <c r="A3130" t="s">
        <v>687</v>
      </c>
      <c r="B3130" t="s">
        <v>688</v>
      </c>
      <c r="C3130" s="1">
        <v>40962</v>
      </c>
      <c r="D3130" s="1">
        <v>40963</v>
      </c>
      <c r="E3130">
        <v>3414</v>
      </c>
      <c r="F3130" t="s">
        <v>689</v>
      </c>
      <c r="G3130" t="s">
        <v>16</v>
      </c>
      <c r="H3130" t="s">
        <v>6144</v>
      </c>
      <c r="I3130">
        <v>1.7076</v>
      </c>
      <c r="J3130">
        <v>47351.01</v>
      </c>
      <c r="K3130">
        <v>27729.567814476457</v>
      </c>
    </row>
    <row r="3131" spans="1:11" x14ac:dyDescent="0.25">
      <c r="A3131" t="s">
        <v>704</v>
      </c>
      <c r="B3131" t="s">
        <v>705</v>
      </c>
      <c r="C3131" s="1">
        <v>40970</v>
      </c>
      <c r="D3131" s="1">
        <v>40971</v>
      </c>
      <c r="E3131">
        <v>3416</v>
      </c>
      <c r="F3131" t="s">
        <v>689</v>
      </c>
      <c r="G3131" t="s">
        <v>16</v>
      </c>
      <c r="H3131" t="s">
        <v>2803</v>
      </c>
      <c r="I3131">
        <v>1.7152000000000001</v>
      </c>
      <c r="J3131">
        <v>40258.589999999997</v>
      </c>
      <c r="K3131">
        <v>23471.659281716416</v>
      </c>
    </row>
    <row r="3132" spans="1:11" x14ac:dyDescent="0.25">
      <c r="A3132" t="s">
        <v>704</v>
      </c>
      <c r="B3132" t="s">
        <v>705</v>
      </c>
      <c r="C3132" s="1">
        <v>40971</v>
      </c>
      <c r="D3132" s="1">
        <v>40975</v>
      </c>
      <c r="E3132">
        <v>3416</v>
      </c>
      <c r="F3132" t="s">
        <v>689</v>
      </c>
      <c r="G3132" t="s">
        <v>16</v>
      </c>
      <c r="H3132" t="s">
        <v>2638</v>
      </c>
      <c r="I3132">
        <v>1.7244999999999999</v>
      </c>
      <c r="J3132">
        <v>40258.589999999997</v>
      </c>
      <c r="K3132">
        <v>23345.079733256018</v>
      </c>
    </row>
    <row r="3133" spans="1:11" x14ac:dyDescent="0.25">
      <c r="A3133" t="s">
        <v>731</v>
      </c>
      <c r="B3133" t="s">
        <v>732</v>
      </c>
      <c r="C3133" s="1">
        <v>40974</v>
      </c>
      <c r="D3133" s="1">
        <v>40976</v>
      </c>
      <c r="E3133">
        <v>1716</v>
      </c>
      <c r="F3133" t="s">
        <v>689</v>
      </c>
      <c r="G3133" t="s">
        <v>16</v>
      </c>
      <c r="H3133" t="s">
        <v>2804</v>
      </c>
      <c r="I3133">
        <v>1.7314000000000001</v>
      </c>
      <c r="J3133">
        <v>49353.66</v>
      </c>
      <c r="K3133">
        <v>28505.059489430518</v>
      </c>
    </row>
    <row r="3134" spans="1:11" x14ac:dyDescent="0.25">
      <c r="A3134" t="s">
        <v>704</v>
      </c>
      <c r="B3134" t="s">
        <v>705</v>
      </c>
      <c r="C3134" s="1">
        <v>40972</v>
      </c>
      <c r="D3134" s="1">
        <v>40974</v>
      </c>
      <c r="E3134">
        <v>3416</v>
      </c>
      <c r="F3134" t="s">
        <v>689</v>
      </c>
      <c r="G3134" t="s">
        <v>16</v>
      </c>
      <c r="H3134" t="s">
        <v>2805</v>
      </c>
      <c r="I3134">
        <v>1.7244999999999999</v>
      </c>
      <c r="J3134">
        <v>40258.589999999997</v>
      </c>
      <c r="K3134">
        <v>23345.079733256018</v>
      </c>
    </row>
    <row r="3135" spans="1:11" x14ac:dyDescent="0.25">
      <c r="A3135" t="s">
        <v>704</v>
      </c>
      <c r="B3135" t="s">
        <v>705</v>
      </c>
      <c r="C3135" s="1">
        <v>40973</v>
      </c>
      <c r="D3135" s="1">
        <v>40975</v>
      </c>
      <c r="E3135">
        <v>3416</v>
      </c>
      <c r="F3135" t="s">
        <v>689</v>
      </c>
      <c r="G3135" t="s">
        <v>16</v>
      </c>
      <c r="H3135" t="s">
        <v>6145</v>
      </c>
      <c r="I3135">
        <v>1.7244999999999999</v>
      </c>
      <c r="J3135">
        <v>40258.589999999997</v>
      </c>
      <c r="K3135">
        <v>23345.079733256018</v>
      </c>
    </row>
    <row r="3136" spans="1:11" x14ac:dyDescent="0.25">
      <c r="A3136" t="s">
        <v>704</v>
      </c>
      <c r="B3136" t="s">
        <v>705</v>
      </c>
      <c r="C3136" s="1">
        <v>40973</v>
      </c>
      <c r="D3136" s="1">
        <v>40976</v>
      </c>
      <c r="E3136">
        <v>3416</v>
      </c>
      <c r="F3136" t="s">
        <v>689</v>
      </c>
      <c r="G3136" t="s">
        <v>16</v>
      </c>
      <c r="H3136" t="s">
        <v>3078</v>
      </c>
      <c r="I3136">
        <v>1.7244999999999999</v>
      </c>
      <c r="J3136">
        <v>40258.589999999997</v>
      </c>
      <c r="K3136">
        <v>23345.079733256018</v>
      </c>
    </row>
    <row r="3137" spans="1:11" x14ac:dyDescent="0.25">
      <c r="A3137" t="s">
        <v>704</v>
      </c>
      <c r="B3137" t="s">
        <v>705</v>
      </c>
      <c r="C3137" s="1">
        <v>40977</v>
      </c>
      <c r="D3137" s="1">
        <v>40979</v>
      </c>
      <c r="E3137">
        <v>3416</v>
      </c>
      <c r="F3137" t="s">
        <v>689</v>
      </c>
      <c r="G3137" t="s">
        <v>16</v>
      </c>
      <c r="H3137" t="s">
        <v>6146</v>
      </c>
      <c r="I3137">
        <v>1.7697000000000001</v>
      </c>
      <c r="J3137">
        <v>40258.589999999997</v>
      </c>
      <c r="K3137">
        <v>22748.82183420919</v>
      </c>
    </row>
    <row r="3138" spans="1:11" x14ac:dyDescent="0.25">
      <c r="A3138" t="s">
        <v>704</v>
      </c>
      <c r="B3138" t="s">
        <v>705</v>
      </c>
      <c r="C3138" s="1">
        <v>40966</v>
      </c>
      <c r="D3138" s="1">
        <v>40968</v>
      </c>
      <c r="E3138">
        <v>3416</v>
      </c>
      <c r="F3138" t="s">
        <v>689</v>
      </c>
      <c r="G3138" t="s">
        <v>16</v>
      </c>
      <c r="H3138" t="s">
        <v>1688</v>
      </c>
      <c r="I3138">
        <v>1.7098</v>
      </c>
      <c r="J3138">
        <v>40258.589999999997</v>
      </c>
      <c r="K3138">
        <v>23545.788981167389</v>
      </c>
    </row>
    <row r="3139" spans="1:11" x14ac:dyDescent="0.25">
      <c r="A3139" t="s">
        <v>724</v>
      </c>
      <c r="B3139" t="s">
        <v>725</v>
      </c>
      <c r="C3139" s="1">
        <v>40966</v>
      </c>
      <c r="D3139" s="1">
        <v>40968</v>
      </c>
      <c r="E3139">
        <v>4019</v>
      </c>
      <c r="F3139" t="s">
        <v>338</v>
      </c>
      <c r="G3139" t="s">
        <v>16</v>
      </c>
      <c r="H3139" t="s">
        <v>6147</v>
      </c>
      <c r="I3139">
        <v>1.7098</v>
      </c>
      <c r="J3139">
        <v>26702.43</v>
      </c>
      <c r="K3139">
        <v>15617.282723125512</v>
      </c>
    </row>
    <row r="3140" spans="1:11" x14ac:dyDescent="0.25">
      <c r="A3140" t="s">
        <v>654</v>
      </c>
      <c r="B3140" t="s">
        <v>655</v>
      </c>
      <c r="C3140" s="1">
        <v>40974</v>
      </c>
      <c r="D3140" s="1">
        <v>40977</v>
      </c>
      <c r="E3140">
        <v>116</v>
      </c>
      <c r="F3140" t="s">
        <v>675</v>
      </c>
      <c r="G3140" t="s">
        <v>16</v>
      </c>
      <c r="H3140" t="s">
        <v>6148</v>
      </c>
      <c r="I3140">
        <v>1.7314000000000001</v>
      </c>
      <c r="J3140">
        <v>23512.799999999999</v>
      </c>
      <c r="K3140">
        <v>13580.224096107197</v>
      </c>
    </row>
    <row r="3141" spans="1:11" x14ac:dyDescent="0.25">
      <c r="A3141" t="s">
        <v>2806</v>
      </c>
      <c r="B3141" t="s">
        <v>2807</v>
      </c>
      <c r="C3141" s="1">
        <v>40976</v>
      </c>
      <c r="D3141" s="1">
        <v>40977</v>
      </c>
      <c r="E3141">
        <v>4432</v>
      </c>
      <c r="F3141" t="s">
        <v>1881</v>
      </c>
      <c r="G3141" t="s">
        <v>16</v>
      </c>
      <c r="H3141" t="s">
        <v>2808</v>
      </c>
      <c r="I3141">
        <v>1.7692000000000001</v>
      </c>
      <c r="J3141">
        <v>73909.570000000007</v>
      </c>
      <c r="K3141">
        <v>41775.700881754463</v>
      </c>
    </row>
    <row r="3142" spans="1:11" x14ac:dyDescent="0.25">
      <c r="A3142" t="s">
        <v>704</v>
      </c>
      <c r="B3142" t="s">
        <v>705</v>
      </c>
      <c r="C3142" s="1">
        <v>40968</v>
      </c>
      <c r="D3142" s="1">
        <v>40970</v>
      </c>
      <c r="E3142">
        <v>3416</v>
      </c>
      <c r="F3142" t="s">
        <v>689</v>
      </c>
      <c r="G3142" t="s">
        <v>16</v>
      </c>
      <c r="H3142" t="s">
        <v>6149</v>
      </c>
      <c r="I3142">
        <v>1.7023999999999999</v>
      </c>
      <c r="J3142">
        <v>40258.589999999997</v>
      </c>
      <c r="K3142">
        <v>23648.137922932332</v>
      </c>
    </row>
    <row r="3143" spans="1:11" x14ac:dyDescent="0.25">
      <c r="A3143" t="s">
        <v>736</v>
      </c>
      <c r="B3143" t="s">
        <v>737</v>
      </c>
      <c r="C3143" s="1">
        <v>40967</v>
      </c>
      <c r="D3143" s="1">
        <v>40969</v>
      </c>
      <c r="E3143">
        <v>3415</v>
      </c>
      <c r="F3143" t="s">
        <v>689</v>
      </c>
      <c r="G3143" t="s">
        <v>16</v>
      </c>
      <c r="H3143" t="s">
        <v>2809</v>
      </c>
      <c r="I3143">
        <v>1.7088000000000001</v>
      </c>
      <c r="J3143">
        <v>49730.1</v>
      </c>
      <c r="K3143">
        <v>29102.352528089887</v>
      </c>
    </row>
    <row r="3144" spans="1:11" x14ac:dyDescent="0.25">
      <c r="A3144" t="s">
        <v>736</v>
      </c>
      <c r="B3144" t="s">
        <v>737</v>
      </c>
      <c r="C3144" s="1">
        <v>40967</v>
      </c>
      <c r="D3144" s="1">
        <v>40969</v>
      </c>
      <c r="E3144">
        <v>3415</v>
      </c>
      <c r="F3144" t="s">
        <v>689</v>
      </c>
      <c r="G3144" t="s">
        <v>16</v>
      </c>
      <c r="H3144" t="s">
        <v>2810</v>
      </c>
      <c r="I3144">
        <v>1.7088000000000001</v>
      </c>
      <c r="J3144">
        <v>49541.88</v>
      </c>
      <c r="K3144">
        <v>28992.205056179777</v>
      </c>
    </row>
    <row r="3145" spans="1:11" x14ac:dyDescent="0.25">
      <c r="A3145" t="s">
        <v>736</v>
      </c>
      <c r="B3145" t="s">
        <v>737</v>
      </c>
      <c r="C3145" s="1">
        <v>40968</v>
      </c>
      <c r="D3145" s="1">
        <v>40970</v>
      </c>
      <c r="E3145">
        <v>3415</v>
      </c>
      <c r="F3145" t="s">
        <v>689</v>
      </c>
      <c r="G3145" t="s">
        <v>16</v>
      </c>
      <c r="H3145" t="s">
        <v>6150</v>
      </c>
      <c r="I3145">
        <v>1.7023999999999999</v>
      </c>
      <c r="J3145">
        <v>51114.85</v>
      </c>
      <c r="K3145">
        <v>30025.170347744363</v>
      </c>
    </row>
    <row r="3146" spans="1:11" x14ac:dyDescent="0.25">
      <c r="A3146" t="s">
        <v>687</v>
      </c>
      <c r="B3146" t="s">
        <v>688</v>
      </c>
      <c r="C3146" s="1">
        <v>40961</v>
      </c>
      <c r="D3146" s="1">
        <v>40963</v>
      </c>
      <c r="E3146">
        <v>3414</v>
      </c>
      <c r="F3146" t="s">
        <v>689</v>
      </c>
      <c r="G3146" t="s">
        <v>16</v>
      </c>
      <c r="H3146" t="s">
        <v>2811</v>
      </c>
      <c r="I3146">
        <v>1.7136</v>
      </c>
      <c r="J3146">
        <v>45753.47</v>
      </c>
      <c r="K3146">
        <v>26700.204248366012</v>
      </c>
    </row>
    <row r="3147" spans="1:11" x14ac:dyDescent="0.25">
      <c r="A3147" t="s">
        <v>1368</v>
      </c>
      <c r="B3147" t="s">
        <v>1369</v>
      </c>
      <c r="C3147" s="1">
        <v>40948</v>
      </c>
      <c r="D3147" s="1">
        <v>40950</v>
      </c>
      <c r="E3147">
        <v>3413</v>
      </c>
      <c r="F3147" t="s">
        <v>689</v>
      </c>
      <c r="G3147" t="s">
        <v>16</v>
      </c>
      <c r="H3147" t="s">
        <v>2812</v>
      </c>
      <c r="I3147">
        <v>1.7195</v>
      </c>
      <c r="J3147">
        <v>47483.22</v>
      </c>
      <c r="K3147">
        <v>27614.550741494622</v>
      </c>
    </row>
    <row r="3148" spans="1:11" x14ac:dyDescent="0.25">
      <c r="A3148" t="s">
        <v>1851</v>
      </c>
      <c r="B3148" t="s">
        <v>144</v>
      </c>
      <c r="C3148" s="1">
        <v>41002</v>
      </c>
      <c r="D3148" s="1">
        <v>41004</v>
      </c>
      <c r="E3148">
        <v>3513</v>
      </c>
      <c r="F3148" t="s">
        <v>689</v>
      </c>
      <c r="G3148" t="s">
        <v>16</v>
      </c>
      <c r="H3148" t="s">
        <v>347</v>
      </c>
      <c r="I3148">
        <v>1.8313999999999999</v>
      </c>
      <c r="J3148">
        <v>22104</v>
      </c>
      <c r="K3148">
        <v>12069.45506170143</v>
      </c>
    </row>
    <row r="3149" spans="1:11" x14ac:dyDescent="0.25">
      <c r="A3149" t="s">
        <v>704</v>
      </c>
      <c r="B3149" t="s">
        <v>705</v>
      </c>
      <c r="C3149" s="1">
        <v>40965</v>
      </c>
      <c r="D3149" s="1">
        <v>40966</v>
      </c>
      <c r="E3149">
        <v>3416</v>
      </c>
      <c r="F3149" t="s">
        <v>689</v>
      </c>
      <c r="G3149" t="s">
        <v>16</v>
      </c>
      <c r="H3149" t="s">
        <v>2813</v>
      </c>
      <c r="I3149">
        <v>1.7098</v>
      </c>
      <c r="J3149">
        <v>40258.589999999997</v>
      </c>
      <c r="K3149">
        <v>23545.788981167389</v>
      </c>
    </row>
    <row r="3150" spans="1:11" x14ac:dyDescent="0.25">
      <c r="A3150" t="s">
        <v>5290</v>
      </c>
      <c r="B3150" t="s">
        <v>5291</v>
      </c>
      <c r="C3150" s="1">
        <v>40968</v>
      </c>
      <c r="D3150" s="1">
        <v>40976</v>
      </c>
      <c r="E3150">
        <v>4290</v>
      </c>
      <c r="F3150" t="s">
        <v>642</v>
      </c>
      <c r="G3150" t="s">
        <v>16</v>
      </c>
      <c r="H3150" t="s">
        <v>6151</v>
      </c>
      <c r="I3150">
        <v>1.7023999999999999</v>
      </c>
      <c r="J3150">
        <v>105731.04</v>
      </c>
      <c r="K3150">
        <v>62107.04887218045</v>
      </c>
    </row>
    <row r="3151" spans="1:11" x14ac:dyDescent="0.25">
      <c r="A3151" t="s">
        <v>704</v>
      </c>
      <c r="B3151" t="s">
        <v>705</v>
      </c>
      <c r="C3151" s="1">
        <v>40981</v>
      </c>
      <c r="D3151" s="1">
        <v>40983</v>
      </c>
      <c r="E3151">
        <v>3416</v>
      </c>
      <c r="F3151" t="s">
        <v>689</v>
      </c>
      <c r="G3151" t="s">
        <v>16</v>
      </c>
      <c r="H3151" t="s">
        <v>6152</v>
      </c>
      <c r="I3151">
        <v>1.8157000000000001</v>
      </c>
      <c r="J3151">
        <v>41346.660000000003</v>
      </c>
      <c r="K3151">
        <v>22771.74643388225</v>
      </c>
    </row>
    <row r="3152" spans="1:11" x14ac:dyDescent="0.25">
      <c r="A3152" t="s">
        <v>1851</v>
      </c>
      <c r="B3152" t="s">
        <v>144</v>
      </c>
      <c r="C3152" s="1">
        <v>41004</v>
      </c>
      <c r="D3152" s="1">
        <v>41009</v>
      </c>
      <c r="E3152">
        <v>3513</v>
      </c>
      <c r="F3152" t="s">
        <v>689</v>
      </c>
      <c r="G3152" t="s">
        <v>16</v>
      </c>
      <c r="H3152" t="s">
        <v>2814</v>
      </c>
      <c r="I3152">
        <v>1.8315999999999999</v>
      </c>
      <c r="J3152">
        <v>23052</v>
      </c>
      <c r="K3152">
        <v>12585.717405547062</v>
      </c>
    </row>
    <row r="3153" spans="1:11" x14ac:dyDescent="0.25">
      <c r="A3153" t="s">
        <v>1851</v>
      </c>
      <c r="B3153" t="s">
        <v>144</v>
      </c>
      <c r="C3153" s="1">
        <v>41004</v>
      </c>
      <c r="D3153" s="1">
        <v>41009</v>
      </c>
      <c r="E3153">
        <v>3513</v>
      </c>
      <c r="F3153" t="s">
        <v>689</v>
      </c>
      <c r="G3153" t="s">
        <v>16</v>
      </c>
      <c r="H3153" t="s">
        <v>2815</v>
      </c>
      <c r="I3153">
        <v>1.8315999999999999</v>
      </c>
      <c r="J3153">
        <v>22638</v>
      </c>
      <c r="K3153">
        <v>12359.685520856083</v>
      </c>
    </row>
    <row r="3154" spans="1:11" x14ac:dyDescent="0.25">
      <c r="A3154" t="s">
        <v>720</v>
      </c>
      <c r="B3154" t="s">
        <v>721</v>
      </c>
      <c r="C3154" s="1">
        <v>41081</v>
      </c>
      <c r="D3154" s="1">
        <v>41083</v>
      </c>
      <c r="E3154">
        <v>4819</v>
      </c>
      <c r="F3154" t="s">
        <v>689</v>
      </c>
      <c r="G3154" t="s">
        <v>16</v>
      </c>
      <c r="H3154" t="s">
        <v>6153</v>
      </c>
      <c r="I3154">
        <v>2.0293000000000001</v>
      </c>
      <c r="J3154">
        <v>42446.59</v>
      </c>
      <c r="K3154">
        <v>20916.862957670131</v>
      </c>
    </row>
    <row r="3155" spans="1:11" x14ac:dyDescent="0.25">
      <c r="A3155" t="s">
        <v>1851</v>
      </c>
      <c r="B3155" t="s">
        <v>144</v>
      </c>
      <c r="C3155" s="1">
        <v>41019</v>
      </c>
      <c r="D3155" s="1">
        <v>41024</v>
      </c>
      <c r="E3155">
        <v>3513</v>
      </c>
      <c r="F3155" t="s">
        <v>689</v>
      </c>
      <c r="G3155" t="s">
        <v>16</v>
      </c>
      <c r="H3155" t="s">
        <v>6154</v>
      </c>
      <c r="I3155">
        <v>1.8867</v>
      </c>
      <c r="J3155">
        <v>19050</v>
      </c>
      <c r="K3155">
        <v>10096.994752742885</v>
      </c>
    </row>
    <row r="3156" spans="1:11" x14ac:dyDescent="0.25">
      <c r="A3156" t="s">
        <v>720</v>
      </c>
      <c r="B3156" t="s">
        <v>721</v>
      </c>
      <c r="C3156" s="1">
        <v>41077</v>
      </c>
      <c r="D3156" s="1">
        <v>41078</v>
      </c>
      <c r="E3156">
        <v>4819</v>
      </c>
      <c r="F3156" t="s">
        <v>689</v>
      </c>
      <c r="G3156" t="s">
        <v>16</v>
      </c>
      <c r="H3156" t="s">
        <v>2816</v>
      </c>
      <c r="I3156">
        <v>2.0442999999999998</v>
      </c>
      <c r="J3156">
        <v>42723.42</v>
      </c>
      <c r="K3156">
        <v>20898.801545761384</v>
      </c>
    </row>
    <row r="3157" spans="1:11" x14ac:dyDescent="0.25">
      <c r="A3157" t="s">
        <v>720</v>
      </c>
      <c r="B3157" t="s">
        <v>721</v>
      </c>
      <c r="C3157" s="1">
        <v>41081</v>
      </c>
      <c r="D3157" s="1">
        <v>41083</v>
      </c>
      <c r="E3157">
        <v>4819</v>
      </c>
      <c r="F3157" t="s">
        <v>689</v>
      </c>
      <c r="G3157" t="s">
        <v>16</v>
      </c>
      <c r="H3157" t="s">
        <v>772</v>
      </c>
      <c r="I3157">
        <v>2.0293000000000001</v>
      </c>
      <c r="J3157">
        <v>43576.959999999999</v>
      </c>
      <c r="K3157">
        <v>21473.887547430149</v>
      </c>
    </row>
    <row r="3158" spans="1:11" x14ac:dyDescent="0.25">
      <c r="A3158" t="s">
        <v>720</v>
      </c>
      <c r="B3158" t="s">
        <v>721</v>
      </c>
      <c r="C3158" s="1">
        <v>41080</v>
      </c>
      <c r="D3158" s="1">
        <v>41083</v>
      </c>
      <c r="E3158">
        <v>4819</v>
      </c>
      <c r="F3158" t="s">
        <v>689</v>
      </c>
      <c r="G3158" t="s">
        <v>16</v>
      </c>
      <c r="H3158" t="s">
        <v>2817</v>
      </c>
      <c r="I3158">
        <v>2.044</v>
      </c>
      <c r="J3158">
        <v>43184.79</v>
      </c>
      <c r="K3158">
        <v>21127.588062622308</v>
      </c>
    </row>
    <row r="3159" spans="1:11" x14ac:dyDescent="0.25">
      <c r="A3159" t="s">
        <v>720</v>
      </c>
      <c r="B3159" t="s">
        <v>721</v>
      </c>
      <c r="C3159" s="1">
        <v>41079</v>
      </c>
      <c r="D3159" s="1">
        <v>41081</v>
      </c>
      <c r="E3159">
        <v>4819</v>
      </c>
      <c r="F3159" t="s">
        <v>689</v>
      </c>
      <c r="G3159" t="s">
        <v>16</v>
      </c>
      <c r="H3159" t="s">
        <v>6155</v>
      </c>
      <c r="I3159">
        <v>2.0634000000000001</v>
      </c>
      <c r="J3159">
        <v>43576.959999999999</v>
      </c>
      <c r="K3159">
        <v>21119.007463409907</v>
      </c>
    </row>
    <row r="3160" spans="1:11" x14ac:dyDescent="0.25">
      <c r="A3160" t="s">
        <v>720</v>
      </c>
      <c r="B3160" t="s">
        <v>721</v>
      </c>
      <c r="C3160" s="1">
        <v>41082</v>
      </c>
      <c r="D3160" s="1">
        <v>41084</v>
      </c>
      <c r="E3160">
        <v>4819</v>
      </c>
      <c r="F3160" t="s">
        <v>689</v>
      </c>
      <c r="G3160" t="s">
        <v>16</v>
      </c>
      <c r="H3160" t="s">
        <v>6156</v>
      </c>
      <c r="I3160">
        <v>2.0363000000000002</v>
      </c>
      <c r="J3160">
        <v>43300.14</v>
      </c>
      <c r="K3160">
        <v>21264.126111083828</v>
      </c>
    </row>
    <row r="3161" spans="1:11" x14ac:dyDescent="0.25">
      <c r="A3161" t="s">
        <v>720</v>
      </c>
      <c r="B3161" t="s">
        <v>721</v>
      </c>
      <c r="C3161" s="1">
        <v>41074</v>
      </c>
      <c r="D3161" s="1">
        <v>41075</v>
      </c>
      <c r="E3161">
        <v>4819</v>
      </c>
      <c r="F3161" t="s">
        <v>689</v>
      </c>
      <c r="G3161" t="s">
        <v>16</v>
      </c>
      <c r="H3161" t="s">
        <v>6157</v>
      </c>
      <c r="I3161">
        <v>2.0604</v>
      </c>
      <c r="J3161">
        <v>43323.21</v>
      </c>
      <c r="K3161">
        <v>21026.601630751309</v>
      </c>
    </row>
    <row r="3162" spans="1:11" x14ac:dyDescent="0.25">
      <c r="A3162" t="s">
        <v>720</v>
      </c>
      <c r="B3162" t="s">
        <v>721</v>
      </c>
      <c r="C3162" s="1">
        <v>41082</v>
      </c>
      <c r="D3162" s="1">
        <v>41086</v>
      </c>
      <c r="E3162">
        <v>4819</v>
      </c>
      <c r="F3162" t="s">
        <v>689</v>
      </c>
      <c r="G3162" t="s">
        <v>16</v>
      </c>
      <c r="H3162" t="s">
        <v>2818</v>
      </c>
      <c r="I3162">
        <v>2.0363000000000002</v>
      </c>
      <c r="J3162">
        <v>43415.48</v>
      </c>
      <c r="K3162">
        <v>21320.768059716152</v>
      </c>
    </row>
    <row r="3163" spans="1:11" x14ac:dyDescent="0.25">
      <c r="A3163" t="s">
        <v>720</v>
      </c>
      <c r="B3163" t="s">
        <v>721</v>
      </c>
      <c r="C3163" s="1">
        <v>41081</v>
      </c>
      <c r="D3163" s="1">
        <v>41086</v>
      </c>
      <c r="E3163">
        <v>4819</v>
      </c>
      <c r="F3163" t="s">
        <v>689</v>
      </c>
      <c r="G3163" t="s">
        <v>16</v>
      </c>
      <c r="H3163" t="s">
        <v>6158</v>
      </c>
      <c r="I3163">
        <v>2.0293000000000001</v>
      </c>
      <c r="J3163">
        <v>42377.39</v>
      </c>
      <c r="K3163">
        <v>20882.762528950869</v>
      </c>
    </row>
    <row r="3164" spans="1:11" x14ac:dyDescent="0.25">
      <c r="A3164" t="s">
        <v>720</v>
      </c>
      <c r="B3164" t="s">
        <v>721</v>
      </c>
      <c r="C3164" s="1">
        <v>41079</v>
      </c>
      <c r="D3164" s="1">
        <v>41081</v>
      </c>
      <c r="E3164">
        <v>4819</v>
      </c>
      <c r="F3164" t="s">
        <v>689</v>
      </c>
      <c r="G3164" t="s">
        <v>16</v>
      </c>
      <c r="H3164" t="s">
        <v>2819</v>
      </c>
      <c r="I3164">
        <v>2.0634000000000001</v>
      </c>
      <c r="J3164">
        <v>15040.86</v>
      </c>
      <c r="K3164">
        <v>7289.3573713288743</v>
      </c>
    </row>
    <row r="3165" spans="1:11" x14ac:dyDescent="0.25">
      <c r="A3165" t="s">
        <v>720</v>
      </c>
      <c r="B3165" t="s">
        <v>721</v>
      </c>
      <c r="C3165" s="1">
        <v>41080</v>
      </c>
      <c r="D3165" s="1">
        <v>41081</v>
      </c>
      <c r="E3165">
        <v>4819</v>
      </c>
      <c r="F3165" t="s">
        <v>689</v>
      </c>
      <c r="G3165" t="s">
        <v>16</v>
      </c>
      <c r="H3165" t="s">
        <v>2820</v>
      </c>
      <c r="I3165">
        <v>2.044</v>
      </c>
      <c r="J3165">
        <v>41523.839999999997</v>
      </c>
      <c r="K3165">
        <v>20314.990215264188</v>
      </c>
    </row>
    <row r="3166" spans="1:11" x14ac:dyDescent="0.25">
      <c r="A3166" t="s">
        <v>751</v>
      </c>
      <c r="B3166" t="s">
        <v>752</v>
      </c>
      <c r="C3166" s="1">
        <v>41108</v>
      </c>
      <c r="D3166" s="1">
        <v>41109</v>
      </c>
      <c r="E3166">
        <v>4250</v>
      </c>
      <c r="F3166" t="s">
        <v>689</v>
      </c>
      <c r="G3166" t="s">
        <v>16</v>
      </c>
      <c r="H3166" t="s">
        <v>2821</v>
      </c>
      <c r="I3166">
        <v>2.0348999999999999</v>
      </c>
      <c r="J3166">
        <v>33547.39</v>
      </c>
      <c r="K3166">
        <v>16486.014054744704</v>
      </c>
    </row>
    <row r="3167" spans="1:11" x14ac:dyDescent="0.25">
      <c r="A3167" t="s">
        <v>751</v>
      </c>
      <c r="B3167" t="s">
        <v>752</v>
      </c>
      <c r="C3167" s="1">
        <v>41110</v>
      </c>
      <c r="D3167" s="1">
        <v>41112</v>
      </c>
      <c r="E3167">
        <v>4250</v>
      </c>
      <c r="F3167" t="s">
        <v>689</v>
      </c>
      <c r="G3167" t="s">
        <v>16</v>
      </c>
      <c r="H3167" t="s">
        <v>6159</v>
      </c>
      <c r="I3167">
        <v>2.0238999999999998</v>
      </c>
      <c r="J3167">
        <v>24446.560000000001</v>
      </c>
      <c r="K3167">
        <v>12078.936706359011</v>
      </c>
    </row>
    <row r="3168" spans="1:11" x14ac:dyDescent="0.25">
      <c r="A3168" t="s">
        <v>751</v>
      </c>
      <c r="B3168" t="s">
        <v>752</v>
      </c>
      <c r="C3168" s="1">
        <v>41110</v>
      </c>
      <c r="D3168" s="1">
        <v>41112</v>
      </c>
      <c r="E3168">
        <v>4250</v>
      </c>
      <c r="F3168" t="s">
        <v>689</v>
      </c>
      <c r="G3168" t="s">
        <v>16</v>
      </c>
      <c r="H3168" t="s">
        <v>2822</v>
      </c>
      <c r="I3168">
        <v>2.0238999999999998</v>
      </c>
      <c r="J3168">
        <v>24597.91</v>
      </c>
      <c r="K3168">
        <v>12153.718069074559</v>
      </c>
    </row>
    <row r="3169" spans="1:11" x14ac:dyDescent="0.25">
      <c r="A3169" t="s">
        <v>751</v>
      </c>
      <c r="B3169" t="s">
        <v>752</v>
      </c>
      <c r="C3169" s="1">
        <v>41109</v>
      </c>
      <c r="D3169" s="1">
        <v>41111</v>
      </c>
      <c r="E3169">
        <v>4250</v>
      </c>
      <c r="F3169" t="s">
        <v>689</v>
      </c>
      <c r="G3169" t="s">
        <v>16</v>
      </c>
      <c r="H3169" t="s">
        <v>2823</v>
      </c>
      <c r="I3169">
        <v>2.0257999999999998</v>
      </c>
      <c r="J3169">
        <v>33692.160000000003</v>
      </c>
      <c r="K3169">
        <v>16631.53322144338</v>
      </c>
    </row>
    <row r="3170" spans="1:11" x14ac:dyDescent="0.25">
      <c r="A3170" t="s">
        <v>751</v>
      </c>
      <c r="B3170" t="s">
        <v>752</v>
      </c>
      <c r="C3170" s="1">
        <v>41115</v>
      </c>
      <c r="D3170" s="1">
        <v>41116</v>
      </c>
      <c r="E3170">
        <v>4250</v>
      </c>
      <c r="F3170" t="s">
        <v>689</v>
      </c>
      <c r="G3170" t="s">
        <v>16</v>
      </c>
      <c r="H3170" t="s">
        <v>6160</v>
      </c>
      <c r="I3170">
        <v>1</v>
      </c>
      <c r="J3170">
        <v>24578.17</v>
      </c>
      <c r="K3170">
        <v>24578.17</v>
      </c>
    </row>
    <row r="3171" spans="1:11" x14ac:dyDescent="0.25">
      <c r="A3171" t="s">
        <v>751</v>
      </c>
      <c r="B3171" t="s">
        <v>752</v>
      </c>
      <c r="C3171" s="1">
        <v>41113</v>
      </c>
      <c r="D3171" s="1">
        <v>41115</v>
      </c>
      <c r="E3171">
        <v>4250</v>
      </c>
      <c r="F3171" t="s">
        <v>689</v>
      </c>
      <c r="G3171" t="s">
        <v>16</v>
      </c>
      <c r="H3171" t="s">
        <v>6161</v>
      </c>
      <c r="I3171">
        <v>2.0226999999999999</v>
      </c>
      <c r="J3171">
        <v>24433.4</v>
      </c>
      <c r="K3171">
        <v>12079.596578830276</v>
      </c>
    </row>
    <row r="3172" spans="1:11" x14ac:dyDescent="0.25">
      <c r="A3172" t="s">
        <v>751</v>
      </c>
      <c r="B3172" t="s">
        <v>752</v>
      </c>
      <c r="C3172" s="1">
        <v>41110</v>
      </c>
      <c r="D3172" s="1">
        <v>41113</v>
      </c>
      <c r="E3172">
        <v>4250</v>
      </c>
      <c r="F3172" t="s">
        <v>689</v>
      </c>
      <c r="G3172" t="s">
        <v>16</v>
      </c>
      <c r="H3172" t="s">
        <v>6162</v>
      </c>
      <c r="I3172">
        <v>2.0238999999999998</v>
      </c>
      <c r="J3172">
        <v>24788.74</v>
      </c>
      <c r="K3172">
        <v>12248.006324423144</v>
      </c>
    </row>
    <row r="3173" spans="1:11" x14ac:dyDescent="0.25">
      <c r="A3173" t="s">
        <v>751</v>
      </c>
      <c r="B3173" t="s">
        <v>752</v>
      </c>
      <c r="C3173" s="1">
        <v>41120</v>
      </c>
      <c r="D3173" s="1">
        <v>41122</v>
      </c>
      <c r="E3173">
        <v>4250</v>
      </c>
      <c r="F3173" t="s">
        <v>689</v>
      </c>
      <c r="G3173" t="s">
        <v>16</v>
      </c>
      <c r="H3173" t="s">
        <v>6163</v>
      </c>
      <c r="I3173">
        <v>2.0173000000000001</v>
      </c>
      <c r="J3173">
        <v>33271.01</v>
      </c>
      <c r="K3173">
        <v>16492.841917414367</v>
      </c>
    </row>
    <row r="3174" spans="1:11" x14ac:dyDescent="0.25">
      <c r="A3174" t="s">
        <v>751</v>
      </c>
      <c r="B3174" t="s">
        <v>752</v>
      </c>
      <c r="C3174" s="1">
        <v>41113</v>
      </c>
      <c r="D3174" s="1">
        <v>41114</v>
      </c>
      <c r="E3174">
        <v>4250</v>
      </c>
      <c r="F3174" t="s">
        <v>689</v>
      </c>
      <c r="G3174" t="s">
        <v>16</v>
      </c>
      <c r="H3174" t="s">
        <v>6164</v>
      </c>
      <c r="I3174">
        <v>2.0226999999999999</v>
      </c>
      <c r="J3174">
        <v>33152.559999999998</v>
      </c>
      <c r="K3174">
        <v>16390.250655065011</v>
      </c>
    </row>
    <row r="3175" spans="1:11" x14ac:dyDescent="0.25">
      <c r="A3175" t="s">
        <v>751</v>
      </c>
      <c r="B3175" t="s">
        <v>752</v>
      </c>
      <c r="C3175" s="1">
        <v>41113</v>
      </c>
      <c r="D3175" s="1">
        <v>41114</v>
      </c>
      <c r="E3175">
        <v>4250</v>
      </c>
      <c r="F3175" t="s">
        <v>689</v>
      </c>
      <c r="G3175" t="s">
        <v>16</v>
      </c>
      <c r="H3175" t="s">
        <v>2824</v>
      </c>
      <c r="I3175">
        <v>2.0226999999999999</v>
      </c>
      <c r="J3175">
        <v>24657.13</v>
      </c>
      <c r="K3175">
        <v>12190.206160083057</v>
      </c>
    </row>
    <row r="3176" spans="1:11" x14ac:dyDescent="0.25">
      <c r="A3176" t="s">
        <v>751</v>
      </c>
      <c r="B3176" t="s">
        <v>752</v>
      </c>
      <c r="C3176" s="1">
        <v>41113</v>
      </c>
      <c r="D3176" s="1">
        <v>41114</v>
      </c>
      <c r="E3176">
        <v>4250</v>
      </c>
      <c r="F3176" t="s">
        <v>689</v>
      </c>
      <c r="G3176" t="s">
        <v>16</v>
      </c>
      <c r="H3176" t="s">
        <v>2825</v>
      </c>
      <c r="I3176">
        <v>2.0226999999999999</v>
      </c>
      <c r="J3176">
        <v>24505.78</v>
      </c>
      <c r="K3176">
        <v>12115.380432095713</v>
      </c>
    </row>
    <row r="3177" spans="1:11" x14ac:dyDescent="0.25">
      <c r="A3177" t="s">
        <v>751</v>
      </c>
      <c r="B3177" t="s">
        <v>752</v>
      </c>
      <c r="C3177" s="1">
        <v>41113</v>
      </c>
      <c r="D3177" s="1">
        <v>41115</v>
      </c>
      <c r="E3177">
        <v>4250</v>
      </c>
      <c r="F3177" t="s">
        <v>689</v>
      </c>
      <c r="G3177" t="s">
        <v>16</v>
      </c>
      <c r="H3177" t="s">
        <v>6165</v>
      </c>
      <c r="I3177">
        <v>2.0226999999999999</v>
      </c>
      <c r="J3177">
        <v>22847.5</v>
      </c>
      <c r="K3177">
        <v>11295.545557917634</v>
      </c>
    </row>
    <row r="3178" spans="1:11" x14ac:dyDescent="0.25">
      <c r="A3178" t="s">
        <v>751</v>
      </c>
      <c r="B3178" t="s">
        <v>752</v>
      </c>
      <c r="C3178" s="1">
        <v>41120</v>
      </c>
      <c r="D3178" s="1">
        <v>41122</v>
      </c>
      <c r="E3178">
        <v>4250</v>
      </c>
      <c r="F3178" t="s">
        <v>689</v>
      </c>
      <c r="G3178" t="s">
        <v>16</v>
      </c>
      <c r="H3178" t="s">
        <v>6166</v>
      </c>
      <c r="I3178">
        <v>2.0173000000000001</v>
      </c>
      <c r="J3178">
        <v>33277.589999999997</v>
      </c>
      <c r="K3178">
        <v>16496.103702969314</v>
      </c>
    </row>
    <row r="3179" spans="1:11" x14ac:dyDescent="0.25">
      <c r="A3179" t="s">
        <v>751</v>
      </c>
      <c r="B3179" t="s">
        <v>752</v>
      </c>
      <c r="C3179" s="1">
        <v>41114</v>
      </c>
      <c r="D3179" s="1">
        <v>41116</v>
      </c>
      <c r="E3179">
        <v>4250</v>
      </c>
      <c r="F3179" t="s">
        <v>689</v>
      </c>
      <c r="G3179" t="s">
        <v>16</v>
      </c>
      <c r="H3179" t="s">
        <v>6167</v>
      </c>
      <c r="I3179">
        <v>2.0411999999999999</v>
      </c>
      <c r="J3179">
        <v>24676.880000000001</v>
      </c>
      <c r="K3179">
        <v>12089.398393102098</v>
      </c>
    </row>
    <row r="3180" spans="1:11" x14ac:dyDescent="0.25">
      <c r="A3180" t="s">
        <v>759</v>
      </c>
      <c r="B3180" t="s">
        <v>760</v>
      </c>
      <c r="C3180" s="1">
        <v>41097</v>
      </c>
      <c r="D3180" s="1">
        <v>41100</v>
      </c>
      <c r="E3180">
        <v>8</v>
      </c>
      <c r="F3180" t="s">
        <v>689</v>
      </c>
      <c r="G3180" t="s">
        <v>16</v>
      </c>
      <c r="H3180" t="s">
        <v>6168</v>
      </c>
      <c r="I3180">
        <v>2.0358999999999998</v>
      </c>
      <c r="J3180">
        <v>44050.3</v>
      </c>
      <c r="K3180">
        <v>21636.769978879121</v>
      </c>
    </row>
    <row r="3181" spans="1:11" x14ac:dyDescent="0.25">
      <c r="A3181" t="s">
        <v>759</v>
      </c>
      <c r="B3181" t="s">
        <v>760</v>
      </c>
      <c r="C3181" s="1">
        <v>41092</v>
      </c>
      <c r="D3181" s="1">
        <v>41100</v>
      </c>
      <c r="E3181">
        <v>8</v>
      </c>
      <c r="F3181" t="s">
        <v>689</v>
      </c>
      <c r="G3181" t="s">
        <v>16</v>
      </c>
      <c r="H3181" t="s">
        <v>6169</v>
      </c>
      <c r="I3181">
        <v>2.0213000000000001</v>
      </c>
      <c r="J3181">
        <v>42560.23</v>
      </c>
      <c r="K3181">
        <v>21055.869984663335</v>
      </c>
    </row>
    <row r="3182" spans="1:11" x14ac:dyDescent="0.25">
      <c r="A3182" t="s">
        <v>2826</v>
      </c>
      <c r="B3182" t="s">
        <v>2827</v>
      </c>
      <c r="C3182" s="1">
        <v>41086</v>
      </c>
      <c r="D3182" s="1">
        <v>41100</v>
      </c>
      <c r="E3182">
        <v>4839</v>
      </c>
      <c r="F3182" t="s">
        <v>309</v>
      </c>
      <c r="G3182" t="s">
        <v>16</v>
      </c>
      <c r="H3182" t="s">
        <v>2828</v>
      </c>
      <c r="I3182">
        <v>2.0718000000000001</v>
      </c>
      <c r="J3182">
        <v>40480</v>
      </c>
      <c r="K3182">
        <v>19538.565498600252</v>
      </c>
    </row>
    <row r="3183" spans="1:11" x14ac:dyDescent="0.25">
      <c r="A3183" t="s">
        <v>751</v>
      </c>
      <c r="B3183" t="s">
        <v>752</v>
      </c>
      <c r="C3183" s="1">
        <v>41113</v>
      </c>
      <c r="D3183" s="1">
        <v>41115</v>
      </c>
      <c r="E3183">
        <v>4250</v>
      </c>
      <c r="F3183" t="s">
        <v>689</v>
      </c>
      <c r="G3183" t="s">
        <v>16</v>
      </c>
      <c r="H3183" t="s">
        <v>2829</v>
      </c>
      <c r="I3183">
        <v>2.0226999999999999</v>
      </c>
      <c r="J3183">
        <v>21222.11</v>
      </c>
      <c r="K3183">
        <v>10491.971127700599</v>
      </c>
    </row>
    <row r="3184" spans="1:11" x14ac:dyDescent="0.25">
      <c r="A3184" t="s">
        <v>751</v>
      </c>
      <c r="B3184" t="s">
        <v>752</v>
      </c>
      <c r="C3184" s="1">
        <v>41104</v>
      </c>
      <c r="D3184" s="1">
        <v>41107</v>
      </c>
      <c r="E3184">
        <v>4250</v>
      </c>
      <c r="F3184" t="s">
        <v>689</v>
      </c>
      <c r="G3184" t="s">
        <v>16</v>
      </c>
      <c r="H3184" t="s">
        <v>2830</v>
      </c>
      <c r="I3184">
        <v>2.0337999999999998</v>
      </c>
      <c r="J3184">
        <v>24216.240000000002</v>
      </c>
      <c r="K3184">
        <v>11906.893499852493</v>
      </c>
    </row>
    <row r="3185" spans="1:11" x14ac:dyDescent="0.25">
      <c r="A3185" t="s">
        <v>751</v>
      </c>
      <c r="B3185" t="s">
        <v>752</v>
      </c>
      <c r="C3185" s="1">
        <v>41106</v>
      </c>
      <c r="D3185" s="1">
        <v>41107</v>
      </c>
      <c r="E3185">
        <v>4250</v>
      </c>
      <c r="F3185" t="s">
        <v>689</v>
      </c>
      <c r="G3185" t="s">
        <v>16</v>
      </c>
      <c r="H3185" t="s">
        <v>6170</v>
      </c>
      <c r="I3185">
        <v>2.0337999999999998</v>
      </c>
      <c r="J3185">
        <v>24512.36</v>
      </c>
      <c r="K3185">
        <v>12052.492870488741</v>
      </c>
    </row>
    <row r="3186" spans="1:11" x14ac:dyDescent="0.25">
      <c r="A3186" t="s">
        <v>751</v>
      </c>
      <c r="B3186" t="s">
        <v>752</v>
      </c>
      <c r="C3186" s="1">
        <v>41108</v>
      </c>
      <c r="D3186" s="1">
        <v>41110</v>
      </c>
      <c r="E3186">
        <v>4250</v>
      </c>
      <c r="F3186" t="s">
        <v>689</v>
      </c>
      <c r="G3186" t="s">
        <v>16</v>
      </c>
      <c r="H3186" t="s">
        <v>2831</v>
      </c>
      <c r="I3186">
        <v>2.0348999999999999</v>
      </c>
      <c r="J3186">
        <v>33271.01</v>
      </c>
      <c r="K3186">
        <v>16350.194112732812</v>
      </c>
    </row>
    <row r="3187" spans="1:11" x14ac:dyDescent="0.25">
      <c r="A3187" t="s">
        <v>751</v>
      </c>
      <c r="B3187" t="s">
        <v>752</v>
      </c>
      <c r="C3187" s="1">
        <v>41129</v>
      </c>
      <c r="D3187" s="1">
        <v>41131</v>
      </c>
      <c r="E3187">
        <v>4250</v>
      </c>
      <c r="F3187" t="s">
        <v>689</v>
      </c>
      <c r="G3187" t="s">
        <v>16</v>
      </c>
      <c r="H3187" t="s">
        <v>6171</v>
      </c>
      <c r="I3187">
        <v>2.0280999999999998</v>
      </c>
      <c r="J3187">
        <v>24459.72</v>
      </c>
      <c r="K3187">
        <v>12060.411222326315</v>
      </c>
    </row>
    <row r="3188" spans="1:11" x14ac:dyDescent="0.25">
      <c r="A3188" t="s">
        <v>799</v>
      </c>
      <c r="B3188" t="s">
        <v>800</v>
      </c>
      <c r="C3188" s="1">
        <v>41164</v>
      </c>
      <c r="D3188" s="1">
        <v>41169</v>
      </c>
      <c r="E3188">
        <v>4856</v>
      </c>
      <c r="F3188" t="s">
        <v>301</v>
      </c>
      <c r="G3188" t="s">
        <v>16</v>
      </c>
      <c r="H3188" t="s">
        <v>2832</v>
      </c>
      <c r="I3188">
        <v>2.0196999999999998</v>
      </c>
      <c r="J3188">
        <v>12180.99</v>
      </c>
      <c r="K3188">
        <v>6031.0887755607264</v>
      </c>
    </row>
    <row r="3189" spans="1:11" x14ac:dyDescent="0.25">
      <c r="A3189" t="s">
        <v>2833</v>
      </c>
      <c r="B3189" t="s">
        <v>2834</v>
      </c>
      <c r="C3189" s="1">
        <v>41158</v>
      </c>
      <c r="D3189" s="1">
        <v>41158</v>
      </c>
      <c r="E3189">
        <v>4867</v>
      </c>
      <c r="F3189" t="s">
        <v>278</v>
      </c>
      <c r="G3189" t="s">
        <v>16</v>
      </c>
      <c r="H3189" t="s">
        <v>2835</v>
      </c>
      <c r="I3189">
        <v>2.0385</v>
      </c>
      <c r="J3189">
        <v>354900</v>
      </c>
      <c r="K3189">
        <v>174098.60191317144</v>
      </c>
    </row>
    <row r="3190" spans="1:11" x14ac:dyDescent="0.25">
      <c r="A3190" t="s">
        <v>751</v>
      </c>
      <c r="B3190" t="s">
        <v>752</v>
      </c>
      <c r="C3190" s="1">
        <v>41127</v>
      </c>
      <c r="D3190" s="1">
        <v>41128</v>
      </c>
      <c r="E3190">
        <v>4250</v>
      </c>
      <c r="F3190" t="s">
        <v>689</v>
      </c>
      <c r="G3190" t="s">
        <v>16</v>
      </c>
      <c r="H3190" t="s">
        <v>6172</v>
      </c>
      <c r="I3190">
        <v>2.0312999999999999</v>
      </c>
      <c r="J3190">
        <v>24808.49</v>
      </c>
      <c r="K3190">
        <v>12213.109831142618</v>
      </c>
    </row>
    <row r="3191" spans="1:11" x14ac:dyDescent="0.25">
      <c r="A3191" t="s">
        <v>1398</v>
      </c>
      <c r="B3191" t="s">
        <v>1399</v>
      </c>
      <c r="C3191" s="1">
        <v>41133</v>
      </c>
      <c r="D3191" s="1">
        <v>41136</v>
      </c>
      <c r="E3191">
        <v>1905</v>
      </c>
      <c r="F3191" t="s">
        <v>689</v>
      </c>
      <c r="G3191" t="s">
        <v>16</v>
      </c>
      <c r="H3191" t="s">
        <v>2836</v>
      </c>
      <c r="I3191">
        <v>2.0175000000000001</v>
      </c>
      <c r="J3191">
        <v>33106.5</v>
      </c>
      <c r="K3191">
        <v>16409.665427509295</v>
      </c>
    </row>
    <row r="3192" spans="1:11" x14ac:dyDescent="0.25">
      <c r="A3192" t="s">
        <v>770</v>
      </c>
      <c r="B3192" t="s">
        <v>771</v>
      </c>
      <c r="C3192" s="1">
        <v>41162</v>
      </c>
      <c r="D3192" s="1">
        <v>41169</v>
      </c>
      <c r="E3192">
        <v>4824</v>
      </c>
      <c r="F3192" t="s">
        <v>331</v>
      </c>
      <c r="G3192" t="s">
        <v>16</v>
      </c>
      <c r="H3192" t="s">
        <v>2837</v>
      </c>
      <c r="I3192">
        <v>2.0381</v>
      </c>
      <c r="J3192">
        <v>42594.54</v>
      </c>
      <c r="K3192">
        <v>20899.141357146364</v>
      </c>
    </row>
    <row r="3193" spans="1:11" x14ac:dyDescent="0.25">
      <c r="A3193" t="s">
        <v>770</v>
      </c>
      <c r="B3193" t="s">
        <v>771</v>
      </c>
      <c r="C3193" s="1">
        <v>41165</v>
      </c>
      <c r="D3193" s="1">
        <v>41169</v>
      </c>
      <c r="E3193">
        <v>4824</v>
      </c>
      <c r="F3193" t="s">
        <v>331</v>
      </c>
      <c r="G3193" t="s">
        <v>16</v>
      </c>
      <c r="H3193" t="s">
        <v>2838</v>
      </c>
      <c r="I3193">
        <v>2.0204</v>
      </c>
      <c r="J3193">
        <v>56922.92</v>
      </c>
      <c r="K3193">
        <v>28174.084339734705</v>
      </c>
    </row>
    <row r="3194" spans="1:11" x14ac:dyDescent="0.25">
      <c r="A3194" t="s">
        <v>751</v>
      </c>
      <c r="B3194" t="s">
        <v>752</v>
      </c>
      <c r="C3194" s="1">
        <v>41129</v>
      </c>
      <c r="D3194" s="1">
        <v>41131</v>
      </c>
      <c r="E3194">
        <v>4250</v>
      </c>
      <c r="F3194" t="s">
        <v>689</v>
      </c>
      <c r="G3194" t="s">
        <v>16</v>
      </c>
      <c r="H3194" t="s">
        <v>2839</v>
      </c>
      <c r="I3194">
        <v>2.0280999999999998</v>
      </c>
      <c r="J3194">
        <v>24505.78</v>
      </c>
      <c r="K3194">
        <v>12083.12213401706</v>
      </c>
    </row>
    <row r="3195" spans="1:11" x14ac:dyDescent="0.25">
      <c r="A3195" t="s">
        <v>751</v>
      </c>
      <c r="B3195" t="s">
        <v>752</v>
      </c>
      <c r="C3195" s="1">
        <v>41129</v>
      </c>
      <c r="D3195" s="1">
        <v>41131</v>
      </c>
      <c r="E3195">
        <v>4250</v>
      </c>
      <c r="F3195" t="s">
        <v>689</v>
      </c>
      <c r="G3195" t="s">
        <v>16</v>
      </c>
      <c r="H3195" t="s">
        <v>2840</v>
      </c>
      <c r="I3195">
        <v>2.0280999999999998</v>
      </c>
      <c r="J3195">
        <v>32310.26</v>
      </c>
      <c r="K3195">
        <v>15931.29530102066</v>
      </c>
    </row>
    <row r="3196" spans="1:11" x14ac:dyDescent="0.25">
      <c r="A3196" t="s">
        <v>1416</v>
      </c>
      <c r="B3196" t="s">
        <v>771</v>
      </c>
      <c r="C3196" s="1">
        <v>41161</v>
      </c>
      <c r="D3196" s="1">
        <v>41164</v>
      </c>
      <c r="E3196">
        <v>4821</v>
      </c>
      <c r="F3196" t="s">
        <v>331</v>
      </c>
      <c r="G3196" t="s">
        <v>16</v>
      </c>
      <c r="H3196" t="s">
        <v>2841</v>
      </c>
      <c r="I3196">
        <v>2.0381</v>
      </c>
      <c r="J3196">
        <v>57150.68</v>
      </c>
      <c r="K3196">
        <v>28041.155978607527</v>
      </c>
    </row>
    <row r="3197" spans="1:11" x14ac:dyDescent="0.25">
      <c r="A3197" t="s">
        <v>1398</v>
      </c>
      <c r="B3197" t="s">
        <v>1399</v>
      </c>
      <c r="C3197" s="1">
        <v>41140</v>
      </c>
      <c r="D3197" s="1">
        <v>41143</v>
      </c>
      <c r="E3197">
        <v>1905</v>
      </c>
      <c r="F3197" t="s">
        <v>689</v>
      </c>
      <c r="G3197" t="s">
        <v>16</v>
      </c>
      <c r="H3197" t="s">
        <v>2842</v>
      </c>
      <c r="I3197">
        <v>2.0182000000000002</v>
      </c>
      <c r="J3197">
        <v>24755.84</v>
      </c>
      <c r="K3197">
        <v>12266.29670002973</v>
      </c>
    </row>
    <row r="3198" spans="1:11" x14ac:dyDescent="0.25">
      <c r="A3198" t="s">
        <v>1398</v>
      </c>
      <c r="B3198" t="s">
        <v>1399</v>
      </c>
      <c r="C3198" s="1">
        <v>41136</v>
      </c>
      <c r="D3198" s="1">
        <v>41139</v>
      </c>
      <c r="E3198">
        <v>1905</v>
      </c>
      <c r="F3198" t="s">
        <v>689</v>
      </c>
      <c r="G3198" t="s">
        <v>16</v>
      </c>
      <c r="H3198" t="s">
        <v>2843</v>
      </c>
      <c r="I3198">
        <v>2.0257999999999998</v>
      </c>
      <c r="J3198">
        <v>32237.87</v>
      </c>
      <c r="K3198">
        <v>15913.648928818244</v>
      </c>
    </row>
    <row r="3199" spans="1:11" x14ac:dyDescent="0.25">
      <c r="A3199" t="s">
        <v>811</v>
      </c>
      <c r="B3199" t="s">
        <v>812</v>
      </c>
      <c r="C3199" s="1">
        <v>41142</v>
      </c>
      <c r="D3199" s="1">
        <v>41146</v>
      </c>
      <c r="E3199">
        <v>5271</v>
      </c>
      <c r="F3199" t="s">
        <v>331</v>
      </c>
      <c r="G3199" t="s">
        <v>16</v>
      </c>
      <c r="H3199" t="s">
        <v>2844</v>
      </c>
      <c r="I3199">
        <v>2.0209000000000001</v>
      </c>
      <c r="J3199">
        <v>64450.91</v>
      </c>
      <c r="K3199">
        <v>31892.181701222227</v>
      </c>
    </row>
    <row r="3200" spans="1:11" x14ac:dyDescent="0.25">
      <c r="A3200" t="s">
        <v>774</v>
      </c>
      <c r="B3200" t="s">
        <v>775</v>
      </c>
      <c r="C3200" s="1">
        <v>41145</v>
      </c>
      <c r="D3200" s="1">
        <v>41149</v>
      </c>
      <c r="E3200">
        <v>4826</v>
      </c>
      <c r="F3200" t="s">
        <v>311</v>
      </c>
      <c r="G3200" t="s">
        <v>16</v>
      </c>
      <c r="H3200" t="s">
        <v>2845</v>
      </c>
      <c r="I3200">
        <v>2.0240999999999998</v>
      </c>
      <c r="J3200">
        <v>24710.58</v>
      </c>
      <c r="K3200">
        <v>12208.18141396176</v>
      </c>
    </row>
    <row r="3201" spans="1:11" x14ac:dyDescent="0.25">
      <c r="A3201" t="s">
        <v>759</v>
      </c>
      <c r="B3201" t="s">
        <v>760</v>
      </c>
      <c r="C3201" s="1">
        <v>41116</v>
      </c>
      <c r="D3201" s="1">
        <v>41128</v>
      </c>
      <c r="E3201">
        <v>8</v>
      </c>
      <c r="F3201" t="s">
        <v>689</v>
      </c>
      <c r="G3201" t="s">
        <v>16</v>
      </c>
      <c r="H3201" t="s">
        <v>2846</v>
      </c>
      <c r="I3201">
        <v>1</v>
      </c>
      <c r="J3201">
        <v>42851.26</v>
      </c>
      <c r="K3201">
        <v>42851.26</v>
      </c>
    </row>
    <row r="3202" spans="1:11" x14ac:dyDescent="0.25">
      <c r="A3202" t="s">
        <v>751</v>
      </c>
      <c r="B3202" t="s">
        <v>752</v>
      </c>
      <c r="C3202" s="1">
        <v>41132</v>
      </c>
      <c r="D3202" s="1">
        <v>41134</v>
      </c>
      <c r="E3202">
        <v>4250</v>
      </c>
      <c r="F3202" t="s">
        <v>689</v>
      </c>
      <c r="G3202" t="s">
        <v>16</v>
      </c>
      <c r="H3202" t="s">
        <v>2847</v>
      </c>
      <c r="I3202">
        <v>2.0175000000000001</v>
      </c>
      <c r="J3202">
        <v>24617.65</v>
      </c>
      <c r="K3202">
        <v>12202.057001239158</v>
      </c>
    </row>
    <row r="3203" spans="1:11" x14ac:dyDescent="0.25">
      <c r="A3203" t="s">
        <v>751</v>
      </c>
      <c r="B3203" t="s">
        <v>752</v>
      </c>
      <c r="C3203" s="1">
        <v>41132</v>
      </c>
      <c r="D3203" s="1">
        <v>41134</v>
      </c>
      <c r="E3203">
        <v>4250</v>
      </c>
      <c r="F3203" t="s">
        <v>689</v>
      </c>
      <c r="G3203" t="s">
        <v>16</v>
      </c>
      <c r="H3203" t="s">
        <v>2848</v>
      </c>
      <c r="I3203">
        <v>2.0175000000000001</v>
      </c>
      <c r="J3203">
        <v>33198.620000000003</v>
      </c>
      <c r="K3203">
        <v>16455.325898389096</v>
      </c>
    </row>
    <row r="3204" spans="1:11" x14ac:dyDescent="0.25">
      <c r="A3204" t="s">
        <v>811</v>
      </c>
      <c r="B3204" t="s">
        <v>812</v>
      </c>
      <c r="C3204" s="1">
        <v>41150</v>
      </c>
      <c r="D3204" s="1">
        <v>41163</v>
      </c>
      <c r="E3204">
        <v>5271</v>
      </c>
      <c r="F3204" t="s">
        <v>331</v>
      </c>
      <c r="G3204" t="s">
        <v>16</v>
      </c>
      <c r="H3204" t="s">
        <v>2849</v>
      </c>
      <c r="I3204">
        <v>2.0432999999999999</v>
      </c>
      <c r="J3204">
        <v>87316.479999999996</v>
      </c>
      <c r="K3204">
        <v>42733.069054960113</v>
      </c>
    </row>
    <row r="3205" spans="1:11" x14ac:dyDescent="0.25">
      <c r="A3205" t="s">
        <v>793</v>
      </c>
      <c r="B3205" t="s">
        <v>794</v>
      </c>
      <c r="C3205" s="1">
        <v>41149</v>
      </c>
      <c r="D3205" s="1">
        <v>41163</v>
      </c>
      <c r="E3205">
        <v>3</v>
      </c>
      <c r="F3205" t="s">
        <v>309</v>
      </c>
      <c r="G3205" t="s">
        <v>16</v>
      </c>
      <c r="H3205" t="s">
        <v>2850</v>
      </c>
      <c r="I3205">
        <v>2.0293000000000001</v>
      </c>
      <c r="J3205">
        <v>48351.97</v>
      </c>
      <c r="K3205">
        <v>23826.920613019269</v>
      </c>
    </row>
    <row r="3206" spans="1:11" x14ac:dyDescent="0.25">
      <c r="A3206" t="s">
        <v>748</v>
      </c>
      <c r="B3206" t="s">
        <v>749</v>
      </c>
      <c r="C3206" s="1">
        <v>41153</v>
      </c>
      <c r="D3206" s="1">
        <v>41157</v>
      </c>
      <c r="E3206">
        <v>4855</v>
      </c>
      <c r="F3206" t="s">
        <v>309</v>
      </c>
      <c r="G3206" t="s">
        <v>16</v>
      </c>
      <c r="H3206" t="s">
        <v>6173</v>
      </c>
      <c r="I3206">
        <v>2.0371999999999999</v>
      </c>
      <c r="J3206">
        <v>46539.34</v>
      </c>
      <c r="K3206">
        <v>22844.757510308267</v>
      </c>
    </row>
    <row r="3207" spans="1:11" x14ac:dyDescent="0.25">
      <c r="A3207" t="s">
        <v>748</v>
      </c>
      <c r="B3207" t="s">
        <v>749</v>
      </c>
      <c r="C3207" s="1">
        <v>41153</v>
      </c>
      <c r="D3207" s="1">
        <v>41157</v>
      </c>
      <c r="E3207">
        <v>4855</v>
      </c>
      <c r="F3207" t="s">
        <v>309</v>
      </c>
      <c r="G3207" t="s">
        <v>16</v>
      </c>
      <c r="H3207" t="s">
        <v>2851</v>
      </c>
      <c r="I3207">
        <v>2.0371999999999999</v>
      </c>
      <c r="J3207">
        <v>45281.52</v>
      </c>
      <c r="K3207">
        <v>22227.331631651286</v>
      </c>
    </row>
    <row r="3208" spans="1:11" x14ac:dyDescent="0.25">
      <c r="A3208" t="s">
        <v>1416</v>
      </c>
      <c r="B3208" t="s">
        <v>771</v>
      </c>
      <c r="C3208" s="1">
        <v>41163</v>
      </c>
      <c r="D3208" s="1">
        <v>41166</v>
      </c>
      <c r="E3208">
        <v>4821</v>
      </c>
      <c r="F3208" t="s">
        <v>331</v>
      </c>
      <c r="G3208" t="s">
        <v>16</v>
      </c>
      <c r="H3208" t="s">
        <v>2852</v>
      </c>
      <c r="I3208">
        <v>2.0240999999999998</v>
      </c>
      <c r="J3208">
        <v>41957.95</v>
      </c>
      <c r="K3208">
        <v>20729.188281211402</v>
      </c>
    </row>
    <row r="3209" spans="1:11" x14ac:dyDescent="0.25">
      <c r="A3209" t="s">
        <v>787</v>
      </c>
      <c r="B3209" t="s">
        <v>788</v>
      </c>
      <c r="C3209" s="1">
        <v>41207</v>
      </c>
      <c r="D3209" s="1">
        <v>41209</v>
      </c>
      <c r="E3209">
        <v>5709</v>
      </c>
      <c r="F3209" t="s">
        <v>309</v>
      </c>
      <c r="G3209" t="s">
        <v>16</v>
      </c>
      <c r="H3209" t="s">
        <v>6174</v>
      </c>
      <c r="I3209">
        <v>2.0263</v>
      </c>
      <c r="J3209">
        <v>58083.38</v>
      </c>
      <c r="K3209">
        <v>28664.74855648226</v>
      </c>
    </row>
    <row r="3210" spans="1:11" x14ac:dyDescent="0.25">
      <c r="A3210" t="s">
        <v>2826</v>
      </c>
      <c r="B3210" t="s">
        <v>2827</v>
      </c>
      <c r="C3210" s="1">
        <v>41176</v>
      </c>
      <c r="D3210" s="1">
        <v>41191</v>
      </c>
      <c r="E3210">
        <v>4839</v>
      </c>
      <c r="F3210" t="s">
        <v>309</v>
      </c>
      <c r="G3210" t="s">
        <v>16</v>
      </c>
      <c r="H3210" t="s">
        <v>6175</v>
      </c>
      <c r="I3210">
        <v>2.024</v>
      </c>
      <c r="J3210">
        <v>150870.82999999999</v>
      </c>
      <c r="K3210">
        <v>74540.923913043473</v>
      </c>
    </row>
    <row r="3211" spans="1:11" x14ac:dyDescent="0.25">
      <c r="A3211" t="s">
        <v>811</v>
      </c>
      <c r="B3211" t="s">
        <v>812</v>
      </c>
      <c r="C3211" s="1">
        <v>41170</v>
      </c>
      <c r="D3211" s="1">
        <v>41181</v>
      </c>
      <c r="E3211">
        <v>5271</v>
      </c>
      <c r="F3211" t="s">
        <v>331</v>
      </c>
      <c r="G3211" t="s">
        <v>16</v>
      </c>
      <c r="H3211" t="s">
        <v>2853</v>
      </c>
      <c r="I3211">
        <v>2.0312000000000001</v>
      </c>
      <c r="J3211">
        <v>63440.160000000003</v>
      </c>
      <c r="K3211">
        <v>31232.847577786531</v>
      </c>
    </row>
    <row r="3212" spans="1:11" x14ac:dyDescent="0.25">
      <c r="A3212" t="s">
        <v>1425</v>
      </c>
      <c r="B3212" t="s">
        <v>1426</v>
      </c>
      <c r="C3212" s="1">
        <v>41171</v>
      </c>
      <c r="D3212" s="1">
        <v>41180</v>
      </c>
      <c r="E3212">
        <v>35</v>
      </c>
      <c r="F3212" t="s">
        <v>331</v>
      </c>
      <c r="G3212" t="s">
        <v>16</v>
      </c>
      <c r="H3212" t="s">
        <v>6176</v>
      </c>
      <c r="I3212">
        <v>2.0274000000000001</v>
      </c>
      <c r="J3212">
        <v>50085.68</v>
      </c>
      <c r="K3212">
        <v>24704.389858932624</v>
      </c>
    </row>
    <row r="3213" spans="1:11" x14ac:dyDescent="0.25">
      <c r="A3213" t="s">
        <v>1429</v>
      </c>
      <c r="B3213" t="s">
        <v>1430</v>
      </c>
      <c r="C3213" s="1">
        <v>41180</v>
      </c>
      <c r="D3213" s="1">
        <v>41193</v>
      </c>
      <c r="E3213">
        <v>5441</v>
      </c>
      <c r="F3213" t="s">
        <v>301</v>
      </c>
      <c r="G3213" t="s">
        <v>16</v>
      </c>
      <c r="H3213" t="s">
        <v>438</v>
      </c>
      <c r="I3213">
        <v>2.0310999999999999</v>
      </c>
      <c r="J3213">
        <v>1624.01</v>
      </c>
      <c r="K3213">
        <v>799.57166067648075</v>
      </c>
    </row>
    <row r="3214" spans="1:11" x14ac:dyDescent="0.25">
      <c r="A3214" t="s">
        <v>1429</v>
      </c>
      <c r="B3214" t="s">
        <v>1430</v>
      </c>
      <c r="C3214" s="1">
        <v>41208</v>
      </c>
      <c r="D3214" s="1">
        <v>41217</v>
      </c>
      <c r="E3214">
        <v>5441</v>
      </c>
      <c r="F3214" t="s">
        <v>301</v>
      </c>
      <c r="G3214" t="s">
        <v>16</v>
      </c>
      <c r="H3214" t="s">
        <v>2854</v>
      </c>
      <c r="I3214">
        <v>2.0261</v>
      </c>
      <c r="J3214">
        <v>23500</v>
      </c>
      <c r="K3214">
        <v>11598.637777010019</v>
      </c>
    </row>
    <row r="3215" spans="1:11" x14ac:dyDescent="0.25">
      <c r="A3215" t="s">
        <v>2855</v>
      </c>
      <c r="B3215" t="s">
        <v>2856</v>
      </c>
      <c r="C3215" s="1">
        <v>41142</v>
      </c>
      <c r="D3215" s="1">
        <v>41171</v>
      </c>
      <c r="E3215">
        <v>5422</v>
      </c>
      <c r="F3215" t="s">
        <v>311</v>
      </c>
      <c r="G3215" t="s">
        <v>16</v>
      </c>
      <c r="H3215" t="s">
        <v>2857</v>
      </c>
      <c r="I3215">
        <v>2.0209000000000001</v>
      </c>
      <c r="J3215">
        <v>401736.45</v>
      </c>
      <c r="K3215">
        <v>198790.8605076946</v>
      </c>
    </row>
    <row r="3216" spans="1:11" x14ac:dyDescent="0.25">
      <c r="A3216" t="s">
        <v>817</v>
      </c>
      <c r="B3216" t="s">
        <v>818</v>
      </c>
      <c r="C3216" s="1">
        <v>41200</v>
      </c>
      <c r="D3216" s="1">
        <v>41206</v>
      </c>
      <c r="E3216">
        <v>5498</v>
      </c>
      <c r="F3216" t="s">
        <v>301</v>
      </c>
      <c r="G3216" t="s">
        <v>16</v>
      </c>
      <c r="H3216" t="s">
        <v>6177</v>
      </c>
      <c r="I3216">
        <v>2.0335999999999999</v>
      </c>
      <c r="J3216">
        <v>2943.01</v>
      </c>
      <c r="K3216">
        <v>1447.1921715184894</v>
      </c>
    </row>
    <row r="3217" spans="1:11" x14ac:dyDescent="0.25">
      <c r="A3217" t="s">
        <v>808</v>
      </c>
      <c r="B3217" t="s">
        <v>809</v>
      </c>
      <c r="C3217" s="1">
        <v>41170</v>
      </c>
      <c r="D3217" s="1">
        <v>41177</v>
      </c>
      <c r="E3217">
        <v>4825</v>
      </c>
      <c r="F3217" t="s">
        <v>331</v>
      </c>
      <c r="G3217" t="s">
        <v>16</v>
      </c>
      <c r="H3217" t="s">
        <v>6178</v>
      </c>
      <c r="I3217">
        <v>2.0312000000000001</v>
      </c>
      <c r="J3217">
        <v>63166.74</v>
      </c>
      <c r="K3217">
        <v>31098.237495076803</v>
      </c>
    </row>
    <row r="3218" spans="1:11" x14ac:dyDescent="0.25">
      <c r="A3218" t="s">
        <v>793</v>
      </c>
      <c r="B3218" t="s">
        <v>794</v>
      </c>
      <c r="C3218" s="1">
        <v>41161</v>
      </c>
      <c r="D3218" s="1">
        <v>41182</v>
      </c>
      <c r="E3218">
        <v>3</v>
      </c>
      <c r="F3218" t="s">
        <v>309</v>
      </c>
      <c r="G3218" t="s">
        <v>16</v>
      </c>
      <c r="H3218" t="s">
        <v>2858</v>
      </c>
      <c r="I3218">
        <v>2.0381</v>
      </c>
      <c r="J3218">
        <v>35606.39</v>
      </c>
      <c r="K3218">
        <v>17470.384181345369</v>
      </c>
    </row>
    <row r="3219" spans="1:11" x14ac:dyDescent="0.25">
      <c r="A3219" t="s">
        <v>787</v>
      </c>
      <c r="B3219" t="s">
        <v>788</v>
      </c>
      <c r="C3219" s="1">
        <v>41205</v>
      </c>
      <c r="D3219" s="1">
        <v>41211</v>
      </c>
      <c r="E3219">
        <v>5709</v>
      </c>
      <c r="F3219" t="s">
        <v>309</v>
      </c>
      <c r="G3219" t="s">
        <v>16</v>
      </c>
      <c r="H3219" t="s">
        <v>6179</v>
      </c>
      <c r="I3219">
        <v>2.0266000000000002</v>
      </c>
      <c r="J3219">
        <v>76425.5</v>
      </c>
      <c r="K3219">
        <v>37711.191157603869</v>
      </c>
    </row>
    <row r="3220" spans="1:11" x14ac:dyDescent="0.25">
      <c r="A3220" t="s">
        <v>1421</v>
      </c>
      <c r="B3220" t="s">
        <v>1422</v>
      </c>
      <c r="C3220" s="1">
        <v>41204</v>
      </c>
      <c r="D3220" s="1">
        <v>41206</v>
      </c>
      <c r="E3220">
        <v>5710</v>
      </c>
      <c r="F3220" t="s">
        <v>309</v>
      </c>
      <c r="G3220" t="s">
        <v>16</v>
      </c>
      <c r="H3220" t="s">
        <v>6180</v>
      </c>
      <c r="I3220">
        <v>2.0272000000000001</v>
      </c>
      <c r="J3220">
        <v>59332.09</v>
      </c>
      <c r="K3220">
        <v>29268.000197316494</v>
      </c>
    </row>
    <row r="3221" spans="1:11" x14ac:dyDescent="0.25">
      <c r="A3221" t="s">
        <v>6181</v>
      </c>
      <c r="B3221" t="s">
        <v>6182</v>
      </c>
      <c r="C3221" s="1">
        <v>41166</v>
      </c>
      <c r="D3221" s="1">
        <v>41172</v>
      </c>
      <c r="E3221">
        <v>8443</v>
      </c>
      <c r="F3221" t="s">
        <v>278</v>
      </c>
      <c r="G3221" t="s">
        <v>16</v>
      </c>
      <c r="H3221" t="s">
        <v>6183</v>
      </c>
      <c r="I3221">
        <v>2.0253999999999999</v>
      </c>
      <c r="J3221">
        <v>73530</v>
      </c>
      <c r="K3221">
        <v>36303.93996247655</v>
      </c>
    </row>
    <row r="3222" spans="1:11" x14ac:dyDescent="0.25">
      <c r="A3222" t="s">
        <v>2397</v>
      </c>
      <c r="B3222" t="s">
        <v>2398</v>
      </c>
      <c r="C3222" s="1">
        <v>41173</v>
      </c>
      <c r="D3222" s="1">
        <v>41178</v>
      </c>
      <c r="E3222">
        <v>4840</v>
      </c>
      <c r="F3222" t="s">
        <v>309</v>
      </c>
      <c r="G3222" t="s">
        <v>16</v>
      </c>
      <c r="H3222" t="s">
        <v>2859</v>
      </c>
      <c r="I3222">
        <v>2.0263</v>
      </c>
      <c r="J3222">
        <v>154948.23000000001</v>
      </c>
      <c r="K3222">
        <v>76468.553521196271</v>
      </c>
    </row>
    <row r="3223" spans="1:11" x14ac:dyDescent="0.25">
      <c r="A3223" t="s">
        <v>1421</v>
      </c>
      <c r="B3223" t="s">
        <v>1422</v>
      </c>
      <c r="C3223" s="1">
        <v>41204</v>
      </c>
      <c r="D3223" s="1">
        <v>41207</v>
      </c>
      <c r="E3223">
        <v>5710</v>
      </c>
      <c r="F3223" t="s">
        <v>309</v>
      </c>
      <c r="G3223" t="s">
        <v>16</v>
      </c>
      <c r="H3223" t="s">
        <v>2860</v>
      </c>
      <c r="I3223">
        <v>2.0272000000000001</v>
      </c>
      <c r="J3223">
        <v>59332.09</v>
      </c>
      <c r="K3223">
        <v>29268.000197316494</v>
      </c>
    </row>
    <row r="3224" spans="1:11" x14ac:dyDescent="0.25">
      <c r="A3224" t="s">
        <v>799</v>
      </c>
      <c r="B3224" t="s">
        <v>800</v>
      </c>
      <c r="C3224" s="1">
        <v>41169</v>
      </c>
      <c r="D3224" s="1">
        <v>41173</v>
      </c>
      <c r="E3224">
        <v>4856</v>
      </c>
      <c r="F3224" t="s">
        <v>301</v>
      </c>
      <c r="G3224" t="s">
        <v>16</v>
      </c>
      <c r="H3224" t="s">
        <v>6184</v>
      </c>
      <c r="I3224">
        <v>2.0135999999999998</v>
      </c>
      <c r="J3224">
        <v>42029.99</v>
      </c>
      <c r="K3224">
        <v>20873.058204211364</v>
      </c>
    </row>
    <row r="3225" spans="1:11" x14ac:dyDescent="0.25">
      <c r="A3225" t="s">
        <v>787</v>
      </c>
      <c r="B3225" t="s">
        <v>788</v>
      </c>
      <c r="C3225" s="1">
        <v>41205</v>
      </c>
      <c r="D3225" s="1">
        <v>41208</v>
      </c>
      <c r="E3225">
        <v>5709</v>
      </c>
      <c r="F3225" t="s">
        <v>309</v>
      </c>
      <c r="G3225" t="s">
        <v>16</v>
      </c>
      <c r="H3225" t="s">
        <v>2861</v>
      </c>
      <c r="I3225">
        <v>2.0266000000000002</v>
      </c>
      <c r="J3225">
        <v>76425.5</v>
      </c>
      <c r="K3225">
        <v>37711.191157603869</v>
      </c>
    </row>
    <row r="3226" spans="1:11" x14ac:dyDescent="0.25">
      <c r="A3226" t="s">
        <v>748</v>
      </c>
      <c r="B3226" t="s">
        <v>749</v>
      </c>
      <c r="C3226" s="1">
        <v>41176</v>
      </c>
      <c r="D3226" s="1">
        <v>41182</v>
      </c>
      <c r="E3226">
        <v>4855</v>
      </c>
      <c r="F3226" t="s">
        <v>309</v>
      </c>
      <c r="G3226" t="s">
        <v>16</v>
      </c>
      <c r="H3226" t="s">
        <v>2327</v>
      </c>
      <c r="I3226">
        <v>2.024</v>
      </c>
      <c r="J3226">
        <v>23898.58</v>
      </c>
      <c r="K3226">
        <v>11807.59881422925</v>
      </c>
    </row>
    <row r="3227" spans="1:11" x14ac:dyDescent="0.25">
      <c r="A3227" t="s">
        <v>774</v>
      </c>
      <c r="B3227" t="s">
        <v>775</v>
      </c>
      <c r="C3227" s="1">
        <v>41150</v>
      </c>
      <c r="D3227" s="1">
        <v>41187</v>
      </c>
      <c r="E3227">
        <v>4826</v>
      </c>
      <c r="F3227" t="s">
        <v>311</v>
      </c>
      <c r="G3227" t="s">
        <v>16</v>
      </c>
      <c r="H3227" t="s">
        <v>2862</v>
      </c>
      <c r="I3227">
        <v>2.0432999999999999</v>
      </c>
      <c r="J3227">
        <v>110599.95</v>
      </c>
      <c r="K3227">
        <v>54128.101600352369</v>
      </c>
    </row>
    <row r="3228" spans="1:11" x14ac:dyDescent="0.25">
      <c r="A3228" t="s">
        <v>1444</v>
      </c>
      <c r="C3228" s="1">
        <v>41204</v>
      </c>
      <c r="D3228" s="1">
        <v>41205</v>
      </c>
      <c r="E3228">
        <v>8826</v>
      </c>
      <c r="F3228" t="s">
        <v>421</v>
      </c>
      <c r="G3228" t="s">
        <v>16</v>
      </c>
      <c r="H3228" t="s">
        <v>2863</v>
      </c>
      <c r="I3228">
        <v>2.0272000000000001</v>
      </c>
      <c r="J3228">
        <v>164.93</v>
      </c>
      <c r="K3228">
        <v>81.358524072612468</v>
      </c>
    </row>
    <row r="3229" spans="1:11" x14ac:dyDescent="0.25">
      <c r="A3229" t="s">
        <v>6185</v>
      </c>
      <c r="B3229" t="s">
        <v>6186</v>
      </c>
      <c r="C3229" s="1">
        <v>41197</v>
      </c>
      <c r="D3229" s="1">
        <v>41205</v>
      </c>
      <c r="E3229">
        <v>4857</v>
      </c>
      <c r="F3229" t="s">
        <v>301</v>
      </c>
      <c r="G3229" t="s">
        <v>16</v>
      </c>
      <c r="H3229" t="s">
        <v>6187</v>
      </c>
      <c r="I3229">
        <v>2.0369000000000002</v>
      </c>
      <c r="J3229">
        <v>66610</v>
      </c>
      <c r="K3229">
        <v>32701.654474937404</v>
      </c>
    </row>
    <row r="3230" spans="1:11" x14ac:dyDescent="0.25">
      <c r="A3230" t="s">
        <v>770</v>
      </c>
      <c r="B3230" t="s">
        <v>771</v>
      </c>
      <c r="C3230" s="1">
        <v>41171</v>
      </c>
      <c r="D3230" s="1">
        <v>41173</v>
      </c>
      <c r="E3230">
        <v>4824</v>
      </c>
      <c r="F3230" t="s">
        <v>331</v>
      </c>
      <c r="G3230" t="s">
        <v>16</v>
      </c>
      <c r="H3230" t="s">
        <v>2864</v>
      </c>
      <c r="I3230">
        <v>2.0274000000000001</v>
      </c>
      <c r="J3230">
        <v>41889.620000000003</v>
      </c>
      <c r="K3230">
        <v>20661.744105751208</v>
      </c>
    </row>
    <row r="3231" spans="1:11" x14ac:dyDescent="0.25">
      <c r="A3231" t="s">
        <v>2390</v>
      </c>
      <c r="B3231" t="s">
        <v>2391</v>
      </c>
      <c r="C3231" s="1">
        <v>41213</v>
      </c>
      <c r="D3231" s="1">
        <v>41226</v>
      </c>
      <c r="E3231">
        <v>4828</v>
      </c>
      <c r="F3231" t="s">
        <v>642</v>
      </c>
      <c r="G3231" t="s">
        <v>16</v>
      </c>
      <c r="H3231" t="s">
        <v>6188</v>
      </c>
      <c r="I3231">
        <v>2.0323000000000002</v>
      </c>
      <c r="J3231">
        <v>35468.800000000003</v>
      </c>
      <c r="K3231">
        <v>17452.541455493774</v>
      </c>
    </row>
    <row r="3232" spans="1:11" x14ac:dyDescent="0.25">
      <c r="A3232" t="s">
        <v>832</v>
      </c>
      <c r="B3232" t="s">
        <v>144</v>
      </c>
      <c r="C3232" s="1">
        <v>41220</v>
      </c>
      <c r="D3232" s="1">
        <v>41226</v>
      </c>
      <c r="E3232">
        <v>4889</v>
      </c>
      <c r="F3232" t="s">
        <v>318</v>
      </c>
      <c r="G3232" t="s">
        <v>16</v>
      </c>
      <c r="H3232" t="s">
        <v>2865</v>
      </c>
      <c r="I3232">
        <v>2.0341</v>
      </c>
      <c r="J3232">
        <v>162640</v>
      </c>
      <c r="K3232">
        <v>79956.737623519002</v>
      </c>
    </row>
    <row r="3233" spans="1:11" x14ac:dyDescent="0.25">
      <c r="A3233" t="s">
        <v>2409</v>
      </c>
      <c r="B3233" t="s">
        <v>2410</v>
      </c>
      <c r="C3233" s="1">
        <v>41242</v>
      </c>
      <c r="D3233" s="1">
        <v>41247</v>
      </c>
      <c r="E3233">
        <v>10878</v>
      </c>
      <c r="F3233" t="s">
        <v>309</v>
      </c>
      <c r="G3233" t="s">
        <v>16</v>
      </c>
      <c r="H3233" t="s">
        <v>6189</v>
      </c>
      <c r="I3233">
        <v>2.0912000000000002</v>
      </c>
      <c r="J3233">
        <v>147135.67000000001</v>
      </c>
      <c r="K3233">
        <v>70359.444338179033</v>
      </c>
    </row>
    <row r="3234" spans="1:11" x14ac:dyDescent="0.25">
      <c r="A3234" t="s">
        <v>2866</v>
      </c>
      <c r="B3234" t="s">
        <v>2867</v>
      </c>
      <c r="C3234" s="1">
        <v>41246</v>
      </c>
      <c r="D3234" s="1">
        <v>41254</v>
      </c>
      <c r="E3234">
        <v>10362</v>
      </c>
      <c r="F3234" t="s">
        <v>309</v>
      </c>
      <c r="G3234" t="s">
        <v>16</v>
      </c>
      <c r="H3234" t="s">
        <v>2868</v>
      </c>
      <c r="I3234">
        <v>2.1074000000000002</v>
      </c>
      <c r="J3234">
        <v>41712.5</v>
      </c>
      <c r="K3234">
        <v>19793.347252538671</v>
      </c>
    </row>
    <row r="3235" spans="1:11" x14ac:dyDescent="0.25">
      <c r="A3235" t="s">
        <v>799</v>
      </c>
      <c r="B3235" t="s">
        <v>800</v>
      </c>
      <c r="C3235" s="1">
        <v>41238</v>
      </c>
      <c r="D3235" s="1">
        <v>41254</v>
      </c>
      <c r="E3235">
        <v>4856</v>
      </c>
      <c r="F3235" t="s">
        <v>301</v>
      </c>
      <c r="G3235" t="s">
        <v>16</v>
      </c>
      <c r="H3235" t="s">
        <v>6190</v>
      </c>
      <c r="I3235">
        <v>2.0985</v>
      </c>
      <c r="J3235">
        <v>43740</v>
      </c>
      <c r="K3235">
        <v>20843.459614010007</v>
      </c>
    </row>
    <row r="3236" spans="1:11" x14ac:dyDescent="0.25">
      <c r="A3236" t="s">
        <v>2869</v>
      </c>
      <c r="B3236" t="s">
        <v>144</v>
      </c>
      <c r="C3236" s="1">
        <v>41226</v>
      </c>
      <c r="D3236" s="1">
        <v>41232</v>
      </c>
      <c r="E3236">
        <v>9265</v>
      </c>
      <c r="F3236" t="s">
        <v>2481</v>
      </c>
      <c r="G3236" t="s">
        <v>16</v>
      </c>
      <c r="H3236" t="s">
        <v>2870</v>
      </c>
      <c r="I3236">
        <v>1</v>
      </c>
      <c r="J3236">
        <v>59558.400000000001</v>
      </c>
      <c r="K3236">
        <v>59558.400000000001</v>
      </c>
    </row>
    <row r="3237" spans="1:11" x14ac:dyDescent="0.25">
      <c r="A3237" t="s">
        <v>2869</v>
      </c>
      <c r="B3237" t="s">
        <v>144</v>
      </c>
      <c r="C3237" s="1">
        <v>41200</v>
      </c>
      <c r="D3237" s="1">
        <v>41232</v>
      </c>
      <c r="E3237">
        <v>9265</v>
      </c>
      <c r="F3237" t="s">
        <v>2481</v>
      </c>
      <c r="G3237" t="s">
        <v>16</v>
      </c>
      <c r="H3237" t="s">
        <v>2871</v>
      </c>
      <c r="I3237">
        <v>2.0335999999999999</v>
      </c>
      <c r="J3237">
        <v>100425</v>
      </c>
      <c r="K3237">
        <v>49382.86782061369</v>
      </c>
    </row>
    <row r="3238" spans="1:11" x14ac:dyDescent="0.25">
      <c r="A3238" t="s">
        <v>799</v>
      </c>
      <c r="B3238" t="s">
        <v>800</v>
      </c>
      <c r="C3238" s="1">
        <v>41237</v>
      </c>
      <c r="D3238" s="1">
        <v>41247</v>
      </c>
      <c r="E3238">
        <v>4856</v>
      </c>
      <c r="F3238" t="s">
        <v>301</v>
      </c>
      <c r="G3238" t="s">
        <v>16</v>
      </c>
      <c r="H3238" t="s">
        <v>6191</v>
      </c>
      <c r="I3238">
        <v>2.0985</v>
      </c>
      <c r="J3238">
        <v>43740</v>
      </c>
      <c r="K3238">
        <v>20843.459614010007</v>
      </c>
    </row>
    <row r="3239" spans="1:11" x14ac:dyDescent="0.25">
      <c r="A3239" t="s">
        <v>799</v>
      </c>
      <c r="B3239" t="s">
        <v>800</v>
      </c>
      <c r="C3239" s="1">
        <v>41208</v>
      </c>
      <c r="D3239" s="1">
        <v>41214</v>
      </c>
      <c r="E3239">
        <v>4856</v>
      </c>
      <c r="F3239" t="s">
        <v>301</v>
      </c>
      <c r="G3239" t="s">
        <v>16</v>
      </c>
      <c r="H3239" t="s">
        <v>6192</v>
      </c>
      <c r="I3239">
        <v>2.0261</v>
      </c>
      <c r="J3239">
        <v>42300</v>
      </c>
      <c r="K3239">
        <v>20877.547998618036</v>
      </c>
    </row>
    <row r="3240" spans="1:11" x14ac:dyDescent="0.25">
      <c r="A3240" t="s">
        <v>799</v>
      </c>
      <c r="B3240" t="s">
        <v>800</v>
      </c>
      <c r="C3240" s="1">
        <v>41237</v>
      </c>
      <c r="D3240" s="1">
        <v>41247</v>
      </c>
      <c r="E3240">
        <v>4856</v>
      </c>
      <c r="F3240" t="s">
        <v>301</v>
      </c>
      <c r="G3240" t="s">
        <v>16</v>
      </c>
      <c r="H3240" t="s">
        <v>2872</v>
      </c>
      <c r="I3240">
        <v>2.0985</v>
      </c>
      <c r="J3240">
        <v>43780</v>
      </c>
      <c r="K3240">
        <v>20862.520848224922</v>
      </c>
    </row>
    <row r="3241" spans="1:11" x14ac:dyDescent="0.25">
      <c r="A3241" t="s">
        <v>821</v>
      </c>
      <c r="B3241" t="s">
        <v>822</v>
      </c>
      <c r="C3241" s="1">
        <v>41286</v>
      </c>
      <c r="D3241" s="1">
        <v>41290</v>
      </c>
      <c r="E3241">
        <v>11833</v>
      </c>
      <c r="F3241" t="s">
        <v>331</v>
      </c>
      <c r="G3241" t="s">
        <v>16</v>
      </c>
      <c r="H3241" t="s">
        <v>2873</v>
      </c>
      <c r="I3241">
        <v>2.0341</v>
      </c>
      <c r="J3241">
        <v>51646.83</v>
      </c>
      <c r="K3241">
        <v>25390.506858069908</v>
      </c>
    </row>
    <row r="3242" spans="1:11" x14ac:dyDescent="0.25">
      <c r="A3242" t="s">
        <v>821</v>
      </c>
      <c r="B3242" t="s">
        <v>822</v>
      </c>
      <c r="C3242" s="1">
        <v>41290</v>
      </c>
      <c r="D3242" s="1">
        <v>41292</v>
      </c>
      <c r="E3242">
        <v>11833</v>
      </c>
      <c r="F3242" t="s">
        <v>331</v>
      </c>
      <c r="G3242" t="s">
        <v>16</v>
      </c>
      <c r="H3242" t="s">
        <v>2874</v>
      </c>
      <c r="I3242">
        <v>2.0373999999999999</v>
      </c>
      <c r="J3242">
        <v>69075.55</v>
      </c>
      <c r="K3242">
        <v>33903.774418376364</v>
      </c>
    </row>
    <row r="3243" spans="1:11" x14ac:dyDescent="0.25">
      <c r="A3243" t="s">
        <v>835</v>
      </c>
      <c r="B3243" t="s">
        <v>836</v>
      </c>
      <c r="C3243" s="1">
        <v>41293</v>
      </c>
      <c r="D3243" s="1">
        <v>41297</v>
      </c>
      <c r="E3243">
        <v>11334</v>
      </c>
      <c r="F3243" t="s">
        <v>331</v>
      </c>
      <c r="G3243" t="s">
        <v>16</v>
      </c>
      <c r="H3243" t="s">
        <v>6193</v>
      </c>
      <c r="I3243">
        <v>2.0440999999999998</v>
      </c>
      <c r="J3243">
        <v>87695.15</v>
      </c>
      <c r="K3243">
        <v>42901.594833912233</v>
      </c>
    </row>
    <row r="3244" spans="1:11" x14ac:dyDescent="0.25">
      <c r="A3244" t="s">
        <v>832</v>
      </c>
      <c r="B3244" t="s">
        <v>144</v>
      </c>
      <c r="C3244" s="1">
        <v>41269</v>
      </c>
      <c r="D3244" s="1">
        <v>41277</v>
      </c>
      <c r="E3244">
        <v>4889</v>
      </c>
      <c r="F3244" t="s">
        <v>318</v>
      </c>
      <c r="G3244" t="s">
        <v>16</v>
      </c>
      <c r="H3244" t="s">
        <v>2875</v>
      </c>
      <c r="I3244">
        <v>2.0773999999999999</v>
      </c>
      <c r="J3244">
        <v>93578.67</v>
      </c>
      <c r="K3244">
        <v>45046.052758255515</v>
      </c>
    </row>
    <row r="3245" spans="1:11" x14ac:dyDescent="0.25">
      <c r="A3245" t="s">
        <v>825</v>
      </c>
      <c r="B3245" t="s">
        <v>826</v>
      </c>
      <c r="C3245" s="1">
        <v>41271</v>
      </c>
      <c r="D3245" s="1">
        <v>41276</v>
      </c>
      <c r="E3245">
        <v>11411</v>
      </c>
      <c r="F3245" t="s">
        <v>331</v>
      </c>
      <c r="G3245" t="s">
        <v>16</v>
      </c>
      <c r="H3245" t="s">
        <v>6194</v>
      </c>
      <c r="I3245">
        <v>2.0482999999999998</v>
      </c>
      <c r="J3245">
        <v>44464.75</v>
      </c>
      <c r="K3245">
        <v>21708.123809988771</v>
      </c>
    </row>
    <row r="3246" spans="1:11" x14ac:dyDescent="0.25">
      <c r="A3246" t="s">
        <v>835</v>
      </c>
      <c r="B3246" t="s">
        <v>836</v>
      </c>
      <c r="C3246" s="1">
        <v>41296</v>
      </c>
      <c r="D3246" s="1">
        <v>41298</v>
      </c>
      <c r="E3246">
        <v>11334</v>
      </c>
      <c r="F3246" t="s">
        <v>331</v>
      </c>
      <c r="G3246" t="s">
        <v>16</v>
      </c>
      <c r="H3246" t="s">
        <v>6195</v>
      </c>
      <c r="I3246">
        <v>2.0419999999999998</v>
      </c>
      <c r="J3246">
        <v>63599.12</v>
      </c>
      <c r="K3246">
        <v>31145.504407443681</v>
      </c>
    </row>
    <row r="3247" spans="1:11" x14ac:dyDescent="0.25">
      <c r="A3247" t="s">
        <v>835</v>
      </c>
      <c r="B3247" t="s">
        <v>836</v>
      </c>
      <c r="C3247" s="1">
        <v>41296</v>
      </c>
      <c r="D3247" s="1">
        <v>41299</v>
      </c>
      <c r="E3247">
        <v>11334</v>
      </c>
      <c r="F3247" t="s">
        <v>331</v>
      </c>
      <c r="G3247" t="s">
        <v>16</v>
      </c>
      <c r="H3247" t="s">
        <v>6196</v>
      </c>
      <c r="I3247">
        <v>2.0419999999999998</v>
      </c>
      <c r="J3247">
        <v>61696.800000000003</v>
      </c>
      <c r="K3247">
        <v>30213.90793339863</v>
      </c>
    </row>
    <row r="3248" spans="1:11" x14ac:dyDescent="0.25">
      <c r="A3248" t="s">
        <v>825</v>
      </c>
      <c r="B3248" t="s">
        <v>826</v>
      </c>
      <c r="C3248" s="1">
        <v>41272</v>
      </c>
      <c r="D3248" s="1">
        <v>41277</v>
      </c>
      <c r="E3248">
        <v>11411</v>
      </c>
      <c r="F3248" t="s">
        <v>331</v>
      </c>
      <c r="G3248" t="s">
        <v>16</v>
      </c>
      <c r="H3248" t="s">
        <v>2876</v>
      </c>
      <c r="I3248">
        <v>2.0434999999999999</v>
      </c>
      <c r="J3248">
        <v>44464.75</v>
      </c>
      <c r="K3248">
        <v>21759.114264741864</v>
      </c>
    </row>
    <row r="3249" spans="1:11" x14ac:dyDescent="0.25">
      <c r="A3249" t="s">
        <v>2869</v>
      </c>
      <c r="B3249" t="s">
        <v>144</v>
      </c>
      <c r="C3249" s="1">
        <v>41255</v>
      </c>
      <c r="D3249" s="1">
        <v>41260</v>
      </c>
      <c r="E3249">
        <v>9265</v>
      </c>
      <c r="F3249" t="s">
        <v>2481</v>
      </c>
      <c r="G3249" t="s">
        <v>16</v>
      </c>
      <c r="H3249" t="s">
        <v>2877</v>
      </c>
      <c r="I3249">
        <v>2.0743</v>
      </c>
      <c r="J3249">
        <v>87360</v>
      </c>
      <c r="K3249">
        <v>42115.412428289063</v>
      </c>
    </row>
    <row r="3250" spans="1:11" x14ac:dyDescent="0.25">
      <c r="A3250" t="s">
        <v>1933</v>
      </c>
      <c r="B3250" t="s">
        <v>1934</v>
      </c>
      <c r="C3250" s="1">
        <v>41263</v>
      </c>
      <c r="D3250" s="1">
        <v>41272</v>
      </c>
      <c r="E3250">
        <v>5362</v>
      </c>
      <c r="F3250" t="s">
        <v>370</v>
      </c>
      <c r="G3250" t="s">
        <v>16</v>
      </c>
      <c r="H3250" t="s">
        <v>2878</v>
      </c>
      <c r="I3250">
        <v>2.0790999999999999</v>
      </c>
      <c r="J3250">
        <v>172897.96</v>
      </c>
      <c r="K3250">
        <v>83160.001923909382</v>
      </c>
    </row>
    <row r="3251" spans="1:11" x14ac:dyDescent="0.25">
      <c r="A3251" t="s">
        <v>835</v>
      </c>
      <c r="B3251" t="s">
        <v>836</v>
      </c>
      <c r="C3251" s="1">
        <v>41293</v>
      </c>
      <c r="D3251" s="1">
        <v>41296</v>
      </c>
      <c r="E3251">
        <v>11334</v>
      </c>
      <c r="F3251" t="s">
        <v>331</v>
      </c>
      <c r="G3251" t="s">
        <v>16</v>
      </c>
      <c r="H3251" t="s">
        <v>2879</v>
      </c>
      <c r="I3251">
        <v>2.0440999999999998</v>
      </c>
      <c r="J3251">
        <v>86632.59</v>
      </c>
      <c r="K3251">
        <v>42381.776821094856</v>
      </c>
    </row>
    <row r="3252" spans="1:11" x14ac:dyDescent="0.25">
      <c r="A3252" t="s">
        <v>835</v>
      </c>
      <c r="B3252" t="s">
        <v>836</v>
      </c>
      <c r="C3252" s="1">
        <v>41295</v>
      </c>
      <c r="D3252" s="1">
        <v>41296</v>
      </c>
      <c r="E3252">
        <v>11334</v>
      </c>
      <c r="F3252" t="s">
        <v>331</v>
      </c>
      <c r="G3252" t="s">
        <v>16</v>
      </c>
      <c r="H3252" t="s">
        <v>2880</v>
      </c>
      <c r="I3252">
        <v>2.0440999999999998</v>
      </c>
      <c r="J3252">
        <v>63907.6</v>
      </c>
      <c r="K3252">
        <v>31264.419548945745</v>
      </c>
    </row>
    <row r="3253" spans="1:11" x14ac:dyDescent="0.25">
      <c r="A3253" t="s">
        <v>838</v>
      </c>
      <c r="B3253" t="s">
        <v>839</v>
      </c>
      <c r="C3253" s="1">
        <v>41263</v>
      </c>
      <c r="D3253" s="1">
        <v>41270</v>
      </c>
      <c r="E3253">
        <v>11333</v>
      </c>
      <c r="F3253" t="s">
        <v>331</v>
      </c>
      <c r="G3253" t="s">
        <v>16</v>
      </c>
      <c r="H3253" t="s">
        <v>2881</v>
      </c>
      <c r="I3253">
        <v>2.0790999999999999</v>
      </c>
      <c r="J3253">
        <v>63599.12</v>
      </c>
      <c r="K3253">
        <v>30589.735943437063</v>
      </c>
    </row>
    <row r="3254" spans="1:11" x14ac:dyDescent="0.25">
      <c r="A3254" t="s">
        <v>1453</v>
      </c>
      <c r="B3254" t="s">
        <v>1454</v>
      </c>
      <c r="C3254" s="1">
        <v>41290</v>
      </c>
      <c r="D3254" s="1">
        <v>41295</v>
      </c>
      <c r="E3254">
        <v>8781</v>
      </c>
      <c r="F3254" t="s">
        <v>309</v>
      </c>
      <c r="G3254" t="s">
        <v>16</v>
      </c>
      <c r="H3254" t="s">
        <v>2882</v>
      </c>
      <c r="I3254">
        <v>2.0373999999999999</v>
      </c>
      <c r="J3254">
        <v>58504.68</v>
      </c>
      <c r="K3254">
        <v>28715.362717188575</v>
      </c>
    </row>
    <row r="3255" spans="1:11" x14ac:dyDescent="0.25">
      <c r="A3255" t="s">
        <v>1453</v>
      </c>
      <c r="B3255" t="s">
        <v>1454</v>
      </c>
      <c r="C3255" s="1">
        <v>41291</v>
      </c>
      <c r="D3255" s="1">
        <v>41295</v>
      </c>
      <c r="E3255">
        <v>8781</v>
      </c>
      <c r="F3255" t="s">
        <v>309</v>
      </c>
      <c r="G3255" t="s">
        <v>16</v>
      </c>
      <c r="H3255" t="s">
        <v>2883</v>
      </c>
      <c r="I3255">
        <v>2.0409000000000002</v>
      </c>
      <c r="J3255">
        <v>60129.81</v>
      </c>
      <c r="K3255">
        <v>29462.398941643394</v>
      </c>
    </row>
    <row r="3256" spans="1:11" x14ac:dyDescent="0.25">
      <c r="A3256" t="s">
        <v>1453</v>
      </c>
      <c r="B3256" t="s">
        <v>1454</v>
      </c>
      <c r="C3256" s="1">
        <v>41290</v>
      </c>
      <c r="D3256" s="1">
        <v>41295</v>
      </c>
      <c r="E3256">
        <v>8781</v>
      </c>
      <c r="F3256" t="s">
        <v>309</v>
      </c>
      <c r="G3256" t="s">
        <v>16</v>
      </c>
      <c r="H3256" t="s">
        <v>6197</v>
      </c>
      <c r="I3256">
        <v>2.0373999999999999</v>
      </c>
      <c r="J3256">
        <v>60129.81</v>
      </c>
      <c r="K3256">
        <v>29513.011681554923</v>
      </c>
    </row>
    <row r="3257" spans="1:11" x14ac:dyDescent="0.25">
      <c r="A3257" t="s">
        <v>1453</v>
      </c>
      <c r="B3257" t="s">
        <v>1454</v>
      </c>
      <c r="C3257" s="1">
        <v>41290</v>
      </c>
      <c r="D3257" s="1">
        <v>41295</v>
      </c>
      <c r="E3257">
        <v>8781</v>
      </c>
      <c r="F3257" t="s">
        <v>309</v>
      </c>
      <c r="G3257" t="s">
        <v>16</v>
      </c>
      <c r="H3257" t="s">
        <v>2884</v>
      </c>
      <c r="I3257">
        <v>2.0373999999999999</v>
      </c>
      <c r="J3257">
        <v>60129.81</v>
      </c>
      <c r="K3257">
        <v>29513.011681554923</v>
      </c>
    </row>
    <row r="3258" spans="1:11" x14ac:dyDescent="0.25">
      <c r="A3258" t="s">
        <v>1453</v>
      </c>
      <c r="B3258" t="s">
        <v>1454</v>
      </c>
      <c r="C3258" s="1">
        <v>41290</v>
      </c>
      <c r="D3258" s="1">
        <v>41295</v>
      </c>
      <c r="E3258">
        <v>8781</v>
      </c>
      <c r="F3258" t="s">
        <v>309</v>
      </c>
      <c r="G3258" t="s">
        <v>16</v>
      </c>
      <c r="H3258" t="s">
        <v>2885</v>
      </c>
      <c r="I3258">
        <v>2.0373999999999999</v>
      </c>
      <c r="J3258">
        <v>60129.81</v>
      </c>
      <c r="K3258">
        <v>29513.011681554923</v>
      </c>
    </row>
    <row r="3259" spans="1:11" x14ac:dyDescent="0.25">
      <c r="A3259" t="s">
        <v>1453</v>
      </c>
      <c r="B3259" t="s">
        <v>1454</v>
      </c>
      <c r="C3259" s="1">
        <v>41290</v>
      </c>
      <c r="D3259" s="1">
        <v>41295</v>
      </c>
      <c r="E3259">
        <v>8781</v>
      </c>
      <c r="F3259" t="s">
        <v>309</v>
      </c>
      <c r="G3259" t="s">
        <v>16</v>
      </c>
      <c r="H3259" t="s">
        <v>6198</v>
      </c>
      <c r="I3259">
        <v>2.0373999999999999</v>
      </c>
      <c r="J3259">
        <v>60129.81</v>
      </c>
      <c r="K3259">
        <v>29513.011681554923</v>
      </c>
    </row>
    <row r="3260" spans="1:11" x14ac:dyDescent="0.25">
      <c r="A3260" t="s">
        <v>1429</v>
      </c>
      <c r="B3260" t="s">
        <v>1430</v>
      </c>
      <c r="C3260" s="1">
        <v>41255</v>
      </c>
      <c r="D3260" s="1">
        <v>41271</v>
      </c>
      <c r="E3260">
        <v>5441</v>
      </c>
      <c r="F3260" t="s">
        <v>301</v>
      </c>
      <c r="G3260" t="s">
        <v>16</v>
      </c>
      <c r="H3260" t="s">
        <v>1960</v>
      </c>
      <c r="I3260">
        <v>2.0743</v>
      </c>
      <c r="J3260">
        <v>21120</v>
      </c>
      <c r="K3260">
        <v>10181.748059586367</v>
      </c>
    </row>
    <row r="3261" spans="1:11" x14ac:dyDescent="0.25">
      <c r="A3261" t="s">
        <v>1429</v>
      </c>
      <c r="B3261" t="s">
        <v>1430</v>
      </c>
      <c r="C3261" s="1">
        <v>41260</v>
      </c>
      <c r="D3261" s="1">
        <v>41271</v>
      </c>
      <c r="E3261">
        <v>5441</v>
      </c>
      <c r="F3261" t="s">
        <v>301</v>
      </c>
      <c r="G3261" t="s">
        <v>16</v>
      </c>
      <c r="H3261" t="s">
        <v>6199</v>
      </c>
      <c r="I3261">
        <v>2.0840000000000001</v>
      </c>
      <c r="J3261">
        <v>37613.99</v>
      </c>
      <c r="K3261">
        <v>18048.939539347408</v>
      </c>
    </row>
    <row r="3262" spans="1:11" x14ac:dyDescent="0.25">
      <c r="A3262" t="s">
        <v>790</v>
      </c>
      <c r="B3262" t="s">
        <v>791</v>
      </c>
      <c r="C3262" s="1">
        <v>41261</v>
      </c>
      <c r="D3262" s="1">
        <v>41271</v>
      </c>
      <c r="E3262">
        <v>5356</v>
      </c>
      <c r="F3262" t="s">
        <v>311</v>
      </c>
      <c r="G3262" t="s">
        <v>16</v>
      </c>
      <c r="H3262" t="s">
        <v>6200</v>
      </c>
      <c r="I3262">
        <v>2.0901999999999998</v>
      </c>
      <c r="J3262">
        <v>117953.74</v>
      </c>
      <c r="K3262">
        <v>56431.796000382739</v>
      </c>
    </row>
    <row r="3263" spans="1:11" x14ac:dyDescent="0.25">
      <c r="A3263" t="s">
        <v>2886</v>
      </c>
      <c r="B3263" t="s">
        <v>2887</v>
      </c>
      <c r="C3263" s="1">
        <v>41257</v>
      </c>
      <c r="D3263" s="1">
        <v>41261</v>
      </c>
      <c r="E3263">
        <v>11314</v>
      </c>
      <c r="F3263" t="s">
        <v>311</v>
      </c>
      <c r="G3263" t="s">
        <v>16</v>
      </c>
      <c r="H3263" t="s">
        <v>2888</v>
      </c>
      <c r="I3263">
        <v>2.0750999999999999</v>
      </c>
      <c r="J3263">
        <v>643095</v>
      </c>
      <c r="K3263">
        <v>309910.3657655053</v>
      </c>
    </row>
    <row r="3264" spans="1:11" x14ac:dyDescent="0.25">
      <c r="A3264" t="s">
        <v>2886</v>
      </c>
      <c r="B3264" t="s">
        <v>2887</v>
      </c>
      <c r="C3264" s="1">
        <v>41257</v>
      </c>
      <c r="D3264" s="1">
        <v>41264</v>
      </c>
      <c r="E3264">
        <v>11314</v>
      </c>
      <c r="F3264" t="s">
        <v>311</v>
      </c>
      <c r="G3264" t="s">
        <v>16</v>
      </c>
      <c r="H3264" t="s">
        <v>6201</v>
      </c>
      <c r="I3264">
        <v>2.0750999999999999</v>
      </c>
      <c r="J3264">
        <v>331920</v>
      </c>
      <c r="K3264">
        <v>159953.73716929305</v>
      </c>
    </row>
    <row r="3265" spans="1:11" x14ac:dyDescent="0.25">
      <c r="A3265" t="s">
        <v>2869</v>
      </c>
      <c r="B3265" t="s">
        <v>144</v>
      </c>
      <c r="C3265" s="1">
        <v>41256</v>
      </c>
      <c r="D3265" s="1">
        <v>41263</v>
      </c>
      <c r="E3265">
        <v>9265</v>
      </c>
      <c r="F3265" t="s">
        <v>2481</v>
      </c>
      <c r="G3265" t="s">
        <v>16</v>
      </c>
      <c r="H3265" t="s">
        <v>6202</v>
      </c>
      <c r="I3265">
        <v>2.0800999999999998</v>
      </c>
      <c r="J3265">
        <v>38438.400000000001</v>
      </c>
      <c r="K3265">
        <v>18479.111581173984</v>
      </c>
    </row>
    <row r="3266" spans="1:11" x14ac:dyDescent="0.25">
      <c r="A3266" t="s">
        <v>838</v>
      </c>
      <c r="B3266" t="s">
        <v>839</v>
      </c>
      <c r="C3266" s="1">
        <v>41262</v>
      </c>
      <c r="D3266" s="1">
        <v>41270</v>
      </c>
      <c r="E3266">
        <v>11333</v>
      </c>
      <c r="F3266" t="s">
        <v>331</v>
      </c>
      <c r="G3266" t="s">
        <v>16</v>
      </c>
      <c r="H3266" t="s">
        <v>6203</v>
      </c>
      <c r="I3266">
        <v>2.0966</v>
      </c>
      <c r="J3266">
        <v>62965.01</v>
      </c>
      <c r="K3266">
        <v>30031.961270628635</v>
      </c>
    </row>
    <row r="3267" spans="1:11" x14ac:dyDescent="0.25">
      <c r="A3267" t="s">
        <v>835</v>
      </c>
      <c r="B3267" t="s">
        <v>836</v>
      </c>
      <c r="C3267" s="1">
        <v>41293</v>
      </c>
      <c r="D3267" s="1">
        <v>41296</v>
      </c>
      <c r="E3267">
        <v>11334</v>
      </c>
      <c r="F3267" t="s">
        <v>331</v>
      </c>
      <c r="G3267" t="s">
        <v>16</v>
      </c>
      <c r="H3267" t="s">
        <v>6204</v>
      </c>
      <c r="I3267">
        <v>2.0440999999999998</v>
      </c>
      <c r="J3267">
        <v>80154.429999999993</v>
      </c>
      <c r="K3267">
        <v>39212.577662540971</v>
      </c>
    </row>
    <row r="3268" spans="1:11" x14ac:dyDescent="0.25">
      <c r="A3268" t="s">
        <v>1453</v>
      </c>
      <c r="B3268" t="s">
        <v>1454</v>
      </c>
      <c r="C3268" s="1">
        <v>41290</v>
      </c>
      <c r="D3268" s="1">
        <v>41295</v>
      </c>
      <c r="E3268">
        <v>8781</v>
      </c>
      <c r="F3268" t="s">
        <v>309</v>
      </c>
      <c r="G3268" t="s">
        <v>16</v>
      </c>
      <c r="H3268" t="s">
        <v>6205</v>
      </c>
      <c r="I3268">
        <v>2.0373999999999999</v>
      </c>
      <c r="J3268">
        <v>60129.81</v>
      </c>
      <c r="K3268">
        <v>29513.011681554923</v>
      </c>
    </row>
    <row r="3269" spans="1:11" x14ac:dyDescent="0.25">
      <c r="A3269" t="s">
        <v>2855</v>
      </c>
      <c r="B3269" t="s">
        <v>2856</v>
      </c>
      <c r="C3269" s="1">
        <v>41261</v>
      </c>
      <c r="D3269" s="1">
        <v>41283</v>
      </c>
      <c r="E3269">
        <v>5422</v>
      </c>
      <c r="F3269" t="s">
        <v>311</v>
      </c>
      <c r="G3269" t="s">
        <v>16</v>
      </c>
      <c r="H3269" t="s">
        <v>2889</v>
      </c>
      <c r="I3269">
        <v>2.0901999999999998</v>
      </c>
      <c r="J3269">
        <v>58976.87</v>
      </c>
      <c r="K3269">
        <v>28215.89800019137</v>
      </c>
    </row>
    <row r="3270" spans="1:11" x14ac:dyDescent="0.25">
      <c r="A3270" t="s">
        <v>821</v>
      </c>
      <c r="B3270" t="s">
        <v>822</v>
      </c>
      <c r="C3270" s="1">
        <v>41286</v>
      </c>
      <c r="D3270" s="1">
        <v>41289</v>
      </c>
      <c r="E3270">
        <v>11833</v>
      </c>
      <c r="F3270" t="s">
        <v>331</v>
      </c>
      <c r="G3270" t="s">
        <v>16</v>
      </c>
      <c r="H3270" t="s">
        <v>2890</v>
      </c>
      <c r="I3270">
        <v>2.0341</v>
      </c>
      <c r="J3270">
        <v>51577.33</v>
      </c>
      <c r="K3270">
        <v>25356.339413008209</v>
      </c>
    </row>
    <row r="3271" spans="1:11" x14ac:dyDescent="0.25">
      <c r="A3271" t="s">
        <v>852</v>
      </c>
      <c r="B3271" t="s">
        <v>853</v>
      </c>
      <c r="C3271" s="1">
        <v>41312</v>
      </c>
      <c r="D3271" s="1">
        <v>41317</v>
      </c>
      <c r="E3271">
        <v>11335</v>
      </c>
      <c r="F3271" t="s">
        <v>331</v>
      </c>
      <c r="G3271" t="s">
        <v>16</v>
      </c>
      <c r="H3271" t="s">
        <v>6206</v>
      </c>
      <c r="I3271">
        <v>1.9883999999999999</v>
      </c>
      <c r="J3271">
        <v>48346.3</v>
      </c>
      <c r="K3271">
        <v>24314.172198752767</v>
      </c>
    </row>
    <row r="3272" spans="1:11" x14ac:dyDescent="0.25">
      <c r="A3272" t="s">
        <v>852</v>
      </c>
      <c r="B3272" t="s">
        <v>853</v>
      </c>
      <c r="C3272" s="1">
        <v>41312</v>
      </c>
      <c r="D3272" s="1">
        <v>41317</v>
      </c>
      <c r="E3272">
        <v>11335</v>
      </c>
      <c r="F3272" t="s">
        <v>331</v>
      </c>
      <c r="G3272" t="s">
        <v>16</v>
      </c>
      <c r="H3272" t="s">
        <v>2891</v>
      </c>
      <c r="I3272">
        <v>1.9883999999999999</v>
      </c>
      <c r="J3272">
        <v>45582.9</v>
      </c>
      <c r="K3272">
        <v>22924.411587205792</v>
      </c>
    </row>
    <row r="3273" spans="1:11" x14ac:dyDescent="0.25">
      <c r="A3273" t="s">
        <v>852</v>
      </c>
      <c r="B3273" t="s">
        <v>853</v>
      </c>
      <c r="C3273" s="1">
        <v>41312</v>
      </c>
      <c r="D3273" s="1">
        <v>41317</v>
      </c>
      <c r="E3273">
        <v>11335</v>
      </c>
      <c r="F3273" t="s">
        <v>331</v>
      </c>
      <c r="G3273" t="s">
        <v>16</v>
      </c>
      <c r="H3273" t="s">
        <v>6207</v>
      </c>
      <c r="I3273">
        <v>1.9883999999999999</v>
      </c>
      <c r="J3273">
        <v>45031.14</v>
      </c>
      <c r="K3273">
        <v>22646.922148461075</v>
      </c>
    </row>
    <row r="3274" spans="1:11" x14ac:dyDescent="0.25">
      <c r="A3274" t="s">
        <v>848</v>
      </c>
      <c r="B3274" t="s">
        <v>849</v>
      </c>
      <c r="C3274" s="1">
        <v>41312</v>
      </c>
      <c r="D3274" s="1">
        <v>41317</v>
      </c>
      <c r="E3274">
        <v>11834</v>
      </c>
      <c r="F3274" t="s">
        <v>331</v>
      </c>
      <c r="G3274" t="s">
        <v>16</v>
      </c>
      <c r="H3274" t="s">
        <v>2892</v>
      </c>
      <c r="I3274">
        <v>1.9883999999999999</v>
      </c>
      <c r="J3274">
        <v>37646.959999999999</v>
      </c>
      <c r="K3274">
        <v>18933.293099979885</v>
      </c>
    </row>
    <row r="3275" spans="1:11" x14ac:dyDescent="0.25">
      <c r="A3275" t="s">
        <v>852</v>
      </c>
      <c r="B3275" t="s">
        <v>853</v>
      </c>
      <c r="C3275" s="1">
        <v>41312</v>
      </c>
      <c r="D3275" s="1">
        <v>41320</v>
      </c>
      <c r="E3275">
        <v>11335</v>
      </c>
      <c r="F3275" t="s">
        <v>331</v>
      </c>
      <c r="G3275" t="s">
        <v>16</v>
      </c>
      <c r="H3275" t="s">
        <v>2893</v>
      </c>
      <c r="I3275">
        <v>1.9883999999999999</v>
      </c>
      <c r="J3275">
        <v>48696.160000000003</v>
      </c>
      <c r="K3275">
        <v>24490.122711728021</v>
      </c>
    </row>
    <row r="3276" spans="1:11" x14ac:dyDescent="0.25">
      <c r="A3276" t="s">
        <v>1453</v>
      </c>
      <c r="B3276" t="s">
        <v>1454</v>
      </c>
      <c r="C3276" s="1">
        <v>41290</v>
      </c>
      <c r="D3276" s="1">
        <v>41305</v>
      </c>
      <c r="E3276">
        <v>8781</v>
      </c>
      <c r="F3276" t="s">
        <v>309</v>
      </c>
      <c r="G3276" t="s">
        <v>16</v>
      </c>
      <c r="H3276" t="s">
        <v>2894</v>
      </c>
      <c r="I3276">
        <v>2.0373999999999999</v>
      </c>
      <c r="J3276">
        <v>60129.81</v>
      </c>
      <c r="K3276">
        <v>29513.011681554923</v>
      </c>
    </row>
    <row r="3277" spans="1:11" x14ac:dyDescent="0.25">
      <c r="A3277" t="s">
        <v>852</v>
      </c>
      <c r="B3277" t="s">
        <v>853</v>
      </c>
      <c r="C3277" s="1">
        <v>41315</v>
      </c>
      <c r="D3277" s="1">
        <v>41321</v>
      </c>
      <c r="E3277">
        <v>11335</v>
      </c>
      <c r="F3277" t="s">
        <v>331</v>
      </c>
      <c r="G3277" t="s">
        <v>16</v>
      </c>
      <c r="H3277" t="s">
        <v>6208</v>
      </c>
      <c r="I3277">
        <v>1.9636</v>
      </c>
      <c r="J3277">
        <v>48061.22</v>
      </c>
      <c r="K3277">
        <v>24476.074556936241</v>
      </c>
    </row>
    <row r="3278" spans="1:11" x14ac:dyDescent="0.25">
      <c r="A3278" t="s">
        <v>856</v>
      </c>
      <c r="B3278" t="s">
        <v>857</v>
      </c>
      <c r="C3278" s="1">
        <v>41314</v>
      </c>
      <c r="D3278" s="1">
        <v>41321</v>
      </c>
      <c r="E3278">
        <v>11832</v>
      </c>
      <c r="F3278" t="s">
        <v>331</v>
      </c>
      <c r="G3278" t="s">
        <v>16</v>
      </c>
      <c r="H3278" t="s">
        <v>1466</v>
      </c>
      <c r="I3278">
        <v>1.9636</v>
      </c>
      <c r="J3278">
        <v>63678.12</v>
      </c>
      <c r="K3278">
        <v>32429.272764310452</v>
      </c>
    </row>
    <row r="3279" spans="1:11" x14ac:dyDescent="0.25">
      <c r="A3279" t="s">
        <v>856</v>
      </c>
      <c r="B3279" t="s">
        <v>857</v>
      </c>
      <c r="C3279" s="1">
        <v>41314</v>
      </c>
      <c r="D3279" s="1">
        <v>41322</v>
      </c>
      <c r="E3279">
        <v>11832</v>
      </c>
      <c r="F3279" t="s">
        <v>331</v>
      </c>
      <c r="G3279" t="s">
        <v>16</v>
      </c>
      <c r="H3279" t="s">
        <v>819</v>
      </c>
      <c r="I3279">
        <v>1.9636</v>
      </c>
      <c r="J3279">
        <v>48346.3</v>
      </c>
      <c r="K3279">
        <v>24621.256875127317</v>
      </c>
    </row>
    <row r="3280" spans="1:11" x14ac:dyDescent="0.25">
      <c r="A3280" t="s">
        <v>856</v>
      </c>
      <c r="B3280" t="s">
        <v>857</v>
      </c>
      <c r="C3280" s="1">
        <v>41312</v>
      </c>
      <c r="D3280" s="1">
        <v>41322</v>
      </c>
      <c r="E3280">
        <v>11832</v>
      </c>
      <c r="F3280" t="s">
        <v>331</v>
      </c>
      <c r="G3280" t="s">
        <v>16</v>
      </c>
      <c r="H3280" t="s">
        <v>2895</v>
      </c>
      <c r="I3280">
        <v>1.9883999999999999</v>
      </c>
      <c r="J3280">
        <v>47263.26</v>
      </c>
      <c r="K3280">
        <v>23769.493059746528</v>
      </c>
    </row>
    <row r="3281" spans="1:11" x14ac:dyDescent="0.25">
      <c r="A3281" t="s">
        <v>856</v>
      </c>
      <c r="B3281" t="s">
        <v>857</v>
      </c>
      <c r="C3281" s="1">
        <v>41314</v>
      </c>
      <c r="D3281" s="1">
        <v>41322</v>
      </c>
      <c r="E3281">
        <v>11832</v>
      </c>
      <c r="F3281" t="s">
        <v>331</v>
      </c>
      <c r="G3281" t="s">
        <v>16</v>
      </c>
      <c r="H3281" t="s">
        <v>2896</v>
      </c>
      <c r="I3281">
        <v>1.9636</v>
      </c>
      <c r="J3281">
        <v>49188.57</v>
      </c>
      <c r="K3281">
        <v>25050.198614789162</v>
      </c>
    </row>
    <row r="3282" spans="1:11" x14ac:dyDescent="0.25">
      <c r="A3282" t="s">
        <v>848</v>
      </c>
      <c r="B3282" t="s">
        <v>849</v>
      </c>
      <c r="C3282" s="1">
        <v>41310</v>
      </c>
      <c r="D3282" s="1">
        <v>41314</v>
      </c>
      <c r="E3282">
        <v>11834</v>
      </c>
      <c r="F3282" t="s">
        <v>331</v>
      </c>
      <c r="G3282" t="s">
        <v>16</v>
      </c>
      <c r="H3282" t="s">
        <v>2897</v>
      </c>
      <c r="I3282">
        <v>1.9893000000000001</v>
      </c>
      <c r="J3282">
        <v>36805.629999999997</v>
      </c>
      <c r="K3282">
        <v>18501.799628009852</v>
      </c>
    </row>
    <row r="3283" spans="1:11" x14ac:dyDescent="0.25">
      <c r="A3283" t="s">
        <v>799</v>
      </c>
      <c r="B3283" t="s">
        <v>800</v>
      </c>
      <c r="C3283" s="1">
        <v>41307</v>
      </c>
      <c r="D3283" s="1">
        <v>41313</v>
      </c>
      <c r="E3283">
        <v>4856</v>
      </c>
      <c r="F3283" t="s">
        <v>675</v>
      </c>
      <c r="G3283" t="s">
        <v>16</v>
      </c>
      <c r="H3283" t="s">
        <v>6209</v>
      </c>
      <c r="I3283">
        <v>1.9843</v>
      </c>
      <c r="J3283">
        <v>947970.4</v>
      </c>
      <c r="K3283">
        <v>477735.42307110818</v>
      </c>
    </row>
    <row r="3284" spans="1:11" x14ac:dyDescent="0.25">
      <c r="A3284" t="s">
        <v>856</v>
      </c>
      <c r="B3284" t="s">
        <v>857</v>
      </c>
      <c r="C3284" s="1">
        <v>41315</v>
      </c>
      <c r="D3284" s="1">
        <v>41330</v>
      </c>
      <c r="E3284">
        <v>11832</v>
      </c>
      <c r="F3284" t="s">
        <v>331</v>
      </c>
      <c r="G3284" t="s">
        <v>16</v>
      </c>
      <c r="H3284" t="s">
        <v>6210</v>
      </c>
      <c r="I3284">
        <v>1.9636</v>
      </c>
      <c r="J3284">
        <v>46159.74</v>
      </c>
      <c r="K3284">
        <v>23507.710327969038</v>
      </c>
    </row>
    <row r="3285" spans="1:11" x14ac:dyDescent="0.25">
      <c r="A3285" t="s">
        <v>856</v>
      </c>
      <c r="B3285" t="s">
        <v>857</v>
      </c>
      <c r="C3285" s="1">
        <v>41323</v>
      </c>
      <c r="D3285" s="1">
        <v>41331</v>
      </c>
      <c r="E3285">
        <v>11832</v>
      </c>
      <c r="F3285" t="s">
        <v>331</v>
      </c>
      <c r="G3285" t="s">
        <v>16</v>
      </c>
      <c r="H3285" t="s">
        <v>2898</v>
      </c>
      <c r="I3285">
        <v>1.96</v>
      </c>
      <c r="J3285">
        <v>40291.019999999997</v>
      </c>
      <c r="K3285">
        <v>20556.642857142859</v>
      </c>
    </row>
    <row r="3286" spans="1:11" x14ac:dyDescent="0.25">
      <c r="A3286" t="s">
        <v>856</v>
      </c>
      <c r="B3286" t="s">
        <v>857</v>
      </c>
      <c r="C3286" s="1">
        <v>41318</v>
      </c>
      <c r="D3286" s="1">
        <v>41331</v>
      </c>
      <c r="E3286">
        <v>11832</v>
      </c>
      <c r="F3286" t="s">
        <v>331</v>
      </c>
      <c r="G3286" t="s">
        <v>16</v>
      </c>
      <c r="H3286" t="s">
        <v>6211</v>
      </c>
      <c r="I3286">
        <v>1.9636</v>
      </c>
      <c r="J3286">
        <v>46849.440000000002</v>
      </c>
      <c r="K3286">
        <v>23858.952943573029</v>
      </c>
    </row>
    <row r="3287" spans="1:11" x14ac:dyDescent="0.25">
      <c r="A3287" t="s">
        <v>848</v>
      </c>
      <c r="B3287" t="s">
        <v>849</v>
      </c>
      <c r="C3287" s="1">
        <v>41328</v>
      </c>
      <c r="D3287" s="1">
        <v>41333</v>
      </c>
      <c r="E3287">
        <v>11834</v>
      </c>
      <c r="F3287" t="s">
        <v>331</v>
      </c>
      <c r="G3287" t="s">
        <v>16</v>
      </c>
      <c r="H3287" t="s">
        <v>2899</v>
      </c>
      <c r="I3287">
        <v>1.9704999999999999</v>
      </c>
      <c r="J3287">
        <v>32467.21</v>
      </c>
      <c r="K3287">
        <v>16476.635371733064</v>
      </c>
    </row>
    <row r="3288" spans="1:11" x14ac:dyDescent="0.25">
      <c r="A3288" t="s">
        <v>774</v>
      </c>
      <c r="B3288" t="s">
        <v>775</v>
      </c>
      <c r="C3288" s="1">
        <v>41299</v>
      </c>
      <c r="D3288" s="1">
        <v>41305</v>
      </c>
      <c r="E3288">
        <v>4826</v>
      </c>
      <c r="F3288" t="s">
        <v>311</v>
      </c>
      <c r="G3288" t="s">
        <v>16</v>
      </c>
      <c r="H3288" t="s">
        <v>2900</v>
      </c>
      <c r="I3288">
        <v>2.0344000000000002</v>
      </c>
      <c r="J3288">
        <v>416502.37</v>
      </c>
      <c r="K3288">
        <v>204729.83189146678</v>
      </c>
    </row>
    <row r="3289" spans="1:11" x14ac:dyDescent="0.25">
      <c r="A3289" t="s">
        <v>1429</v>
      </c>
      <c r="B3289" t="s">
        <v>1430</v>
      </c>
      <c r="C3289" s="1">
        <v>41325</v>
      </c>
      <c r="D3289" s="1">
        <v>41331</v>
      </c>
      <c r="E3289">
        <v>5441</v>
      </c>
      <c r="F3289" t="s">
        <v>675</v>
      </c>
      <c r="G3289" t="s">
        <v>16</v>
      </c>
      <c r="H3289" t="s">
        <v>2901</v>
      </c>
      <c r="I3289">
        <v>1.9597</v>
      </c>
      <c r="J3289">
        <v>159265</v>
      </c>
      <c r="K3289">
        <v>81270.092361075673</v>
      </c>
    </row>
    <row r="3290" spans="1:11" x14ac:dyDescent="0.25">
      <c r="A3290" t="s">
        <v>6212</v>
      </c>
      <c r="B3290" t="s">
        <v>6213</v>
      </c>
      <c r="C3290" s="1">
        <v>41346</v>
      </c>
      <c r="D3290" s="1">
        <v>41355</v>
      </c>
      <c r="E3290">
        <v>14306</v>
      </c>
      <c r="F3290" t="s">
        <v>301</v>
      </c>
      <c r="G3290" t="s">
        <v>16</v>
      </c>
      <c r="H3290" t="s">
        <v>6214</v>
      </c>
      <c r="I3290">
        <v>1.9584999999999999</v>
      </c>
      <c r="J3290">
        <v>42107.25</v>
      </c>
      <c r="K3290">
        <v>21499.744702578504</v>
      </c>
    </row>
    <row r="3291" spans="1:11" x14ac:dyDescent="0.25">
      <c r="A3291" t="s">
        <v>1483</v>
      </c>
      <c r="B3291" t="s">
        <v>1484</v>
      </c>
      <c r="C3291" s="1">
        <v>41374</v>
      </c>
      <c r="D3291" s="1">
        <v>41381</v>
      </c>
      <c r="E3291">
        <v>14662</v>
      </c>
      <c r="F3291" t="s">
        <v>887</v>
      </c>
      <c r="G3291" t="s">
        <v>16</v>
      </c>
      <c r="H3291" t="s">
        <v>2902</v>
      </c>
      <c r="I3291">
        <v>1.9861</v>
      </c>
      <c r="J3291">
        <v>46663.94</v>
      </c>
      <c r="K3291">
        <v>23495.262071396202</v>
      </c>
    </row>
    <row r="3292" spans="1:11" x14ac:dyDescent="0.25">
      <c r="A3292" t="s">
        <v>848</v>
      </c>
      <c r="B3292" t="s">
        <v>849</v>
      </c>
      <c r="C3292" s="1">
        <v>41332</v>
      </c>
      <c r="D3292" s="1">
        <v>41339</v>
      </c>
      <c r="E3292">
        <v>11834</v>
      </c>
      <c r="F3292" t="s">
        <v>331</v>
      </c>
      <c r="G3292" t="s">
        <v>16</v>
      </c>
      <c r="H3292" t="s">
        <v>2903</v>
      </c>
      <c r="I3292">
        <v>1.9818</v>
      </c>
      <c r="J3292">
        <v>49689.120000000003</v>
      </c>
      <c r="K3292">
        <v>25072.721768089614</v>
      </c>
    </row>
    <row r="3293" spans="1:11" x14ac:dyDescent="0.25">
      <c r="A3293" t="s">
        <v>848</v>
      </c>
      <c r="B3293" t="s">
        <v>849</v>
      </c>
      <c r="C3293" s="1">
        <v>41333</v>
      </c>
      <c r="D3293" s="1">
        <v>41339</v>
      </c>
      <c r="E3293">
        <v>11834</v>
      </c>
      <c r="F3293" t="s">
        <v>331</v>
      </c>
      <c r="G3293" t="s">
        <v>16</v>
      </c>
      <c r="H3293" t="s">
        <v>6215</v>
      </c>
      <c r="I3293">
        <v>1.9806999999999999</v>
      </c>
      <c r="J3293">
        <v>50033.760000000002</v>
      </c>
      <c r="K3293">
        <v>25260.645226435099</v>
      </c>
    </row>
    <row r="3294" spans="1:11" x14ac:dyDescent="0.25">
      <c r="A3294" t="s">
        <v>1429</v>
      </c>
      <c r="B3294" t="s">
        <v>1430</v>
      </c>
      <c r="C3294" s="1">
        <v>41360</v>
      </c>
      <c r="D3294" s="1">
        <v>41366</v>
      </c>
      <c r="E3294">
        <v>5441</v>
      </c>
      <c r="F3294" t="s">
        <v>675</v>
      </c>
      <c r="G3294" t="s">
        <v>16</v>
      </c>
      <c r="H3294" t="s">
        <v>2904</v>
      </c>
      <c r="I3294">
        <v>2.0087000000000002</v>
      </c>
      <c r="J3294">
        <v>104776</v>
      </c>
      <c r="K3294">
        <v>52161.099218399962</v>
      </c>
    </row>
    <row r="3295" spans="1:11" x14ac:dyDescent="0.25">
      <c r="A3295" t="s">
        <v>1480</v>
      </c>
      <c r="B3295" t="s">
        <v>1481</v>
      </c>
      <c r="C3295" s="1">
        <v>41354</v>
      </c>
      <c r="D3295" s="1">
        <v>41360</v>
      </c>
      <c r="E3295">
        <v>13993</v>
      </c>
      <c r="F3295" t="s">
        <v>331</v>
      </c>
      <c r="G3295" t="s">
        <v>16</v>
      </c>
      <c r="H3295" t="s">
        <v>6216</v>
      </c>
      <c r="I3295">
        <v>1.9867999999999999</v>
      </c>
      <c r="J3295">
        <v>43502.15</v>
      </c>
      <c r="K3295">
        <v>21895.585866720354</v>
      </c>
    </row>
    <row r="3296" spans="1:11" x14ac:dyDescent="0.25">
      <c r="A3296" t="s">
        <v>1495</v>
      </c>
      <c r="B3296" t="s">
        <v>1496</v>
      </c>
      <c r="C3296" s="1">
        <v>41340</v>
      </c>
      <c r="D3296" s="1">
        <v>41349</v>
      </c>
      <c r="E3296">
        <v>13834</v>
      </c>
      <c r="F3296" t="s">
        <v>331</v>
      </c>
      <c r="G3296" t="s">
        <v>16</v>
      </c>
      <c r="H3296" t="s">
        <v>2905</v>
      </c>
      <c r="I3296">
        <v>1.9673</v>
      </c>
      <c r="J3296">
        <v>30145.5</v>
      </c>
      <c r="K3296">
        <v>15323.285721547298</v>
      </c>
    </row>
    <row r="3297" spans="1:11" x14ac:dyDescent="0.25">
      <c r="A3297" t="s">
        <v>4961</v>
      </c>
      <c r="B3297" t="s">
        <v>4962</v>
      </c>
      <c r="C3297" s="1">
        <v>41304</v>
      </c>
      <c r="D3297" s="1">
        <v>41333</v>
      </c>
      <c r="E3297">
        <v>13444</v>
      </c>
      <c r="F3297" t="s">
        <v>301</v>
      </c>
      <c r="G3297" t="s">
        <v>16</v>
      </c>
      <c r="H3297" t="s">
        <v>6217</v>
      </c>
      <c r="I3297">
        <v>1.9912000000000001</v>
      </c>
      <c r="J3297">
        <v>92430</v>
      </c>
      <c r="K3297">
        <v>46419.244676576942</v>
      </c>
    </row>
    <row r="3298" spans="1:11" x14ac:dyDescent="0.25">
      <c r="A3298" t="s">
        <v>4961</v>
      </c>
      <c r="B3298" t="s">
        <v>4962</v>
      </c>
      <c r="C3298" s="1">
        <v>41304</v>
      </c>
      <c r="D3298" s="1">
        <v>41333</v>
      </c>
      <c r="E3298">
        <v>13444</v>
      </c>
      <c r="F3298" t="s">
        <v>301</v>
      </c>
      <c r="G3298" t="s">
        <v>16</v>
      </c>
      <c r="H3298" t="s">
        <v>6218</v>
      </c>
      <c r="I3298">
        <v>1.9912000000000001</v>
      </c>
      <c r="J3298">
        <v>40948.6</v>
      </c>
      <c r="K3298">
        <v>20564.785054238651</v>
      </c>
    </row>
    <row r="3299" spans="1:11" x14ac:dyDescent="0.25">
      <c r="A3299" t="s">
        <v>4961</v>
      </c>
      <c r="B3299" t="s">
        <v>4962</v>
      </c>
      <c r="C3299" s="1">
        <v>41304</v>
      </c>
      <c r="D3299" s="1">
        <v>41333</v>
      </c>
      <c r="E3299">
        <v>13444</v>
      </c>
      <c r="F3299" t="s">
        <v>301</v>
      </c>
      <c r="G3299" t="s">
        <v>16</v>
      </c>
      <c r="H3299" t="s">
        <v>6219</v>
      </c>
      <c r="I3299">
        <v>1.9912000000000001</v>
      </c>
      <c r="J3299">
        <v>12231.4</v>
      </c>
      <c r="K3299">
        <v>6142.7280032141425</v>
      </c>
    </row>
    <row r="3300" spans="1:11" x14ac:dyDescent="0.25">
      <c r="A3300" t="s">
        <v>2906</v>
      </c>
      <c r="B3300" t="s">
        <v>2907</v>
      </c>
      <c r="C3300" s="1">
        <v>41312</v>
      </c>
      <c r="D3300" s="1">
        <v>41333</v>
      </c>
      <c r="E3300">
        <v>13440</v>
      </c>
      <c r="F3300" t="s">
        <v>278</v>
      </c>
      <c r="G3300" t="s">
        <v>16</v>
      </c>
      <c r="H3300" t="s">
        <v>2908</v>
      </c>
      <c r="I3300">
        <v>1.9883999999999999</v>
      </c>
      <c r="J3300">
        <v>154465.20000000001</v>
      </c>
      <c r="K3300">
        <v>77683.162341581177</v>
      </c>
    </row>
    <row r="3301" spans="1:11" x14ac:dyDescent="0.25">
      <c r="A3301" t="s">
        <v>799</v>
      </c>
      <c r="B3301" t="s">
        <v>800</v>
      </c>
      <c r="C3301" s="1">
        <v>41359</v>
      </c>
      <c r="D3301" s="1">
        <v>41365</v>
      </c>
      <c r="E3301">
        <v>4856</v>
      </c>
      <c r="F3301" t="s">
        <v>301</v>
      </c>
      <c r="G3301" t="s">
        <v>16</v>
      </c>
      <c r="H3301" t="s">
        <v>2909</v>
      </c>
      <c r="I3301">
        <v>2.0139999999999998</v>
      </c>
      <c r="J3301">
        <v>42030</v>
      </c>
      <c r="K3301">
        <v>20868.91757696127</v>
      </c>
    </row>
    <row r="3302" spans="1:11" x14ac:dyDescent="0.25">
      <c r="A3302" t="s">
        <v>848</v>
      </c>
      <c r="B3302" t="s">
        <v>849</v>
      </c>
      <c r="C3302" s="1">
        <v>41333</v>
      </c>
      <c r="D3302" s="1">
        <v>41342</v>
      </c>
      <c r="E3302">
        <v>11834</v>
      </c>
      <c r="F3302" t="s">
        <v>331</v>
      </c>
      <c r="G3302" t="s">
        <v>16</v>
      </c>
      <c r="H3302" t="s">
        <v>6220</v>
      </c>
      <c r="I3302">
        <v>1.9806999999999999</v>
      </c>
      <c r="J3302">
        <v>37586.14</v>
      </c>
      <c r="K3302">
        <v>18976.19023577523</v>
      </c>
    </row>
    <row r="3303" spans="1:11" x14ac:dyDescent="0.25">
      <c r="A3303" t="s">
        <v>1495</v>
      </c>
      <c r="B3303" t="s">
        <v>1496</v>
      </c>
      <c r="C3303" s="1">
        <v>41339</v>
      </c>
      <c r="D3303" s="1">
        <v>41347</v>
      </c>
      <c r="E3303">
        <v>13834</v>
      </c>
      <c r="F3303" t="s">
        <v>331</v>
      </c>
      <c r="G3303" t="s">
        <v>16</v>
      </c>
      <c r="H3303" t="s">
        <v>1168</v>
      </c>
      <c r="I3303">
        <v>1.9693000000000001</v>
      </c>
      <c r="J3303">
        <v>40363.4</v>
      </c>
      <c r="K3303">
        <v>20496.318488803128</v>
      </c>
    </row>
    <row r="3304" spans="1:11" x14ac:dyDescent="0.25">
      <c r="A3304" t="s">
        <v>1495</v>
      </c>
      <c r="B3304" t="s">
        <v>1496</v>
      </c>
      <c r="C3304" s="1">
        <v>41340</v>
      </c>
      <c r="D3304" s="1">
        <v>41348</v>
      </c>
      <c r="E3304">
        <v>13834</v>
      </c>
      <c r="F3304" t="s">
        <v>331</v>
      </c>
      <c r="G3304" t="s">
        <v>16</v>
      </c>
      <c r="H3304" t="s">
        <v>6221</v>
      </c>
      <c r="I3304">
        <v>1.9673</v>
      </c>
      <c r="J3304">
        <v>30130.1</v>
      </c>
      <c r="K3304">
        <v>15315.457733950085</v>
      </c>
    </row>
    <row r="3305" spans="1:11" x14ac:dyDescent="0.25">
      <c r="A3305" t="s">
        <v>872</v>
      </c>
      <c r="B3305" t="s">
        <v>873</v>
      </c>
      <c r="C3305" s="1">
        <v>41416</v>
      </c>
      <c r="D3305" s="1">
        <v>41417</v>
      </c>
      <c r="E3305">
        <v>4</v>
      </c>
      <c r="F3305" t="s">
        <v>309</v>
      </c>
      <c r="G3305" t="s">
        <v>16</v>
      </c>
      <c r="H3305" t="s">
        <v>6222</v>
      </c>
      <c r="I3305">
        <v>2.0402</v>
      </c>
      <c r="J3305">
        <v>50240.45</v>
      </c>
      <c r="K3305">
        <v>24625.25732771297</v>
      </c>
    </row>
    <row r="3306" spans="1:11" x14ac:dyDescent="0.25">
      <c r="A3306" t="s">
        <v>872</v>
      </c>
      <c r="B3306" t="s">
        <v>873</v>
      </c>
      <c r="C3306" s="1">
        <v>41416</v>
      </c>
      <c r="D3306" s="1">
        <v>41419</v>
      </c>
      <c r="E3306">
        <v>4</v>
      </c>
      <c r="F3306" t="s">
        <v>309</v>
      </c>
      <c r="G3306" t="s">
        <v>16</v>
      </c>
      <c r="H3306" t="s">
        <v>2910</v>
      </c>
      <c r="I3306">
        <v>2.0402</v>
      </c>
      <c r="J3306">
        <v>21725.599999999999</v>
      </c>
      <c r="K3306">
        <v>10648.759925497499</v>
      </c>
    </row>
    <row r="3307" spans="1:11" x14ac:dyDescent="0.25">
      <c r="A3307" t="s">
        <v>872</v>
      </c>
      <c r="B3307" t="s">
        <v>873</v>
      </c>
      <c r="C3307" s="1">
        <v>41416</v>
      </c>
      <c r="D3307" s="1">
        <v>41421</v>
      </c>
      <c r="E3307">
        <v>4</v>
      </c>
      <c r="F3307" t="s">
        <v>309</v>
      </c>
      <c r="G3307" t="s">
        <v>16</v>
      </c>
      <c r="H3307" t="s">
        <v>6223</v>
      </c>
      <c r="I3307">
        <v>2.0402</v>
      </c>
      <c r="J3307">
        <v>50240.45</v>
      </c>
      <c r="K3307">
        <v>24625.25732771297</v>
      </c>
    </row>
    <row r="3308" spans="1:11" x14ac:dyDescent="0.25">
      <c r="A3308" t="s">
        <v>875</v>
      </c>
      <c r="B3308" t="s">
        <v>876</v>
      </c>
      <c r="C3308" s="1">
        <v>41447</v>
      </c>
      <c r="D3308" s="1">
        <v>41452</v>
      </c>
      <c r="E3308">
        <v>8</v>
      </c>
      <c r="F3308" t="s">
        <v>309</v>
      </c>
      <c r="G3308" t="s">
        <v>16</v>
      </c>
      <c r="H3308" t="s">
        <v>2911</v>
      </c>
      <c r="I3308">
        <v>2.2648000000000001</v>
      </c>
      <c r="J3308">
        <v>41941.769999999997</v>
      </c>
      <c r="K3308">
        <v>18518.97297774638</v>
      </c>
    </row>
    <row r="3309" spans="1:11" x14ac:dyDescent="0.25">
      <c r="A3309" t="s">
        <v>875</v>
      </c>
      <c r="B3309" t="s">
        <v>876</v>
      </c>
      <c r="C3309" s="1">
        <v>41446</v>
      </c>
      <c r="D3309" s="1">
        <v>41454</v>
      </c>
      <c r="E3309">
        <v>8</v>
      </c>
      <c r="F3309" t="s">
        <v>309</v>
      </c>
      <c r="G3309" t="s">
        <v>16</v>
      </c>
      <c r="H3309" t="s">
        <v>6224</v>
      </c>
      <c r="I3309">
        <v>2.2523</v>
      </c>
      <c r="J3309">
        <v>26647.53</v>
      </c>
      <c r="K3309">
        <v>11831.252497447054</v>
      </c>
    </row>
    <row r="3310" spans="1:11" x14ac:dyDescent="0.25">
      <c r="A3310" t="s">
        <v>875</v>
      </c>
      <c r="B3310" t="s">
        <v>876</v>
      </c>
      <c r="C3310" s="1">
        <v>41446</v>
      </c>
      <c r="D3310" s="1">
        <v>41454</v>
      </c>
      <c r="E3310">
        <v>8</v>
      </c>
      <c r="F3310" t="s">
        <v>309</v>
      </c>
      <c r="G3310" t="s">
        <v>16</v>
      </c>
      <c r="H3310" t="s">
        <v>6225</v>
      </c>
      <c r="I3310">
        <v>2.2523</v>
      </c>
      <c r="J3310">
        <v>42872.51</v>
      </c>
      <c r="K3310">
        <v>19034.990898192958</v>
      </c>
    </row>
    <row r="3311" spans="1:11" x14ac:dyDescent="0.25">
      <c r="A3311" t="s">
        <v>875</v>
      </c>
      <c r="B3311" t="s">
        <v>876</v>
      </c>
      <c r="C3311" s="1">
        <v>41444</v>
      </c>
      <c r="D3311" s="1">
        <v>41449</v>
      </c>
      <c r="E3311">
        <v>8</v>
      </c>
      <c r="F3311" t="s">
        <v>309</v>
      </c>
      <c r="G3311" t="s">
        <v>16</v>
      </c>
      <c r="H3311" t="s">
        <v>6226</v>
      </c>
      <c r="I3311">
        <v>2.1705999999999999</v>
      </c>
      <c r="J3311">
        <v>41925</v>
      </c>
      <c r="K3311">
        <v>19314.935962406707</v>
      </c>
    </row>
    <row r="3312" spans="1:11" x14ac:dyDescent="0.25">
      <c r="A3312" t="s">
        <v>875</v>
      </c>
      <c r="B3312" t="s">
        <v>876</v>
      </c>
      <c r="C3312" s="1">
        <v>41436</v>
      </c>
      <c r="D3312" s="1">
        <v>41445</v>
      </c>
      <c r="E3312">
        <v>8</v>
      </c>
      <c r="F3312" t="s">
        <v>309</v>
      </c>
      <c r="G3312" t="s">
        <v>16</v>
      </c>
      <c r="H3312" t="s">
        <v>6227</v>
      </c>
      <c r="I3312">
        <v>2.1505999999999998</v>
      </c>
      <c r="J3312">
        <v>31812.69</v>
      </c>
      <c r="K3312">
        <v>14792.471868315819</v>
      </c>
    </row>
    <row r="3313" spans="1:11" x14ac:dyDescent="0.25">
      <c r="A3313" t="s">
        <v>875</v>
      </c>
      <c r="B3313" t="s">
        <v>876</v>
      </c>
      <c r="C3313" s="1">
        <v>41438</v>
      </c>
      <c r="D3313" s="1">
        <v>41449</v>
      </c>
      <c r="E3313">
        <v>8</v>
      </c>
      <c r="F3313" t="s">
        <v>309</v>
      </c>
      <c r="G3313" t="s">
        <v>16</v>
      </c>
      <c r="H3313" t="s">
        <v>2912</v>
      </c>
      <c r="I3313">
        <v>2.1419999999999999</v>
      </c>
      <c r="J3313">
        <v>31234.13</v>
      </c>
      <c r="K3313">
        <v>14581.760037348273</v>
      </c>
    </row>
    <row r="3314" spans="1:11" x14ac:dyDescent="0.25">
      <c r="A3314" t="s">
        <v>875</v>
      </c>
      <c r="B3314" t="s">
        <v>876</v>
      </c>
      <c r="C3314" s="1">
        <v>41438</v>
      </c>
      <c r="D3314" s="1">
        <v>41443</v>
      </c>
      <c r="E3314">
        <v>8</v>
      </c>
      <c r="F3314" t="s">
        <v>309</v>
      </c>
      <c r="G3314" t="s">
        <v>16</v>
      </c>
      <c r="H3314" t="s">
        <v>6228</v>
      </c>
      <c r="I3314">
        <v>2.1419999999999999</v>
      </c>
      <c r="J3314">
        <v>31292.82</v>
      </c>
      <c r="K3314">
        <v>14609.159663865546</v>
      </c>
    </row>
    <row r="3315" spans="1:11" x14ac:dyDescent="0.25">
      <c r="A3315" t="s">
        <v>875</v>
      </c>
      <c r="B3315" t="s">
        <v>876</v>
      </c>
      <c r="C3315" s="1">
        <v>41432</v>
      </c>
      <c r="D3315" s="1">
        <v>41443</v>
      </c>
      <c r="E3315">
        <v>8</v>
      </c>
      <c r="F3315" t="s">
        <v>309</v>
      </c>
      <c r="G3315" t="s">
        <v>16</v>
      </c>
      <c r="H3315" t="s">
        <v>6229</v>
      </c>
      <c r="I3315">
        <v>2.125</v>
      </c>
      <c r="J3315">
        <v>31343.13</v>
      </c>
      <c r="K3315">
        <v>14749.708235294118</v>
      </c>
    </row>
    <row r="3316" spans="1:11" x14ac:dyDescent="0.25">
      <c r="A3316" t="s">
        <v>875</v>
      </c>
      <c r="B3316" t="s">
        <v>876</v>
      </c>
      <c r="C3316" s="1">
        <v>41443</v>
      </c>
      <c r="D3316" s="1">
        <v>41449</v>
      </c>
      <c r="E3316">
        <v>8</v>
      </c>
      <c r="F3316" t="s">
        <v>309</v>
      </c>
      <c r="G3316" t="s">
        <v>16</v>
      </c>
      <c r="H3316" t="s">
        <v>6230</v>
      </c>
      <c r="I3316">
        <v>2.1537999999999999</v>
      </c>
      <c r="J3316">
        <v>31024.5</v>
      </c>
      <c r="K3316">
        <v>14404.54081158882</v>
      </c>
    </row>
    <row r="3317" spans="1:11" x14ac:dyDescent="0.25">
      <c r="A3317" t="s">
        <v>875</v>
      </c>
      <c r="B3317" t="s">
        <v>876</v>
      </c>
      <c r="C3317" s="1">
        <v>41438</v>
      </c>
      <c r="D3317" s="1">
        <v>41446</v>
      </c>
      <c r="E3317">
        <v>8</v>
      </c>
      <c r="F3317" t="s">
        <v>309</v>
      </c>
      <c r="G3317" t="s">
        <v>16</v>
      </c>
      <c r="H3317" t="s">
        <v>6231</v>
      </c>
      <c r="I3317">
        <v>2.1419999999999999</v>
      </c>
      <c r="J3317">
        <v>31494.06</v>
      </c>
      <c r="K3317">
        <v>14703.10924369748</v>
      </c>
    </row>
    <row r="3318" spans="1:11" x14ac:dyDescent="0.25">
      <c r="A3318" t="s">
        <v>875</v>
      </c>
      <c r="B3318" t="s">
        <v>876</v>
      </c>
      <c r="C3318" s="1">
        <v>41440</v>
      </c>
      <c r="D3318" s="1">
        <v>41446</v>
      </c>
      <c r="E3318">
        <v>8</v>
      </c>
      <c r="F3318" t="s">
        <v>309</v>
      </c>
      <c r="G3318" t="s">
        <v>16</v>
      </c>
      <c r="H3318" t="s">
        <v>6232</v>
      </c>
      <c r="I3318">
        <v>2.1366999999999998</v>
      </c>
      <c r="J3318">
        <v>26832</v>
      </c>
      <c r="K3318">
        <v>12557.682407450742</v>
      </c>
    </row>
    <row r="3319" spans="1:11" x14ac:dyDescent="0.25">
      <c r="A3319" t="s">
        <v>875</v>
      </c>
      <c r="B3319" t="s">
        <v>876</v>
      </c>
      <c r="C3319" s="1">
        <v>41443</v>
      </c>
      <c r="D3319" s="1">
        <v>41451</v>
      </c>
      <c r="E3319">
        <v>8</v>
      </c>
      <c r="F3319" t="s">
        <v>309</v>
      </c>
      <c r="G3319" t="s">
        <v>16</v>
      </c>
      <c r="H3319" t="s">
        <v>2913</v>
      </c>
      <c r="I3319">
        <v>2.1537999999999999</v>
      </c>
      <c r="J3319">
        <v>42050.78</v>
      </c>
      <c r="K3319">
        <v>19523.994799888569</v>
      </c>
    </row>
    <row r="3320" spans="1:11" x14ac:dyDescent="0.25">
      <c r="A3320" t="s">
        <v>875</v>
      </c>
      <c r="B3320" t="s">
        <v>876</v>
      </c>
      <c r="C3320" s="1">
        <v>41432</v>
      </c>
      <c r="D3320" s="1">
        <v>41438</v>
      </c>
      <c r="E3320">
        <v>8</v>
      </c>
      <c r="F3320" t="s">
        <v>309</v>
      </c>
      <c r="G3320" t="s">
        <v>16</v>
      </c>
      <c r="H3320" t="s">
        <v>2914</v>
      </c>
      <c r="I3320">
        <v>2.125</v>
      </c>
      <c r="J3320">
        <v>31938.47</v>
      </c>
      <c r="K3320">
        <v>15029.868235294118</v>
      </c>
    </row>
    <row r="3321" spans="1:11" x14ac:dyDescent="0.25">
      <c r="A3321" t="s">
        <v>875</v>
      </c>
      <c r="B3321" t="s">
        <v>876</v>
      </c>
      <c r="C3321" s="1">
        <v>41439</v>
      </c>
      <c r="D3321" s="1">
        <v>41444</v>
      </c>
      <c r="E3321">
        <v>8</v>
      </c>
      <c r="F3321" t="s">
        <v>309</v>
      </c>
      <c r="G3321" t="s">
        <v>16</v>
      </c>
      <c r="H3321" t="s">
        <v>6233</v>
      </c>
      <c r="I3321">
        <v>2.1446999999999998</v>
      </c>
      <c r="J3321">
        <v>26832</v>
      </c>
      <c r="K3321">
        <v>12510.840677017764</v>
      </c>
    </row>
    <row r="3322" spans="1:11" x14ac:dyDescent="0.25">
      <c r="A3322" t="s">
        <v>875</v>
      </c>
      <c r="B3322" t="s">
        <v>876</v>
      </c>
      <c r="C3322" s="1">
        <v>41457</v>
      </c>
      <c r="D3322" s="1">
        <v>41462</v>
      </c>
      <c r="E3322">
        <v>8</v>
      </c>
      <c r="F3322" t="s">
        <v>309</v>
      </c>
      <c r="G3322" t="s">
        <v>16</v>
      </c>
      <c r="H3322" t="s">
        <v>2915</v>
      </c>
      <c r="I3322">
        <v>2.2296999999999998</v>
      </c>
      <c r="J3322">
        <v>26739.77</v>
      </c>
      <c r="K3322">
        <v>11992.54159752433</v>
      </c>
    </row>
    <row r="3323" spans="1:11" x14ac:dyDescent="0.25">
      <c r="A3323" t="s">
        <v>875</v>
      </c>
      <c r="B3323" t="s">
        <v>876</v>
      </c>
      <c r="C3323" s="1">
        <v>41451</v>
      </c>
      <c r="D3323" s="1">
        <v>41462</v>
      </c>
      <c r="E3323">
        <v>8</v>
      </c>
      <c r="F3323" t="s">
        <v>309</v>
      </c>
      <c r="G3323" t="s">
        <v>16</v>
      </c>
      <c r="H3323" t="s">
        <v>6234</v>
      </c>
      <c r="I3323">
        <v>2.2185000000000001</v>
      </c>
      <c r="J3323">
        <v>29045.64</v>
      </c>
      <c r="K3323">
        <v>13092.467883705207</v>
      </c>
    </row>
    <row r="3324" spans="1:11" x14ac:dyDescent="0.25">
      <c r="A3324" t="s">
        <v>875</v>
      </c>
      <c r="B3324" t="s">
        <v>876</v>
      </c>
      <c r="C3324" s="1">
        <v>41452</v>
      </c>
      <c r="D3324" s="1">
        <v>41460</v>
      </c>
      <c r="E3324">
        <v>8</v>
      </c>
      <c r="F3324" t="s">
        <v>309</v>
      </c>
      <c r="G3324" t="s">
        <v>16</v>
      </c>
      <c r="H3324" t="s">
        <v>6235</v>
      </c>
      <c r="I3324">
        <v>2.1974999999999998</v>
      </c>
      <c r="J3324">
        <v>30764.57</v>
      </c>
      <c r="K3324">
        <v>13999.804323094426</v>
      </c>
    </row>
    <row r="3325" spans="1:11" x14ac:dyDescent="0.25">
      <c r="A3325" t="s">
        <v>2916</v>
      </c>
      <c r="B3325" t="s">
        <v>2917</v>
      </c>
      <c r="C3325" s="1">
        <v>41447</v>
      </c>
      <c r="D3325" s="1">
        <v>41465</v>
      </c>
      <c r="E3325">
        <v>160</v>
      </c>
      <c r="F3325" t="s">
        <v>311</v>
      </c>
      <c r="G3325" t="s">
        <v>16</v>
      </c>
      <c r="H3325" t="s">
        <v>2918</v>
      </c>
      <c r="I3325">
        <v>2.2648000000000001</v>
      </c>
      <c r="J3325">
        <v>743061</v>
      </c>
      <c r="K3325">
        <v>328091.22218297422</v>
      </c>
    </row>
    <row r="3326" spans="1:11" x14ac:dyDescent="0.25">
      <c r="A3326" t="s">
        <v>2919</v>
      </c>
      <c r="C3326" s="1">
        <v>41438</v>
      </c>
      <c r="D3326" s="1">
        <v>41439</v>
      </c>
      <c r="E3326">
        <v>16242</v>
      </c>
      <c r="F3326" t="s">
        <v>521</v>
      </c>
      <c r="G3326" t="s">
        <v>16</v>
      </c>
      <c r="H3326" t="s">
        <v>2920</v>
      </c>
      <c r="I3326">
        <v>2.1419999999999999</v>
      </c>
      <c r="J3326">
        <v>36</v>
      </c>
      <c r="K3326">
        <v>16.806722689075631</v>
      </c>
    </row>
    <row r="3327" spans="1:11" x14ac:dyDescent="0.25">
      <c r="A3327" t="s">
        <v>1510</v>
      </c>
      <c r="B3327" t="s">
        <v>1511</v>
      </c>
      <c r="C3327" s="1">
        <v>41499</v>
      </c>
      <c r="D3327" s="1">
        <v>41507</v>
      </c>
      <c r="E3327">
        <v>283</v>
      </c>
      <c r="F3327" t="s">
        <v>311</v>
      </c>
      <c r="G3327" t="s">
        <v>16</v>
      </c>
      <c r="H3327" t="s">
        <v>2921</v>
      </c>
      <c r="I3327">
        <v>2.2722000000000002</v>
      </c>
      <c r="J3327">
        <v>252874.51</v>
      </c>
      <c r="K3327">
        <v>111290.60382008625</v>
      </c>
    </row>
    <row r="3328" spans="1:11" x14ac:dyDescent="0.25">
      <c r="A3328" t="s">
        <v>1510</v>
      </c>
      <c r="B3328" t="s">
        <v>1511</v>
      </c>
      <c r="C3328" s="1">
        <v>41499</v>
      </c>
      <c r="D3328" s="1">
        <v>41507</v>
      </c>
      <c r="E3328">
        <v>283</v>
      </c>
      <c r="F3328" t="s">
        <v>311</v>
      </c>
      <c r="G3328" t="s">
        <v>16</v>
      </c>
      <c r="H3328" t="s">
        <v>2922</v>
      </c>
      <c r="I3328">
        <v>2.2722000000000002</v>
      </c>
      <c r="J3328">
        <v>382784.59</v>
      </c>
      <c r="K3328">
        <v>168464.30331836987</v>
      </c>
    </row>
    <row r="3329" spans="1:11" x14ac:dyDescent="0.25">
      <c r="A3329" t="s">
        <v>2923</v>
      </c>
      <c r="C3329" s="1">
        <v>41520</v>
      </c>
      <c r="D3329" s="1">
        <v>41522</v>
      </c>
      <c r="E3329">
        <v>18609</v>
      </c>
      <c r="F3329" t="s">
        <v>320</v>
      </c>
      <c r="G3329" t="s">
        <v>16</v>
      </c>
      <c r="H3329" t="s">
        <v>2924</v>
      </c>
      <c r="I3329">
        <v>2.3643000000000001</v>
      </c>
      <c r="J3329">
        <v>2697.71</v>
      </c>
      <c r="K3329">
        <v>1141.0184832720045</v>
      </c>
    </row>
    <row r="3330" spans="1:11" x14ac:dyDescent="0.25">
      <c r="A3330" t="s">
        <v>917</v>
      </c>
      <c r="B3330" t="s">
        <v>918</v>
      </c>
      <c r="C3330" s="1">
        <v>41503</v>
      </c>
      <c r="D3330" s="1">
        <v>41512</v>
      </c>
      <c r="E3330">
        <v>16313</v>
      </c>
      <c r="F3330" t="s">
        <v>311</v>
      </c>
      <c r="G3330" t="s">
        <v>16</v>
      </c>
      <c r="H3330" t="s">
        <v>6236</v>
      </c>
      <c r="I3330">
        <v>2.3559000000000001</v>
      </c>
      <c r="J3330">
        <v>84390</v>
      </c>
      <c r="K3330">
        <v>35820.705462880425</v>
      </c>
    </row>
    <row r="3331" spans="1:11" x14ac:dyDescent="0.25">
      <c r="A3331" t="s">
        <v>885</v>
      </c>
      <c r="B3331" t="s">
        <v>886</v>
      </c>
      <c r="C3331" s="1">
        <v>41506</v>
      </c>
      <c r="D3331" s="1">
        <v>41517</v>
      </c>
      <c r="E3331">
        <v>4</v>
      </c>
      <c r="F3331" t="s">
        <v>887</v>
      </c>
      <c r="G3331" t="s">
        <v>16</v>
      </c>
      <c r="H3331" t="s">
        <v>6237</v>
      </c>
      <c r="I3331">
        <v>2.3980000000000001</v>
      </c>
      <c r="J3331">
        <v>82151.64</v>
      </c>
      <c r="K3331">
        <v>34258.398665554632</v>
      </c>
    </row>
    <row r="3332" spans="1:11" x14ac:dyDescent="0.25">
      <c r="A3332" t="s">
        <v>1997</v>
      </c>
      <c r="B3332" t="s">
        <v>1998</v>
      </c>
      <c r="C3332" s="1">
        <v>41502</v>
      </c>
      <c r="D3332" s="1">
        <v>41519</v>
      </c>
      <c r="E3332">
        <v>21</v>
      </c>
      <c r="F3332" t="s">
        <v>311</v>
      </c>
      <c r="G3332" t="s">
        <v>16</v>
      </c>
      <c r="H3332" t="s">
        <v>2925</v>
      </c>
      <c r="I3332">
        <v>2.3433999999999999</v>
      </c>
      <c r="J3332">
        <v>4236.8500000000004</v>
      </c>
      <c r="K3332">
        <v>1807.992660237262</v>
      </c>
    </row>
    <row r="3333" spans="1:11" x14ac:dyDescent="0.25">
      <c r="A3333" t="s">
        <v>1997</v>
      </c>
      <c r="B3333" t="s">
        <v>1998</v>
      </c>
      <c r="C3333" s="1">
        <v>41503</v>
      </c>
      <c r="D3333" s="1">
        <v>41519</v>
      </c>
      <c r="E3333">
        <v>21</v>
      </c>
      <c r="F3333" t="s">
        <v>311</v>
      </c>
      <c r="G3333" t="s">
        <v>16</v>
      </c>
      <c r="H3333" t="s">
        <v>6238</v>
      </c>
      <c r="I3333">
        <v>2.3559000000000001</v>
      </c>
      <c r="J3333">
        <v>28130</v>
      </c>
      <c r="K3333">
        <v>11940.235154293476</v>
      </c>
    </row>
    <row r="3334" spans="1:11" x14ac:dyDescent="0.25">
      <c r="A3334" t="s">
        <v>2926</v>
      </c>
      <c r="B3334" t="s">
        <v>144</v>
      </c>
      <c r="C3334" s="1">
        <v>41513</v>
      </c>
      <c r="D3334" s="1">
        <v>41516</v>
      </c>
      <c r="E3334">
        <v>1</v>
      </c>
      <c r="F3334" t="s">
        <v>642</v>
      </c>
      <c r="G3334" t="s">
        <v>16</v>
      </c>
      <c r="H3334" t="s">
        <v>2927</v>
      </c>
      <c r="I3334">
        <v>2.3704999999999998</v>
      </c>
      <c r="J3334">
        <v>53993.86</v>
      </c>
      <c r="K3334">
        <v>22777.414047669266</v>
      </c>
    </row>
    <row r="3335" spans="1:11" x14ac:dyDescent="0.25">
      <c r="A3335" t="s">
        <v>885</v>
      </c>
      <c r="B3335" t="s">
        <v>886</v>
      </c>
      <c r="C3335" s="1">
        <v>41506</v>
      </c>
      <c r="D3335" s="1">
        <v>41510</v>
      </c>
      <c r="E3335">
        <v>4</v>
      </c>
      <c r="F3335" t="s">
        <v>887</v>
      </c>
      <c r="G3335" t="s">
        <v>16</v>
      </c>
      <c r="H3335" t="s">
        <v>6239</v>
      </c>
      <c r="I3335">
        <v>2.3980000000000001</v>
      </c>
      <c r="J3335">
        <v>60427.26</v>
      </c>
      <c r="K3335">
        <v>25199.024186822353</v>
      </c>
    </row>
    <row r="3336" spans="1:11" x14ac:dyDescent="0.25">
      <c r="A3336" t="s">
        <v>885</v>
      </c>
      <c r="B3336" t="s">
        <v>886</v>
      </c>
      <c r="C3336" s="1">
        <v>41505</v>
      </c>
      <c r="D3336" s="1">
        <v>41510</v>
      </c>
      <c r="E3336">
        <v>4</v>
      </c>
      <c r="F3336" t="s">
        <v>887</v>
      </c>
      <c r="G3336" t="s">
        <v>16</v>
      </c>
      <c r="H3336" t="s">
        <v>6240</v>
      </c>
      <c r="I3336">
        <v>2.3559000000000001</v>
      </c>
      <c r="J3336">
        <v>60042.68</v>
      </c>
      <c r="K3336">
        <v>25486.090241521288</v>
      </c>
    </row>
    <row r="3337" spans="1:11" x14ac:dyDescent="0.25">
      <c r="A3337" t="s">
        <v>885</v>
      </c>
      <c r="B3337" t="s">
        <v>886</v>
      </c>
      <c r="C3337" s="1">
        <v>41506</v>
      </c>
      <c r="D3337" s="1">
        <v>41512</v>
      </c>
      <c r="E3337">
        <v>4</v>
      </c>
      <c r="F3337" t="s">
        <v>887</v>
      </c>
      <c r="G3337" t="s">
        <v>16</v>
      </c>
      <c r="H3337" t="s">
        <v>6241</v>
      </c>
      <c r="I3337">
        <v>2.3980000000000001</v>
      </c>
      <c r="J3337">
        <v>60398.91</v>
      </c>
      <c r="K3337">
        <v>25187.201834862386</v>
      </c>
    </row>
    <row r="3338" spans="1:11" x14ac:dyDescent="0.25">
      <c r="A3338" t="s">
        <v>904</v>
      </c>
      <c r="B3338" t="s">
        <v>905</v>
      </c>
      <c r="C3338" s="1">
        <v>41531</v>
      </c>
      <c r="D3338" s="1">
        <v>41536</v>
      </c>
      <c r="E3338">
        <v>16316</v>
      </c>
      <c r="F3338" t="s">
        <v>887</v>
      </c>
      <c r="G3338" t="s">
        <v>16</v>
      </c>
      <c r="H3338" t="s">
        <v>2928</v>
      </c>
      <c r="I3338">
        <v>2.2785000000000002</v>
      </c>
      <c r="J3338">
        <v>60752.36</v>
      </c>
      <c r="K3338">
        <v>26663.313583497915</v>
      </c>
    </row>
    <row r="3339" spans="1:11" x14ac:dyDescent="0.25">
      <c r="A3339" t="s">
        <v>893</v>
      </c>
      <c r="B3339" t="s">
        <v>894</v>
      </c>
      <c r="C3339" s="1">
        <v>41506</v>
      </c>
      <c r="D3339" s="1">
        <v>41537</v>
      </c>
      <c r="E3339">
        <v>4</v>
      </c>
      <c r="F3339" t="s">
        <v>311</v>
      </c>
      <c r="G3339" t="s">
        <v>16</v>
      </c>
      <c r="H3339" t="s">
        <v>6242</v>
      </c>
      <c r="I3339">
        <v>2.3980000000000001</v>
      </c>
      <c r="J3339">
        <v>82086.98</v>
      </c>
      <c r="K3339">
        <v>34231.434528773978</v>
      </c>
    </row>
    <row r="3340" spans="1:11" x14ac:dyDescent="0.25">
      <c r="A3340" t="s">
        <v>893</v>
      </c>
      <c r="B3340" t="s">
        <v>894</v>
      </c>
      <c r="C3340" s="1">
        <v>41506</v>
      </c>
      <c r="D3340" s="1">
        <v>41537</v>
      </c>
      <c r="E3340">
        <v>4</v>
      </c>
      <c r="F3340" t="s">
        <v>311</v>
      </c>
      <c r="G3340" t="s">
        <v>16</v>
      </c>
      <c r="H3340" t="s">
        <v>6243</v>
      </c>
      <c r="I3340">
        <v>2.3980000000000001</v>
      </c>
      <c r="J3340">
        <v>11561.58</v>
      </c>
      <c r="K3340">
        <v>4821.3427856547123</v>
      </c>
    </row>
    <row r="3341" spans="1:11" x14ac:dyDescent="0.25">
      <c r="A3341" t="s">
        <v>896</v>
      </c>
      <c r="B3341" t="s">
        <v>897</v>
      </c>
      <c r="C3341" s="1">
        <v>41536</v>
      </c>
      <c r="D3341" s="1">
        <v>41541</v>
      </c>
      <c r="E3341">
        <v>296</v>
      </c>
      <c r="F3341" t="s">
        <v>887</v>
      </c>
      <c r="G3341" t="s">
        <v>16</v>
      </c>
      <c r="H3341" t="s">
        <v>6244</v>
      </c>
      <c r="I3341">
        <v>2.2488999999999999</v>
      </c>
      <c r="J3341">
        <v>49199.64</v>
      </c>
      <c r="K3341">
        <v>21877.202187736228</v>
      </c>
    </row>
    <row r="3342" spans="1:11" x14ac:dyDescent="0.25">
      <c r="A3342" t="s">
        <v>1650</v>
      </c>
      <c r="B3342" t="s">
        <v>1651</v>
      </c>
      <c r="C3342" s="1">
        <v>41522</v>
      </c>
      <c r="D3342" s="1">
        <v>41543</v>
      </c>
      <c r="E3342">
        <v>23</v>
      </c>
      <c r="F3342" t="s">
        <v>887</v>
      </c>
      <c r="G3342" t="s">
        <v>16</v>
      </c>
      <c r="H3342" t="s">
        <v>6245</v>
      </c>
      <c r="I3342">
        <v>2.3538000000000001</v>
      </c>
      <c r="J3342">
        <v>63105.99</v>
      </c>
      <c r="K3342">
        <v>26810.260005098138</v>
      </c>
    </row>
    <row r="3343" spans="1:11" x14ac:dyDescent="0.25">
      <c r="A3343" t="s">
        <v>1994</v>
      </c>
      <c r="B3343" t="s">
        <v>1995</v>
      </c>
      <c r="C3343" s="1">
        <v>41522</v>
      </c>
      <c r="D3343" s="1">
        <v>41543</v>
      </c>
      <c r="E3343">
        <v>3</v>
      </c>
      <c r="F3343" t="s">
        <v>887</v>
      </c>
      <c r="G3343" t="s">
        <v>16</v>
      </c>
      <c r="H3343" t="s">
        <v>2929</v>
      </c>
      <c r="I3343">
        <v>2.3538000000000001</v>
      </c>
      <c r="J3343">
        <v>62773.42</v>
      </c>
      <c r="K3343">
        <v>26668.96932619594</v>
      </c>
    </row>
    <row r="3344" spans="1:11" x14ac:dyDescent="0.25">
      <c r="A3344" t="s">
        <v>896</v>
      </c>
      <c r="B3344" t="s">
        <v>897</v>
      </c>
      <c r="C3344" s="1">
        <v>41537</v>
      </c>
      <c r="D3344" s="1">
        <v>41543</v>
      </c>
      <c r="E3344">
        <v>296</v>
      </c>
      <c r="F3344" t="s">
        <v>887</v>
      </c>
      <c r="G3344" t="s">
        <v>16</v>
      </c>
      <c r="H3344" t="s">
        <v>2930</v>
      </c>
      <c r="I3344">
        <v>2.2035999999999998</v>
      </c>
      <c r="J3344">
        <v>78998.929999999993</v>
      </c>
      <c r="K3344">
        <v>35849.941005627159</v>
      </c>
    </row>
    <row r="3345" spans="1:11" x14ac:dyDescent="0.25">
      <c r="A3345" t="s">
        <v>896</v>
      </c>
      <c r="B3345" t="s">
        <v>897</v>
      </c>
      <c r="C3345" s="1">
        <v>41538</v>
      </c>
      <c r="D3345" s="1">
        <v>41543</v>
      </c>
      <c r="E3345">
        <v>296</v>
      </c>
      <c r="F3345" t="s">
        <v>887</v>
      </c>
      <c r="G3345" t="s">
        <v>16</v>
      </c>
      <c r="H3345" t="s">
        <v>2931</v>
      </c>
      <c r="I3345">
        <v>2.2052999999999998</v>
      </c>
      <c r="J3345">
        <v>58486.76</v>
      </c>
      <c r="K3345">
        <v>26520.999410511042</v>
      </c>
    </row>
    <row r="3346" spans="1:11" x14ac:dyDescent="0.25">
      <c r="A3346" t="s">
        <v>896</v>
      </c>
      <c r="B3346" t="s">
        <v>897</v>
      </c>
      <c r="C3346" s="1">
        <v>41537</v>
      </c>
      <c r="D3346" s="1">
        <v>41543</v>
      </c>
      <c r="E3346">
        <v>296</v>
      </c>
      <c r="F3346" t="s">
        <v>887</v>
      </c>
      <c r="G3346" t="s">
        <v>16</v>
      </c>
      <c r="H3346" t="s">
        <v>6246</v>
      </c>
      <c r="I3346">
        <v>2.2035999999999998</v>
      </c>
      <c r="J3346">
        <v>76475.55</v>
      </c>
      <c r="K3346">
        <v>34704.823924487202</v>
      </c>
    </row>
    <row r="3347" spans="1:11" x14ac:dyDescent="0.25">
      <c r="A3347" t="s">
        <v>896</v>
      </c>
      <c r="B3347" t="s">
        <v>897</v>
      </c>
      <c r="C3347" s="1">
        <v>41534</v>
      </c>
      <c r="D3347" s="1">
        <v>41540</v>
      </c>
      <c r="E3347">
        <v>296</v>
      </c>
      <c r="F3347" t="s">
        <v>887</v>
      </c>
      <c r="G3347" t="s">
        <v>16</v>
      </c>
      <c r="H3347" t="s">
        <v>6247</v>
      </c>
      <c r="I3347">
        <v>2.2648999999999999</v>
      </c>
      <c r="J3347">
        <v>65905.87</v>
      </c>
      <c r="K3347">
        <v>29098.799063976334</v>
      </c>
    </row>
    <row r="3348" spans="1:11" x14ac:dyDescent="0.25">
      <c r="A3348" t="s">
        <v>1510</v>
      </c>
      <c r="B3348" t="s">
        <v>1511</v>
      </c>
      <c r="C3348" s="1">
        <v>41522</v>
      </c>
      <c r="D3348" s="1">
        <v>41531</v>
      </c>
      <c r="E3348">
        <v>283</v>
      </c>
      <c r="F3348" t="s">
        <v>311</v>
      </c>
      <c r="G3348" t="s">
        <v>16</v>
      </c>
      <c r="H3348" t="s">
        <v>6248</v>
      </c>
      <c r="I3348">
        <v>2.3538000000000001</v>
      </c>
      <c r="J3348">
        <v>166606.56</v>
      </c>
      <c r="K3348">
        <v>70781.952587305626</v>
      </c>
    </row>
    <row r="3349" spans="1:11" x14ac:dyDescent="0.25">
      <c r="A3349" t="s">
        <v>885</v>
      </c>
      <c r="B3349" t="s">
        <v>886</v>
      </c>
      <c r="C3349" s="1">
        <v>41523</v>
      </c>
      <c r="D3349" s="1">
        <v>41528</v>
      </c>
      <c r="E3349">
        <v>4</v>
      </c>
      <c r="F3349" t="s">
        <v>887</v>
      </c>
      <c r="G3349" t="s">
        <v>16</v>
      </c>
      <c r="H3349" t="s">
        <v>6249</v>
      </c>
      <c r="I3349">
        <v>2.3313999999999999</v>
      </c>
      <c r="J3349">
        <v>76499.929999999993</v>
      </c>
      <c r="K3349">
        <v>32812.872094020757</v>
      </c>
    </row>
    <row r="3350" spans="1:11" x14ac:dyDescent="0.25">
      <c r="A3350" t="s">
        <v>885</v>
      </c>
      <c r="B3350" t="s">
        <v>886</v>
      </c>
      <c r="C3350" s="1">
        <v>41523</v>
      </c>
      <c r="D3350" s="1">
        <v>41528</v>
      </c>
      <c r="E3350">
        <v>4</v>
      </c>
      <c r="F3350" t="s">
        <v>887</v>
      </c>
      <c r="G3350" t="s">
        <v>16</v>
      </c>
      <c r="H3350" t="s">
        <v>6250</v>
      </c>
      <c r="I3350">
        <v>2.3313999999999999</v>
      </c>
      <c r="J3350">
        <v>60292.59</v>
      </c>
      <c r="K3350">
        <v>25861.109204769666</v>
      </c>
    </row>
    <row r="3351" spans="1:11" x14ac:dyDescent="0.25">
      <c r="A3351" t="s">
        <v>885</v>
      </c>
      <c r="B3351" t="s">
        <v>886</v>
      </c>
      <c r="C3351" s="1">
        <v>41522</v>
      </c>
      <c r="D3351" s="1">
        <v>41529</v>
      </c>
      <c r="E3351">
        <v>4</v>
      </c>
      <c r="F3351" t="s">
        <v>887</v>
      </c>
      <c r="G3351" t="s">
        <v>16</v>
      </c>
      <c r="H3351" t="s">
        <v>2932</v>
      </c>
      <c r="I3351">
        <v>2.3538000000000001</v>
      </c>
      <c r="J3351">
        <v>81597.789999999994</v>
      </c>
      <c r="K3351">
        <v>34666.407511258389</v>
      </c>
    </row>
    <row r="3352" spans="1:11" x14ac:dyDescent="0.25">
      <c r="A3352" t="s">
        <v>901</v>
      </c>
      <c r="B3352" t="s">
        <v>902</v>
      </c>
      <c r="C3352" s="1">
        <v>41516</v>
      </c>
      <c r="D3352" s="1">
        <v>41522</v>
      </c>
      <c r="E3352">
        <v>16315</v>
      </c>
      <c r="F3352" t="s">
        <v>887</v>
      </c>
      <c r="G3352" t="s">
        <v>16</v>
      </c>
      <c r="H3352" t="s">
        <v>2933</v>
      </c>
      <c r="I3352">
        <v>2.3578000000000001</v>
      </c>
      <c r="J3352">
        <v>52554.77</v>
      </c>
      <c r="K3352">
        <v>22289.748918483332</v>
      </c>
    </row>
    <row r="3353" spans="1:11" x14ac:dyDescent="0.25">
      <c r="A3353" t="s">
        <v>901</v>
      </c>
      <c r="B3353" t="s">
        <v>902</v>
      </c>
      <c r="C3353" s="1">
        <v>41516</v>
      </c>
      <c r="D3353" s="1">
        <v>41522</v>
      </c>
      <c r="E3353">
        <v>16315</v>
      </c>
      <c r="F3353" t="s">
        <v>887</v>
      </c>
      <c r="G3353" t="s">
        <v>16</v>
      </c>
      <c r="H3353" t="s">
        <v>2934</v>
      </c>
      <c r="I3353">
        <v>2.3578000000000001</v>
      </c>
      <c r="J3353">
        <v>53752.43</v>
      </c>
      <c r="K3353">
        <v>22797.705488166936</v>
      </c>
    </row>
    <row r="3354" spans="1:11" x14ac:dyDescent="0.25">
      <c r="A3354" t="s">
        <v>896</v>
      </c>
      <c r="B3354" t="s">
        <v>897</v>
      </c>
      <c r="C3354" s="1">
        <v>41540</v>
      </c>
      <c r="D3354" s="1">
        <v>41545</v>
      </c>
      <c r="E3354">
        <v>296</v>
      </c>
      <c r="F3354" t="s">
        <v>887</v>
      </c>
      <c r="G3354" t="s">
        <v>16</v>
      </c>
      <c r="H3354" t="s">
        <v>6251</v>
      </c>
      <c r="I3354">
        <v>2.2052999999999998</v>
      </c>
      <c r="J3354">
        <v>65602.820000000007</v>
      </c>
      <c r="K3354">
        <v>29747.798485466828</v>
      </c>
    </row>
    <row r="3355" spans="1:11" x14ac:dyDescent="0.25">
      <c r="A3355" t="s">
        <v>907</v>
      </c>
      <c r="B3355" t="s">
        <v>908</v>
      </c>
      <c r="C3355" s="1">
        <v>41529</v>
      </c>
      <c r="D3355" s="1">
        <v>41537</v>
      </c>
      <c r="E3355">
        <v>1</v>
      </c>
      <c r="F3355" t="s">
        <v>887</v>
      </c>
      <c r="G3355" t="s">
        <v>16</v>
      </c>
      <c r="H3355" t="s">
        <v>6252</v>
      </c>
      <c r="I3355">
        <v>2.2947000000000002</v>
      </c>
      <c r="J3355">
        <v>50689.01</v>
      </c>
      <c r="K3355">
        <v>22089.602126639649</v>
      </c>
    </row>
    <row r="3356" spans="1:11" x14ac:dyDescent="0.25">
      <c r="A3356" t="s">
        <v>896</v>
      </c>
      <c r="B3356" t="s">
        <v>897</v>
      </c>
      <c r="C3356" s="1">
        <v>41540</v>
      </c>
      <c r="D3356" s="1">
        <v>41544</v>
      </c>
      <c r="E3356">
        <v>296</v>
      </c>
      <c r="F3356" t="s">
        <v>887</v>
      </c>
      <c r="G3356" t="s">
        <v>16</v>
      </c>
      <c r="H3356" t="s">
        <v>2935</v>
      </c>
      <c r="I3356">
        <v>2.2052999999999998</v>
      </c>
      <c r="J3356">
        <v>64431.81</v>
      </c>
      <c r="K3356">
        <v>29216.800435314923</v>
      </c>
    </row>
    <row r="3357" spans="1:11" x14ac:dyDescent="0.25">
      <c r="A3357" t="s">
        <v>896</v>
      </c>
      <c r="B3357" t="s">
        <v>897</v>
      </c>
      <c r="C3357" s="1">
        <v>41540</v>
      </c>
      <c r="D3357" s="1">
        <v>41544</v>
      </c>
      <c r="E3357">
        <v>296</v>
      </c>
      <c r="F3357" t="s">
        <v>887</v>
      </c>
      <c r="G3357" t="s">
        <v>16</v>
      </c>
      <c r="H3357" t="s">
        <v>6253</v>
      </c>
      <c r="I3357">
        <v>2.2052999999999998</v>
      </c>
      <c r="J3357">
        <v>64132.55</v>
      </c>
      <c r="K3357">
        <v>29081.100077087016</v>
      </c>
    </row>
    <row r="3358" spans="1:11" x14ac:dyDescent="0.25">
      <c r="A3358" t="s">
        <v>907</v>
      </c>
      <c r="B3358" t="s">
        <v>908</v>
      </c>
      <c r="C3358" s="1">
        <v>41529</v>
      </c>
      <c r="D3358" s="1">
        <v>41535</v>
      </c>
      <c r="E3358">
        <v>1</v>
      </c>
      <c r="F3358" t="s">
        <v>887</v>
      </c>
      <c r="G3358" t="s">
        <v>16</v>
      </c>
      <c r="H3358" t="s">
        <v>2936</v>
      </c>
      <c r="I3358">
        <v>2.2947000000000002</v>
      </c>
      <c r="J3358">
        <v>68952.75</v>
      </c>
      <c r="K3358">
        <v>30048.699176362923</v>
      </c>
    </row>
    <row r="3359" spans="1:11" x14ac:dyDescent="0.25">
      <c r="A3359" t="s">
        <v>896</v>
      </c>
      <c r="B3359" t="s">
        <v>897</v>
      </c>
      <c r="C3359" s="1">
        <v>41528</v>
      </c>
      <c r="D3359" s="1">
        <v>41533</v>
      </c>
      <c r="E3359">
        <v>296</v>
      </c>
      <c r="F3359" t="s">
        <v>887</v>
      </c>
      <c r="G3359" t="s">
        <v>16</v>
      </c>
      <c r="H3359" t="s">
        <v>6254</v>
      </c>
      <c r="I3359">
        <v>2.2778999999999998</v>
      </c>
      <c r="J3359">
        <v>49162.09</v>
      </c>
      <c r="K3359">
        <v>21582.198516177181</v>
      </c>
    </row>
    <row r="3360" spans="1:11" x14ac:dyDescent="0.25">
      <c r="A3360" t="s">
        <v>885</v>
      </c>
      <c r="B3360" t="s">
        <v>886</v>
      </c>
      <c r="C3360" s="1">
        <v>41523</v>
      </c>
      <c r="D3360" s="1">
        <v>41533</v>
      </c>
      <c r="E3360">
        <v>4</v>
      </c>
      <c r="F3360" t="s">
        <v>887</v>
      </c>
      <c r="G3360" t="s">
        <v>16</v>
      </c>
      <c r="H3360" t="s">
        <v>6255</v>
      </c>
      <c r="I3360">
        <v>2.3313999999999999</v>
      </c>
      <c r="J3360">
        <v>60629.24</v>
      </c>
      <c r="K3360">
        <v>26005.507420434074</v>
      </c>
    </row>
    <row r="3361" spans="1:11" x14ac:dyDescent="0.25">
      <c r="A3361" t="s">
        <v>896</v>
      </c>
      <c r="B3361" t="s">
        <v>897</v>
      </c>
      <c r="C3361" s="1">
        <v>41557</v>
      </c>
      <c r="D3361" s="1">
        <v>41562</v>
      </c>
      <c r="E3361">
        <v>296</v>
      </c>
      <c r="F3361" t="s">
        <v>887</v>
      </c>
      <c r="G3361" t="s">
        <v>16</v>
      </c>
      <c r="H3361" t="s">
        <v>2937</v>
      </c>
      <c r="I3361">
        <v>2.2054</v>
      </c>
      <c r="J3361">
        <v>39035.58</v>
      </c>
      <c r="K3361">
        <v>17700</v>
      </c>
    </row>
    <row r="3362" spans="1:11" x14ac:dyDescent="0.25">
      <c r="A3362" t="s">
        <v>1558</v>
      </c>
      <c r="B3362" t="s">
        <v>1559</v>
      </c>
      <c r="C3362" s="1">
        <v>41546</v>
      </c>
      <c r="D3362" s="1">
        <v>41562</v>
      </c>
      <c r="E3362">
        <v>2</v>
      </c>
      <c r="F3362" t="s">
        <v>887</v>
      </c>
      <c r="G3362" t="s">
        <v>16</v>
      </c>
      <c r="H3362" t="s">
        <v>2938</v>
      </c>
      <c r="I3362">
        <v>2.2570999999999999</v>
      </c>
      <c r="J3362">
        <v>56865.599999999999</v>
      </c>
      <c r="K3362">
        <v>25194.098622125737</v>
      </c>
    </row>
    <row r="3363" spans="1:11" x14ac:dyDescent="0.25">
      <c r="A3363" t="s">
        <v>896</v>
      </c>
      <c r="B3363" t="s">
        <v>897</v>
      </c>
      <c r="C3363" s="1">
        <v>41554</v>
      </c>
      <c r="D3363" s="1">
        <v>41562</v>
      </c>
      <c r="E3363">
        <v>296</v>
      </c>
      <c r="F3363" t="s">
        <v>887</v>
      </c>
      <c r="G3363" t="s">
        <v>16</v>
      </c>
      <c r="H3363" t="s">
        <v>2939</v>
      </c>
      <c r="I3363">
        <v>2.2050999999999998</v>
      </c>
      <c r="J3363">
        <v>64451.99</v>
      </c>
      <c r="K3363">
        <v>29228.601877465873</v>
      </c>
    </row>
    <row r="3364" spans="1:11" x14ac:dyDescent="0.25">
      <c r="A3364" t="s">
        <v>885</v>
      </c>
      <c r="B3364" t="s">
        <v>886</v>
      </c>
      <c r="C3364" s="1">
        <v>41550</v>
      </c>
      <c r="D3364" s="1">
        <v>41555</v>
      </c>
      <c r="E3364">
        <v>4</v>
      </c>
      <c r="F3364" t="s">
        <v>887</v>
      </c>
      <c r="G3364" t="s">
        <v>16</v>
      </c>
      <c r="H3364" t="s">
        <v>2940</v>
      </c>
      <c r="I3364">
        <v>2.2088000000000001</v>
      </c>
      <c r="J3364">
        <v>76070.47</v>
      </c>
      <c r="K3364">
        <v>34439.727453821077</v>
      </c>
    </row>
    <row r="3365" spans="1:11" x14ac:dyDescent="0.25">
      <c r="A3365" t="s">
        <v>921</v>
      </c>
      <c r="B3365" t="s">
        <v>922</v>
      </c>
      <c r="C3365" s="1">
        <v>41546</v>
      </c>
      <c r="D3365" s="1">
        <v>41549</v>
      </c>
      <c r="E3365">
        <v>18399</v>
      </c>
      <c r="F3365" t="s">
        <v>887</v>
      </c>
      <c r="G3365" t="s">
        <v>16</v>
      </c>
      <c r="H3365" t="s">
        <v>6256</v>
      </c>
      <c r="I3365">
        <v>2.2570999999999999</v>
      </c>
      <c r="J3365">
        <v>56610.93</v>
      </c>
      <c r="K3365">
        <v>25081.267998759471</v>
      </c>
    </row>
    <row r="3366" spans="1:11" x14ac:dyDescent="0.25">
      <c r="A3366" t="s">
        <v>885</v>
      </c>
      <c r="B3366" t="s">
        <v>886</v>
      </c>
      <c r="C3366" s="1">
        <v>41550</v>
      </c>
      <c r="D3366" s="1">
        <v>41561</v>
      </c>
      <c r="E3366">
        <v>4</v>
      </c>
      <c r="F3366" t="s">
        <v>887</v>
      </c>
      <c r="G3366" t="s">
        <v>16</v>
      </c>
      <c r="H3366" t="s">
        <v>2941</v>
      </c>
      <c r="I3366">
        <v>2.2088000000000001</v>
      </c>
      <c r="J3366">
        <v>55831.95</v>
      </c>
      <c r="K3366">
        <v>25277.050887359652</v>
      </c>
    </row>
    <row r="3367" spans="1:11" x14ac:dyDescent="0.25">
      <c r="A3367" t="s">
        <v>6257</v>
      </c>
      <c r="B3367" t="s">
        <v>6258</v>
      </c>
      <c r="C3367" s="1">
        <v>41550</v>
      </c>
      <c r="D3367" s="1">
        <v>41557</v>
      </c>
      <c r="E3367">
        <v>18403</v>
      </c>
      <c r="F3367" t="s">
        <v>278</v>
      </c>
      <c r="G3367" t="s">
        <v>16</v>
      </c>
      <c r="H3367" t="s">
        <v>6259</v>
      </c>
      <c r="I3367">
        <v>2.2088000000000001</v>
      </c>
      <c r="J3367">
        <v>6378</v>
      </c>
      <c r="K3367">
        <v>2887.5407461064833</v>
      </c>
    </row>
    <row r="3368" spans="1:11" x14ac:dyDescent="0.25">
      <c r="A3368" t="s">
        <v>896</v>
      </c>
      <c r="B3368" t="s">
        <v>897</v>
      </c>
      <c r="C3368" s="1">
        <v>41544</v>
      </c>
      <c r="D3368" s="1">
        <v>41550</v>
      </c>
      <c r="E3368">
        <v>296</v>
      </c>
      <c r="F3368" t="s">
        <v>887</v>
      </c>
      <c r="G3368" t="s">
        <v>16</v>
      </c>
      <c r="H3368" t="s">
        <v>6260</v>
      </c>
      <c r="I3368">
        <v>2.2284999999999999</v>
      </c>
      <c r="J3368">
        <v>48464.08</v>
      </c>
      <c r="K3368">
        <v>21747.399596140902</v>
      </c>
    </row>
    <row r="3369" spans="1:11" x14ac:dyDescent="0.25">
      <c r="A3369" t="s">
        <v>2014</v>
      </c>
      <c r="B3369" t="s">
        <v>2015</v>
      </c>
      <c r="C3369" s="1">
        <v>41548</v>
      </c>
      <c r="D3369" s="1">
        <v>41557</v>
      </c>
      <c r="E3369">
        <v>6</v>
      </c>
      <c r="F3369" t="s">
        <v>887</v>
      </c>
      <c r="G3369" t="s">
        <v>16</v>
      </c>
      <c r="H3369" t="s">
        <v>6261</v>
      </c>
      <c r="I3369">
        <v>2.23</v>
      </c>
      <c r="J3369">
        <v>72445.210000000006</v>
      </c>
      <c r="K3369">
        <v>32486.64125560538</v>
      </c>
    </row>
    <row r="3370" spans="1:11" x14ac:dyDescent="0.25">
      <c r="A3370" t="s">
        <v>907</v>
      </c>
      <c r="B3370" t="s">
        <v>908</v>
      </c>
      <c r="C3370" s="1">
        <v>41535</v>
      </c>
      <c r="D3370" s="1">
        <v>41540</v>
      </c>
      <c r="E3370">
        <v>1</v>
      </c>
      <c r="F3370" t="s">
        <v>887</v>
      </c>
      <c r="G3370" t="s">
        <v>16</v>
      </c>
      <c r="H3370" t="s">
        <v>2942</v>
      </c>
      <c r="I3370">
        <v>2.2616999999999998</v>
      </c>
      <c r="J3370">
        <v>78051.27</v>
      </c>
      <c r="K3370">
        <v>34510.001326435864</v>
      </c>
    </row>
    <row r="3371" spans="1:11" x14ac:dyDescent="0.25">
      <c r="A3371" t="s">
        <v>896</v>
      </c>
      <c r="B3371" t="s">
        <v>897</v>
      </c>
      <c r="C3371" s="1">
        <v>41545</v>
      </c>
      <c r="D3371" s="1">
        <v>41551</v>
      </c>
      <c r="E3371">
        <v>296</v>
      </c>
      <c r="F3371" t="s">
        <v>887</v>
      </c>
      <c r="G3371" t="s">
        <v>16</v>
      </c>
      <c r="H3371" t="s">
        <v>6262</v>
      </c>
      <c r="I3371">
        <v>2.2570999999999999</v>
      </c>
      <c r="J3371">
        <v>68835.009999999995</v>
      </c>
      <c r="K3371">
        <v>30497.102476629305</v>
      </c>
    </row>
    <row r="3372" spans="1:11" x14ac:dyDescent="0.25">
      <c r="A3372" t="s">
        <v>896</v>
      </c>
      <c r="B3372" t="s">
        <v>897</v>
      </c>
      <c r="C3372" s="1">
        <v>41545</v>
      </c>
      <c r="D3372" s="1">
        <v>41552</v>
      </c>
      <c r="E3372">
        <v>296</v>
      </c>
      <c r="F3372" t="s">
        <v>887</v>
      </c>
      <c r="G3372" t="s">
        <v>16</v>
      </c>
      <c r="H3372" t="s">
        <v>2943</v>
      </c>
      <c r="I3372">
        <v>2.2570999999999999</v>
      </c>
      <c r="J3372">
        <v>58471.28</v>
      </c>
      <c r="K3372">
        <v>25905.489344734393</v>
      </c>
    </row>
    <row r="3373" spans="1:11" x14ac:dyDescent="0.25">
      <c r="A3373" t="s">
        <v>934</v>
      </c>
      <c r="B3373" t="s">
        <v>935</v>
      </c>
      <c r="C3373" s="1">
        <v>41550</v>
      </c>
      <c r="D3373" s="1">
        <v>41561</v>
      </c>
      <c r="E3373">
        <v>34</v>
      </c>
      <c r="F3373" t="s">
        <v>278</v>
      </c>
      <c r="G3373" t="s">
        <v>16</v>
      </c>
      <c r="H3373" t="s">
        <v>6263</v>
      </c>
      <c r="I3373">
        <v>2.2088000000000001</v>
      </c>
      <c r="J3373">
        <v>37905</v>
      </c>
      <c r="K3373">
        <v>17160.901847156827</v>
      </c>
    </row>
    <row r="3374" spans="1:11" x14ac:dyDescent="0.25">
      <c r="A3374" t="s">
        <v>885</v>
      </c>
      <c r="B3374" t="s">
        <v>886</v>
      </c>
      <c r="C3374" s="1">
        <v>41585</v>
      </c>
      <c r="D3374" s="1">
        <v>41599</v>
      </c>
      <c r="E3374">
        <v>4</v>
      </c>
      <c r="F3374" t="s">
        <v>887</v>
      </c>
      <c r="G3374" t="s">
        <v>16</v>
      </c>
      <c r="H3374" t="s">
        <v>2944</v>
      </c>
      <c r="I3374">
        <v>2.2829999999999999</v>
      </c>
      <c r="J3374">
        <v>7906.49</v>
      </c>
      <c r="K3374">
        <v>3463.2019272886555</v>
      </c>
    </row>
    <row r="3375" spans="1:11" x14ac:dyDescent="0.25">
      <c r="A3375" t="s">
        <v>1544</v>
      </c>
      <c r="B3375" t="s">
        <v>1545</v>
      </c>
      <c r="C3375" s="1">
        <v>41576</v>
      </c>
      <c r="D3375" s="1">
        <v>41584</v>
      </c>
      <c r="E3375">
        <v>18825</v>
      </c>
      <c r="F3375" t="s">
        <v>301</v>
      </c>
      <c r="G3375" t="s">
        <v>16</v>
      </c>
      <c r="H3375" t="s">
        <v>2945</v>
      </c>
      <c r="I3375">
        <v>2.1846000000000001</v>
      </c>
      <c r="J3375">
        <v>61920</v>
      </c>
      <c r="K3375">
        <v>28343.861576489977</v>
      </c>
    </row>
    <row r="3376" spans="1:11" x14ac:dyDescent="0.25">
      <c r="A3376" t="s">
        <v>937</v>
      </c>
      <c r="B3376" t="s">
        <v>938</v>
      </c>
      <c r="C3376" s="1">
        <v>41568</v>
      </c>
      <c r="D3376" s="1">
        <v>41571</v>
      </c>
      <c r="E3376">
        <v>918</v>
      </c>
      <c r="F3376" t="s">
        <v>318</v>
      </c>
      <c r="G3376" t="s">
        <v>16</v>
      </c>
      <c r="H3376" t="s">
        <v>6264</v>
      </c>
      <c r="I3376">
        <v>2.1616</v>
      </c>
      <c r="J3376">
        <v>326942</v>
      </c>
      <c r="K3376">
        <v>151250</v>
      </c>
    </row>
    <row r="3377" spans="1:11" x14ac:dyDescent="0.25">
      <c r="A3377" t="s">
        <v>1544</v>
      </c>
      <c r="B3377" t="s">
        <v>1545</v>
      </c>
      <c r="C3377" s="1">
        <v>41576</v>
      </c>
      <c r="D3377" s="1">
        <v>41584</v>
      </c>
      <c r="E3377">
        <v>18825</v>
      </c>
      <c r="F3377" t="s">
        <v>301</v>
      </c>
      <c r="G3377" t="s">
        <v>16</v>
      </c>
      <c r="H3377" t="s">
        <v>2946</v>
      </c>
      <c r="I3377">
        <v>2.1846000000000001</v>
      </c>
      <c r="J3377">
        <v>61920</v>
      </c>
      <c r="K3377">
        <v>28343.861576489977</v>
      </c>
    </row>
    <row r="3378" spans="1:11" x14ac:dyDescent="0.25">
      <c r="A3378" t="s">
        <v>946</v>
      </c>
      <c r="B3378" t="s">
        <v>947</v>
      </c>
      <c r="C3378" s="1">
        <v>41570</v>
      </c>
      <c r="D3378" s="1">
        <v>41573</v>
      </c>
      <c r="E3378">
        <v>1006</v>
      </c>
      <c r="F3378" t="s">
        <v>301</v>
      </c>
      <c r="G3378" t="s">
        <v>16</v>
      </c>
      <c r="H3378" t="s">
        <v>430</v>
      </c>
      <c r="I3378">
        <v>2.1760000000000002</v>
      </c>
      <c r="J3378">
        <v>61605</v>
      </c>
      <c r="K3378">
        <v>28311.121323529413</v>
      </c>
    </row>
    <row r="3379" spans="1:11" x14ac:dyDescent="0.25">
      <c r="A3379" t="s">
        <v>1555</v>
      </c>
      <c r="B3379" t="s">
        <v>1556</v>
      </c>
      <c r="C3379" s="1">
        <v>41570</v>
      </c>
      <c r="D3379" s="1">
        <v>41575</v>
      </c>
      <c r="E3379">
        <v>18573</v>
      </c>
      <c r="F3379" t="s">
        <v>301</v>
      </c>
      <c r="G3379" t="s">
        <v>16</v>
      </c>
      <c r="H3379" t="s">
        <v>6265</v>
      </c>
      <c r="I3379">
        <v>2.1760000000000002</v>
      </c>
      <c r="J3379">
        <v>61605</v>
      </c>
      <c r="K3379">
        <v>28311.121323529413</v>
      </c>
    </row>
    <row r="3380" spans="1:11" x14ac:dyDescent="0.25">
      <c r="A3380" t="s">
        <v>1558</v>
      </c>
      <c r="B3380" t="s">
        <v>1559</v>
      </c>
      <c r="C3380" s="1">
        <v>41562</v>
      </c>
      <c r="D3380" s="1">
        <v>41575</v>
      </c>
      <c r="E3380">
        <v>2</v>
      </c>
      <c r="F3380" t="s">
        <v>887</v>
      </c>
      <c r="G3380" t="s">
        <v>16</v>
      </c>
      <c r="H3380" t="s">
        <v>6266</v>
      </c>
      <c r="I3380">
        <v>2.1817000000000002</v>
      </c>
      <c r="J3380">
        <v>48235.43</v>
      </c>
      <c r="K3380">
        <v>22109.102993078792</v>
      </c>
    </row>
    <row r="3381" spans="1:11" x14ac:dyDescent="0.25">
      <c r="A3381" t="s">
        <v>896</v>
      </c>
      <c r="B3381" t="s">
        <v>897</v>
      </c>
      <c r="C3381" s="1">
        <v>41563</v>
      </c>
      <c r="D3381" s="1">
        <v>41571</v>
      </c>
      <c r="E3381">
        <v>296</v>
      </c>
      <c r="F3381" t="s">
        <v>887</v>
      </c>
      <c r="G3381" t="s">
        <v>16</v>
      </c>
      <c r="H3381" t="s">
        <v>2947</v>
      </c>
      <c r="I3381">
        <v>2.1818</v>
      </c>
      <c r="J3381">
        <v>48235.43</v>
      </c>
      <c r="K3381">
        <v>22108.08965074709</v>
      </c>
    </row>
    <row r="3382" spans="1:11" x14ac:dyDescent="0.25">
      <c r="A3382" t="s">
        <v>896</v>
      </c>
      <c r="B3382" t="s">
        <v>897</v>
      </c>
      <c r="C3382" s="1">
        <v>41565</v>
      </c>
      <c r="D3382" s="1">
        <v>41571</v>
      </c>
      <c r="E3382">
        <v>296</v>
      </c>
      <c r="F3382" t="s">
        <v>887</v>
      </c>
      <c r="G3382" t="s">
        <v>16</v>
      </c>
      <c r="H3382" t="s">
        <v>6267</v>
      </c>
      <c r="I3382">
        <v>2.1610999999999998</v>
      </c>
      <c r="J3382">
        <v>48183.31</v>
      </c>
      <c r="K3382">
        <v>22295.733654157604</v>
      </c>
    </row>
    <row r="3383" spans="1:11" x14ac:dyDescent="0.25">
      <c r="A3383" t="s">
        <v>896</v>
      </c>
      <c r="B3383" t="s">
        <v>897</v>
      </c>
      <c r="C3383" s="1">
        <v>41565</v>
      </c>
      <c r="D3383" s="1">
        <v>41571</v>
      </c>
      <c r="E3383">
        <v>296</v>
      </c>
      <c r="F3383" t="s">
        <v>887</v>
      </c>
      <c r="G3383" t="s">
        <v>16</v>
      </c>
      <c r="H3383" t="s">
        <v>6268</v>
      </c>
      <c r="I3383">
        <v>2.1610999999999998</v>
      </c>
      <c r="J3383">
        <v>48209.37</v>
      </c>
      <c r="K3383">
        <v>22307.792327981122</v>
      </c>
    </row>
    <row r="3384" spans="1:11" x14ac:dyDescent="0.25">
      <c r="A3384" t="s">
        <v>885</v>
      </c>
      <c r="B3384" t="s">
        <v>886</v>
      </c>
      <c r="C3384" s="1">
        <v>41564</v>
      </c>
      <c r="D3384" s="1">
        <v>41571</v>
      </c>
      <c r="E3384">
        <v>4</v>
      </c>
      <c r="F3384" t="s">
        <v>887</v>
      </c>
      <c r="G3384" t="s">
        <v>16</v>
      </c>
      <c r="H3384" t="s">
        <v>6269</v>
      </c>
      <c r="I3384">
        <v>2.1629</v>
      </c>
      <c r="J3384">
        <v>46187.21</v>
      </c>
      <c r="K3384">
        <v>21354.297470988025</v>
      </c>
    </row>
    <row r="3385" spans="1:11" x14ac:dyDescent="0.25">
      <c r="A3385" t="s">
        <v>6270</v>
      </c>
      <c r="B3385" t="s">
        <v>6271</v>
      </c>
      <c r="C3385" s="1">
        <v>41573</v>
      </c>
      <c r="D3385" s="1">
        <v>41573</v>
      </c>
      <c r="E3385">
        <v>18528</v>
      </c>
      <c r="F3385" t="s">
        <v>1553</v>
      </c>
      <c r="G3385" t="s">
        <v>16</v>
      </c>
      <c r="H3385" t="s">
        <v>6272</v>
      </c>
      <c r="I3385">
        <v>2.1848000000000001</v>
      </c>
      <c r="J3385">
        <v>12820.41</v>
      </c>
      <c r="K3385">
        <v>5868.0016477480776</v>
      </c>
    </row>
    <row r="3386" spans="1:11" x14ac:dyDescent="0.25">
      <c r="A3386" t="s">
        <v>2024</v>
      </c>
      <c r="B3386" t="s">
        <v>2025</v>
      </c>
      <c r="C3386" s="1">
        <v>41576</v>
      </c>
      <c r="D3386" s="1">
        <v>41584</v>
      </c>
      <c r="E3386">
        <v>18637</v>
      </c>
      <c r="F3386" t="s">
        <v>301</v>
      </c>
      <c r="G3386" t="s">
        <v>16</v>
      </c>
      <c r="H3386" t="s">
        <v>6273</v>
      </c>
      <c r="I3386">
        <v>2.1846000000000001</v>
      </c>
      <c r="J3386">
        <v>61920</v>
      </c>
      <c r="K3386">
        <v>28343.861576489977</v>
      </c>
    </row>
    <row r="3387" spans="1:11" x14ac:dyDescent="0.25">
      <c r="A3387" t="s">
        <v>2948</v>
      </c>
      <c r="B3387" t="s">
        <v>144</v>
      </c>
      <c r="C3387" s="1">
        <v>41586</v>
      </c>
      <c r="D3387" s="1">
        <v>41591</v>
      </c>
      <c r="E3387">
        <v>18670</v>
      </c>
      <c r="F3387" t="s">
        <v>2949</v>
      </c>
      <c r="G3387" t="s">
        <v>16</v>
      </c>
      <c r="H3387" t="s">
        <v>2950</v>
      </c>
      <c r="I3387">
        <v>2.2825000000000002</v>
      </c>
      <c r="J3387">
        <v>2300.7600000000002</v>
      </c>
      <c r="K3387">
        <v>1008</v>
      </c>
    </row>
    <row r="3388" spans="1:11" x14ac:dyDescent="0.25">
      <c r="A3388" t="s">
        <v>2029</v>
      </c>
      <c r="B3388" t="s">
        <v>2030</v>
      </c>
      <c r="C3388" s="1">
        <v>41627</v>
      </c>
      <c r="D3388" s="1">
        <v>41628</v>
      </c>
      <c r="E3388">
        <v>19678</v>
      </c>
      <c r="F3388" t="s">
        <v>309</v>
      </c>
      <c r="G3388" t="s">
        <v>16</v>
      </c>
      <c r="H3388" t="s">
        <v>6274</v>
      </c>
      <c r="I3388">
        <v>2.3273999999999999</v>
      </c>
      <c r="J3388">
        <v>50439.51</v>
      </c>
      <c r="K3388">
        <v>21672.041763341069</v>
      </c>
    </row>
    <row r="3389" spans="1:11" x14ac:dyDescent="0.25">
      <c r="A3389" t="s">
        <v>972</v>
      </c>
      <c r="B3389" t="s">
        <v>973</v>
      </c>
      <c r="C3389" s="1">
        <v>41629</v>
      </c>
      <c r="D3389" s="1">
        <v>41647</v>
      </c>
      <c r="E3389">
        <v>19543</v>
      </c>
      <c r="F3389" t="s">
        <v>301</v>
      </c>
      <c r="G3389" t="s">
        <v>16</v>
      </c>
      <c r="H3389" t="s">
        <v>6275</v>
      </c>
      <c r="I3389">
        <v>2.3706</v>
      </c>
      <c r="J3389">
        <v>170415.59</v>
      </c>
      <c r="K3389">
        <v>71887.112967181311</v>
      </c>
    </row>
    <row r="3390" spans="1:11" x14ac:dyDescent="0.25">
      <c r="A3390" t="s">
        <v>2004</v>
      </c>
      <c r="B3390" t="s">
        <v>2005</v>
      </c>
      <c r="C3390" s="1">
        <v>41625</v>
      </c>
      <c r="D3390" s="1">
        <v>41638</v>
      </c>
      <c r="E3390">
        <v>304</v>
      </c>
      <c r="F3390" t="s">
        <v>642</v>
      </c>
      <c r="G3390" t="s">
        <v>16</v>
      </c>
      <c r="H3390" t="s">
        <v>6276</v>
      </c>
      <c r="I3390">
        <v>2.3254999999999999</v>
      </c>
      <c r="J3390">
        <v>83005.679999999993</v>
      </c>
      <c r="K3390">
        <v>35693.691679208772</v>
      </c>
    </row>
    <row r="3391" spans="1:11" x14ac:dyDescent="0.25">
      <c r="A3391" t="s">
        <v>2004</v>
      </c>
      <c r="B3391" t="s">
        <v>2005</v>
      </c>
      <c r="C3391" s="1">
        <v>41631</v>
      </c>
      <c r="D3391" s="1">
        <v>41638</v>
      </c>
      <c r="E3391">
        <v>304</v>
      </c>
      <c r="F3391" t="s">
        <v>642</v>
      </c>
      <c r="G3391" t="s">
        <v>16</v>
      </c>
      <c r="H3391" t="s">
        <v>2951</v>
      </c>
      <c r="I3391">
        <v>2.3706</v>
      </c>
      <c r="J3391">
        <v>320651</v>
      </c>
      <c r="K3391">
        <v>135261.53716358729</v>
      </c>
    </row>
    <row r="3392" spans="1:11" x14ac:dyDescent="0.25">
      <c r="A3392" t="s">
        <v>967</v>
      </c>
      <c r="B3392" t="s">
        <v>968</v>
      </c>
      <c r="C3392" s="1">
        <v>41613</v>
      </c>
      <c r="D3392" s="1">
        <v>41619</v>
      </c>
      <c r="E3392">
        <v>53</v>
      </c>
      <c r="F3392" t="s">
        <v>301</v>
      </c>
      <c r="G3392" t="s">
        <v>16</v>
      </c>
      <c r="H3392" t="s">
        <v>2952</v>
      </c>
      <c r="I3392">
        <v>2.3740000000000001</v>
      </c>
      <c r="J3392">
        <v>8400</v>
      </c>
      <c r="K3392">
        <v>3538.3319292333613</v>
      </c>
    </row>
    <row r="3393" spans="1:11" x14ac:dyDescent="0.25">
      <c r="A3393" t="s">
        <v>967</v>
      </c>
      <c r="B3393" t="s">
        <v>968</v>
      </c>
      <c r="C3393" s="1">
        <v>41613</v>
      </c>
      <c r="D3393" s="1">
        <v>41619</v>
      </c>
      <c r="E3393">
        <v>53</v>
      </c>
      <c r="F3393" t="s">
        <v>301</v>
      </c>
      <c r="G3393" t="s">
        <v>16</v>
      </c>
      <c r="H3393" t="s">
        <v>2953</v>
      </c>
      <c r="I3393">
        <v>2.3740000000000001</v>
      </c>
      <c r="J3393">
        <v>13910</v>
      </c>
      <c r="K3393">
        <v>5859.3091828138167</v>
      </c>
    </row>
    <row r="3394" spans="1:11" x14ac:dyDescent="0.25">
      <c r="A3394" t="s">
        <v>1571</v>
      </c>
      <c r="B3394" t="s">
        <v>297</v>
      </c>
      <c r="C3394" s="1">
        <v>41604</v>
      </c>
      <c r="D3394" s="1">
        <v>41613</v>
      </c>
      <c r="E3394">
        <v>18741</v>
      </c>
      <c r="F3394" t="s">
        <v>370</v>
      </c>
      <c r="G3394" t="s">
        <v>16</v>
      </c>
      <c r="H3394" t="s">
        <v>2954</v>
      </c>
      <c r="I3394">
        <v>2.2871000000000001</v>
      </c>
      <c r="J3394">
        <v>86452.38</v>
      </c>
      <c r="K3394">
        <v>37800</v>
      </c>
    </row>
    <row r="3395" spans="1:11" x14ac:dyDescent="0.25">
      <c r="A3395" t="s">
        <v>1571</v>
      </c>
      <c r="B3395" t="s">
        <v>297</v>
      </c>
      <c r="C3395" s="1">
        <v>41604</v>
      </c>
      <c r="D3395" s="1">
        <v>41613</v>
      </c>
      <c r="E3395">
        <v>18741</v>
      </c>
      <c r="F3395" t="s">
        <v>370</v>
      </c>
      <c r="G3395" t="s">
        <v>16</v>
      </c>
      <c r="H3395" t="s">
        <v>2955</v>
      </c>
      <c r="I3395">
        <v>2.2871000000000001</v>
      </c>
      <c r="J3395">
        <v>45970.71</v>
      </c>
      <c r="K3395">
        <v>20100</v>
      </c>
    </row>
    <row r="3396" spans="1:11" x14ac:dyDescent="0.25">
      <c r="A3396" t="s">
        <v>972</v>
      </c>
      <c r="B3396" t="s">
        <v>973</v>
      </c>
      <c r="C3396" s="1">
        <v>41612</v>
      </c>
      <c r="D3396" s="1">
        <v>41618</v>
      </c>
      <c r="E3396">
        <v>19543</v>
      </c>
      <c r="F3396" t="s">
        <v>301</v>
      </c>
      <c r="G3396" t="s">
        <v>16</v>
      </c>
      <c r="H3396" t="s">
        <v>2956</v>
      </c>
      <c r="I3396">
        <v>2.3557999999999999</v>
      </c>
      <c r="J3396">
        <v>91158.79</v>
      </c>
      <c r="K3396">
        <v>38695.470753035064</v>
      </c>
    </row>
    <row r="3397" spans="1:11" x14ac:dyDescent="0.25">
      <c r="A3397" t="s">
        <v>964</v>
      </c>
      <c r="B3397" t="s">
        <v>965</v>
      </c>
      <c r="C3397" s="1">
        <v>41613</v>
      </c>
      <c r="D3397" s="1">
        <v>41621</v>
      </c>
      <c r="E3397">
        <v>18802</v>
      </c>
      <c r="F3397" t="s">
        <v>301</v>
      </c>
      <c r="G3397" t="s">
        <v>16</v>
      </c>
      <c r="H3397" t="s">
        <v>2957</v>
      </c>
      <c r="I3397">
        <v>2.3740000000000001</v>
      </c>
      <c r="J3397">
        <v>39660</v>
      </c>
      <c r="K3397">
        <v>16705.98146588037</v>
      </c>
    </row>
    <row r="3398" spans="1:11" x14ac:dyDescent="0.25">
      <c r="A3398" t="s">
        <v>2826</v>
      </c>
      <c r="B3398" t="s">
        <v>2827</v>
      </c>
      <c r="C3398" s="1">
        <v>41568</v>
      </c>
      <c r="D3398" s="1">
        <v>41627</v>
      </c>
      <c r="E3398">
        <v>4839</v>
      </c>
      <c r="F3398" t="s">
        <v>309</v>
      </c>
      <c r="G3398" t="s">
        <v>16</v>
      </c>
      <c r="H3398" t="s">
        <v>2958</v>
      </c>
      <c r="I3398">
        <v>2.1616</v>
      </c>
      <c r="J3398">
        <v>3725.69</v>
      </c>
      <c r="K3398">
        <v>1723.5797557364915</v>
      </c>
    </row>
    <row r="3399" spans="1:11" x14ac:dyDescent="0.25">
      <c r="A3399" t="s">
        <v>972</v>
      </c>
      <c r="B3399" t="s">
        <v>973</v>
      </c>
      <c r="C3399" s="1">
        <v>41625</v>
      </c>
      <c r="D3399" s="1">
        <v>41645</v>
      </c>
      <c r="E3399">
        <v>19543</v>
      </c>
      <c r="F3399" t="s">
        <v>301</v>
      </c>
      <c r="G3399" t="s">
        <v>16</v>
      </c>
      <c r="H3399" t="s">
        <v>2959</v>
      </c>
      <c r="I3399">
        <v>2.3254999999999999</v>
      </c>
      <c r="J3399">
        <v>28214.99</v>
      </c>
      <c r="K3399">
        <v>12132.870350462266</v>
      </c>
    </row>
    <row r="3400" spans="1:11" x14ac:dyDescent="0.25">
      <c r="A3400" t="s">
        <v>972</v>
      </c>
      <c r="B3400" t="s">
        <v>973</v>
      </c>
      <c r="C3400" s="1">
        <v>41606</v>
      </c>
      <c r="D3400" s="1">
        <v>41611</v>
      </c>
      <c r="E3400">
        <v>19543</v>
      </c>
      <c r="F3400" t="s">
        <v>301</v>
      </c>
      <c r="G3400" t="s">
        <v>16</v>
      </c>
      <c r="H3400" t="s">
        <v>2960</v>
      </c>
      <c r="I3400">
        <v>2.3058000000000001</v>
      </c>
      <c r="J3400">
        <v>95710</v>
      </c>
      <c r="K3400">
        <v>41508.370196894786</v>
      </c>
    </row>
    <row r="3401" spans="1:11" x14ac:dyDescent="0.25">
      <c r="A3401" t="s">
        <v>972</v>
      </c>
      <c r="B3401" t="s">
        <v>973</v>
      </c>
      <c r="C3401" s="1">
        <v>41618</v>
      </c>
      <c r="D3401" s="1">
        <v>41624</v>
      </c>
      <c r="E3401">
        <v>19543</v>
      </c>
      <c r="F3401" t="s">
        <v>301</v>
      </c>
      <c r="G3401" t="s">
        <v>16</v>
      </c>
      <c r="H3401" t="s">
        <v>2961</v>
      </c>
      <c r="I3401">
        <v>2.3224999999999998</v>
      </c>
      <c r="J3401">
        <v>22814.01</v>
      </c>
      <c r="K3401">
        <v>9823.0398277717977</v>
      </c>
    </row>
    <row r="3402" spans="1:11" x14ac:dyDescent="0.25">
      <c r="A3402" t="s">
        <v>972</v>
      </c>
      <c r="B3402" t="s">
        <v>973</v>
      </c>
      <c r="C3402" s="1">
        <v>41618</v>
      </c>
      <c r="D3402" s="1">
        <v>41624</v>
      </c>
      <c r="E3402">
        <v>19543</v>
      </c>
      <c r="F3402" t="s">
        <v>301</v>
      </c>
      <c r="G3402" t="s">
        <v>16</v>
      </c>
      <c r="H3402" t="s">
        <v>2962</v>
      </c>
      <c r="I3402">
        <v>2.3224999999999998</v>
      </c>
      <c r="J3402">
        <v>7783.6</v>
      </c>
      <c r="K3402">
        <v>3351.3885898815929</v>
      </c>
    </row>
    <row r="3403" spans="1:11" x14ac:dyDescent="0.25">
      <c r="A3403" t="s">
        <v>972</v>
      </c>
      <c r="B3403" t="s">
        <v>973</v>
      </c>
      <c r="C3403" s="1">
        <v>41618</v>
      </c>
      <c r="D3403" s="1">
        <v>41624</v>
      </c>
      <c r="E3403">
        <v>19543</v>
      </c>
      <c r="F3403" t="s">
        <v>301</v>
      </c>
      <c r="G3403" t="s">
        <v>16</v>
      </c>
      <c r="H3403" t="s">
        <v>6277</v>
      </c>
      <c r="I3403">
        <v>2.3224999999999998</v>
      </c>
      <c r="J3403">
        <v>135696.01</v>
      </c>
      <c r="K3403">
        <v>58426.699677072123</v>
      </c>
    </row>
    <row r="3404" spans="1:11" x14ac:dyDescent="0.25">
      <c r="A3404" t="s">
        <v>1009</v>
      </c>
      <c r="B3404" t="s">
        <v>1010</v>
      </c>
      <c r="C3404" s="1">
        <v>41676</v>
      </c>
      <c r="D3404" s="1">
        <v>41682</v>
      </c>
      <c r="E3404">
        <v>21373</v>
      </c>
      <c r="F3404" t="s">
        <v>331</v>
      </c>
      <c r="G3404" t="s">
        <v>16</v>
      </c>
      <c r="H3404" t="s">
        <v>2963</v>
      </c>
      <c r="I3404">
        <v>2.4106000000000001</v>
      </c>
      <c r="J3404">
        <v>26436.9</v>
      </c>
      <c r="K3404">
        <v>10966.937691860947</v>
      </c>
    </row>
    <row r="3405" spans="1:11" x14ac:dyDescent="0.25">
      <c r="A3405" t="s">
        <v>2964</v>
      </c>
      <c r="C3405" s="1">
        <v>41680</v>
      </c>
      <c r="D3405" s="1">
        <v>41681</v>
      </c>
      <c r="E3405">
        <v>224</v>
      </c>
      <c r="F3405" t="s">
        <v>507</v>
      </c>
      <c r="G3405" t="s">
        <v>16</v>
      </c>
      <c r="H3405" t="s">
        <v>2965</v>
      </c>
      <c r="I3405">
        <v>2.3816999999999999</v>
      </c>
      <c r="J3405">
        <v>6620.97</v>
      </c>
      <c r="K3405">
        <v>2779.934500566822</v>
      </c>
    </row>
    <row r="3406" spans="1:11" x14ac:dyDescent="0.25">
      <c r="A3406" t="s">
        <v>1601</v>
      </c>
      <c r="B3406" t="s">
        <v>1602</v>
      </c>
      <c r="C3406" s="1">
        <v>41681</v>
      </c>
      <c r="D3406" s="1">
        <v>41684</v>
      </c>
      <c r="E3406">
        <v>21474</v>
      </c>
      <c r="F3406" t="s">
        <v>301</v>
      </c>
      <c r="G3406" t="s">
        <v>16</v>
      </c>
      <c r="H3406" t="s">
        <v>6278</v>
      </c>
      <c r="I3406">
        <v>2.3936000000000002</v>
      </c>
      <c r="J3406">
        <v>523672.79</v>
      </c>
      <c r="K3406">
        <v>218780.41026069518</v>
      </c>
    </row>
    <row r="3407" spans="1:11" x14ac:dyDescent="0.25">
      <c r="A3407" t="s">
        <v>976</v>
      </c>
      <c r="B3407" t="s">
        <v>977</v>
      </c>
      <c r="C3407" s="1">
        <v>41675</v>
      </c>
      <c r="D3407" s="1">
        <v>41684</v>
      </c>
      <c r="E3407">
        <v>20661</v>
      </c>
      <c r="F3407" t="s">
        <v>309</v>
      </c>
      <c r="G3407" t="s">
        <v>16</v>
      </c>
      <c r="H3407" t="s">
        <v>6279</v>
      </c>
      <c r="I3407">
        <v>2.4177</v>
      </c>
      <c r="J3407">
        <v>21436.99</v>
      </c>
      <c r="K3407">
        <v>8866.6873474790082</v>
      </c>
    </row>
    <row r="3408" spans="1:11" x14ac:dyDescent="0.25">
      <c r="A3408" t="s">
        <v>1582</v>
      </c>
      <c r="B3408" t="s">
        <v>1583</v>
      </c>
      <c r="C3408" s="1">
        <v>41653</v>
      </c>
      <c r="D3408" s="1">
        <v>41656</v>
      </c>
      <c r="E3408">
        <v>20372</v>
      </c>
      <c r="F3408" t="s">
        <v>309</v>
      </c>
      <c r="G3408" t="s">
        <v>16</v>
      </c>
      <c r="H3408" t="s">
        <v>2966</v>
      </c>
      <c r="I3408">
        <v>2.3491</v>
      </c>
      <c r="J3408">
        <v>24443.31</v>
      </c>
      <c r="K3408">
        <v>10405.393554978502</v>
      </c>
    </row>
    <row r="3409" spans="1:11" x14ac:dyDescent="0.25">
      <c r="A3409" t="s">
        <v>1582</v>
      </c>
      <c r="B3409" t="s">
        <v>1583</v>
      </c>
      <c r="C3409" s="1">
        <v>41654</v>
      </c>
      <c r="D3409" s="1">
        <v>41656</v>
      </c>
      <c r="E3409">
        <v>20372</v>
      </c>
      <c r="F3409" t="s">
        <v>309</v>
      </c>
      <c r="G3409" t="s">
        <v>16</v>
      </c>
      <c r="H3409" t="s">
        <v>2967</v>
      </c>
      <c r="I3409">
        <v>2.3616999999999999</v>
      </c>
      <c r="J3409">
        <v>24741.23</v>
      </c>
      <c r="K3409">
        <v>10476.025744167337</v>
      </c>
    </row>
    <row r="3410" spans="1:11" x14ac:dyDescent="0.25">
      <c r="A3410" t="s">
        <v>6280</v>
      </c>
      <c r="B3410" t="s">
        <v>6281</v>
      </c>
      <c r="C3410" s="1">
        <v>41648</v>
      </c>
      <c r="D3410" s="1">
        <v>41654</v>
      </c>
      <c r="E3410">
        <v>20372</v>
      </c>
      <c r="F3410" t="s">
        <v>338</v>
      </c>
      <c r="G3410" t="s">
        <v>16</v>
      </c>
      <c r="H3410" t="s">
        <v>6282</v>
      </c>
      <c r="I3410">
        <v>2.3778999999999999</v>
      </c>
      <c r="J3410">
        <v>392924.2</v>
      </c>
      <c r="K3410">
        <v>165240.00168215652</v>
      </c>
    </row>
    <row r="3411" spans="1:11" x14ac:dyDescent="0.25">
      <c r="A3411" t="s">
        <v>979</v>
      </c>
      <c r="B3411" t="s">
        <v>980</v>
      </c>
      <c r="C3411" s="1">
        <v>41663</v>
      </c>
      <c r="D3411" s="1">
        <v>41670</v>
      </c>
      <c r="E3411">
        <v>20659</v>
      </c>
      <c r="F3411" t="s">
        <v>887</v>
      </c>
      <c r="G3411" t="s">
        <v>16</v>
      </c>
      <c r="H3411" t="s">
        <v>2968</v>
      </c>
      <c r="I3411">
        <v>2.3761000000000001</v>
      </c>
      <c r="J3411">
        <v>39237.01</v>
      </c>
      <c r="K3411">
        <v>16513.198097723161</v>
      </c>
    </row>
    <row r="3412" spans="1:11" x14ac:dyDescent="0.25">
      <c r="A3412" t="s">
        <v>1020</v>
      </c>
      <c r="B3412" t="s">
        <v>1021</v>
      </c>
      <c r="C3412" s="1">
        <v>41647</v>
      </c>
      <c r="D3412" s="1">
        <v>41651</v>
      </c>
      <c r="E3412">
        <v>19971</v>
      </c>
      <c r="F3412" t="s">
        <v>309</v>
      </c>
      <c r="G3412" t="s">
        <v>16</v>
      </c>
      <c r="H3412" t="s">
        <v>6283</v>
      </c>
      <c r="I3412">
        <v>2.3633999999999999</v>
      </c>
      <c r="J3412">
        <v>50439.51</v>
      </c>
      <c r="K3412">
        <v>21341.926884996192</v>
      </c>
    </row>
    <row r="3413" spans="1:11" x14ac:dyDescent="0.25">
      <c r="A3413" t="s">
        <v>982</v>
      </c>
      <c r="B3413" t="s">
        <v>983</v>
      </c>
      <c r="C3413" s="1">
        <v>41657</v>
      </c>
      <c r="D3413" s="1">
        <v>41661</v>
      </c>
      <c r="E3413">
        <v>20657</v>
      </c>
      <c r="F3413" t="s">
        <v>887</v>
      </c>
      <c r="G3413" t="s">
        <v>16</v>
      </c>
      <c r="H3413" t="s">
        <v>6284</v>
      </c>
      <c r="I3413">
        <v>2.3601000000000001</v>
      </c>
      <c r="J3413">
        <v>65071.5</v>
      </c>
      <c r="K3413">
        <v>27571.501207575951</v>
      </c>
    </row>
    <row r="3414" spans="1:11" x14ac:dyDescent="0.25">
      <c r="A3414" t="s">
        <v>979</v>
      </c>
      <c r="B3414" t="s">
        <v>980</v>
      </c>
      <c r="C3414" s="1">
        <v>41663</v>
      </c>
      <c r="D3414" s="1">
        <v>41674</v>
      </c>
      <c r="E3414">
        <v>20659</v>
      </c>
      <c r="F3414" t="s">
        <v>887</v>
      </c>
      <c r="G3414" t="s">
        <v>16</v>
      </c>
      <c r="H3414" t="s">
        <v>6285</v>
      </c>
      <c r="I3414">
        <v>2.3761000000000001</v>
      </c>
      <c r="J3414">
        <v>39874.76</v>
      </c>
      <c r="K3414">
        <v>16781.60010100585</v>
      </c>
    </row>
    <row r="3415" spans="1:11" x14ac:dyDescent="0.25">
      <c r="A3415" t="s">
        <v>979</v>
      </c>
      <c r="B3415" t="s">
        <v>980</v>
      </c>
      <c r="C3415" s="1">
        <v>41656</v>
      </c>
      <c r="D3415" s="1">
        <v>41662</v>
      </c>
      <c r="E3415">
        <v>20659</v>
      </c>
      <c r="F3415" t="s">
        <v>887</v>
      </c>
      <c r="G3415" t="s">
        <v>16</v>
      </c>
      <c r="H3415" t="s">
        <v>2969</v>
      </c>
      <c r="I3415">
        <v>2.3683000000000001</v>
      </c>
      <c r="J3415">
        <v>38608.03</v>
      </c>
      <c r="K3415">
        <v>16302.001435628932</v>
      </c>
    </row>
    <row r="3416" spans="1:11" x14ac:dyDescent="0.25">
      <c r="A3416" t="s">
        <v>986</v>
      </c>
      <c r="B3416" t="s">
        <v>987</v>
      </c>
      <c r="C3416" s="1">
        <v>41656</v>
      </c>
      <c r="D3416" s="1">
        <v>41666</v>
      </c>
      <c r="E3416">
        <v>20371</v>
      </c>
      <c r="F3416" t="s">
        <v>887</v>
      </c>
      <c r="G3416" t="s">
        <v>16</v>
      </c>
      <c r="H3416" t="s">
        <v>2970</v>
      </c>
      <c r="I3416">
        <v>2.3683000000000001</v>
      </c>
      <c r="J3416">
        <v>51998.39</v>
      </c>
      <c r="K3416">
        <v>21955.997973229743</v>
      </c>
    </row>
    <row r="3417" spans="1:11" x14ac:dyDescent="0.25">
      <c r="A3417" t="s">
        <v>972</v>
      </c>
      <c r="B3417" t="s">
        <v>973</v>
      </c>
      <c r="C3417" s="1">
        <v>41647</v>
      </c>
      <c r="D3417" s="1">
        <v>41649</v>
      </c>
      <c r="E3417">
        <v>19543</v>
      </c>
      <c r="F3417" t="s">
        <v>675</v>
      </c>
      <c r="G3417" t="s">
        <v>16</v>
      </c>
      <c r="H3417" t="s">
        <v>2971</v>
      </c>
      <c r="I3417">
        <v>2.3633999999999999</v>
      </c>
      <c r="J3417">
        <v>260240</v>
      </c>
      <c r="K3417">
        <v>110112.54971651011</v>
      </c>
    </row>
    <row r="3418" spans="1:11" x14ac:dyDescent="0.25">
      <c r="A3418" t="s">
        <v>1009</v>
      </c>
      <c r="B3418" t="s">
        <v>1010</v>
      </c>
      <c r="C3418" s="1">
        <v>41678</v>
      </c>
      <c r="D3418" s="1">
        <v>41684</v>
      </c>
      <c r="E3418">
        <v>21373</v>
      </c>
      <c r="F3418" t="s">
        <v>331</v>
      </c>
      <c r="G3418" t="s">
        <v>16</v>
      </c>
      <c r="H3418" t="s">
        <v>2972</v>
      </c>
      <c r="I3418">
        <v>2.3816999999999999</v>
      </c>
      <c r="J3418">
        <v>26285.74</v>
      </c>
      <c r="K3418">
        <v>11036.545324768023</v>
      </c>
    </row>
    <row r="3419" spans="1:11" x14ac:dyDescent="0.25">
      <c r="A3419" t="s">
        <v>976</v>
      </c>
      <c r="B3419" t="s">
        <v>977</v>
      </c>
      <c r="C3419" s="1">
        <v>41681</v>
      </c>
      <c r="D3419" s="1">
        <v>41684</v>
      </c>
      <c r="E3419">
        <v>20661</v>
      </c>
      <c r="F3419" t="s">
        <v>309</v>
      </c>
      <c r="G3419" t="s">
        <v>16</v>
      </c>
      <c r="H3419" t="s">
        <v>1929</v>
      </c>
      <c r="I3419">
        <v>2.3936000000000002</v>
      </c>
      <c r="J3419">
        <v>25546.98</v>
      </c>
      <c r="K3419">
        <v>10673.036430481283</v>
      </c>
    </row>
    <row r="3420" spans="1:11" x14ac:dyDescent="0.25">
      <c r="A3420" t="s">
        <v>976</v>
      </c>
      <c r="B3420" t="s">
        <v>977</v>
      </c>
      <c r="C3420" s="1">
        <v>41676</v>
      </c>
      <c r="D3420" s="1">
        <v>41684</v>
      </c>
      <c r="E3420">
        <v>20661</v>
      </c>
      <c r="F3420" t="s">
        <v>309</v>
      </c>
      <c r="G3420" t="s">
        <v>16</v>
      </c>
      <c r="H3420" t="s">
        <v>2973</v>
      </c>
      <c r="I3420">
        <v>2.4106000000000001</v>
      </c>
      <c r="J3420">
        <v>23915.17</v>
      </c>
      <c r="K3420">
        <v>9920.8371359827433</v>
      </c>
    </row>
    <row r="3421" spans="1:11" x14ac:dyDescent="0.25">
      <c r="A3421" t="s">
        <v>972</v>
      </c>
      <c r="B3421" t="s">
        <v>973</v>
      </c>
      <c r="C3421" s="1">
        <v>41648</v>
      </c>
      <c r="D3421" s="1">
        <v>41654</v>
      </c>
      <c r="E3421">
        <v>19543</v>
      </c>
      <c r="F3421" t="s">
        <v>675</v>
      </c>
      <c r="G3421" t="s">
        <v>16</v>
      </c>
      <c r="H3421" t="s">
        <v>2974</v>
      </c>
      <c r="I3421">
        <v>2.3778999999999999</v>
      </c>
      <c r="J3421">
        <v>14703</v>
      </c>
      <c r="K3421">
        <v>6183.1868455359772</v>
      </c>
    </row>
    <row r="3422" spans="1:11" x14ac:dyDescent="0.25">
      <c r="A3422" t="s">
        <v>976</v>
      </c>
      <c r="B3422" t="s">
        <v>977</v>
      </c>
      <c r="C3422" s="1">
        <v>41676</v>
      </c>
      <c r="D3422" s="1">
        <v>41684</v>
      </c>
      <c r="E3422">
        <v>20661</v>
      </c>
      <c r="F3422" t="s">
        <v>309</v>
      </c>
      <c r="G3422" t="s">
        <v>16</v>
      </c>
      <c r="H3422" t="s">
        <v>6286</v>
      </c>
      <c r="I3422">
        <v>2.4106000000000001</v>
      </c>
      <c r="J3422">
        <v>23806.84</v>
      </c>
      <c r="K3422">
        <v>9875.8981166514568</v>
      </c>
    </row>
    <row r="3423" spans="1:11" x14ac:dyDescent="0.25">
      <c r="A3423" t="s">
        <v>976</v>
      </c>
      <c r="B3423" t="s">
        <v>977</v>
      </c>
      <c r="C3423" s="1">
        <v>41675</v>
      </c>
      <c r="D3423" s="1">
        <v>41684</v>
      </c>
      <c r="E3423">
        <v>20661</v>
      </c>
      <c r="F3423" t="s">
        <v>309</v>
      </c>
      <c r="G3423" t="s">
        <v>16</v>
      </c>
      <c r="H3423" t="s">
        <v>6287</v>
      </c>
      <c r="I3423">
        <v>2.4177</v>
      </c>
      <c r="J3423">
        <v>25059.47</v>
      </c>
      <c r="K3423">
        <v>10365.003929354345</v>
      </c>
    </row>
    <row r="3424" spans="1:11" x14ac:dyDescent="0.25">
      <c r="A3424" t="s">
        <v>1036</v>
      </c>
      <c r="B3424" t="s">
        <v>1037</v>
      </c>
      <c r="C3424" s="1">
        <v>41677</v>
      </c>
      <c r="D3424" s="1">
        <v>41683</v>
      </c>
      <c r="E3424">
        <v>21505</v>
      </c>
      <c r="F3424" t="s">
        <v>309</v>
      </c>
      <c r="G3424" t="s">
        <v>16</v>
      </c>
      <c r="H3424" t="s">
        <v>6288</v>
      </c>
      <c r="I3424">
        <v>2.4041000000000001</v>
      </c>
      <c r="J3424">
        <v>149006.39999999999</v>
      </c>
      <c r="K3424">
        <v>61980.117299613157</v>
      </c>
    </row>
    <row r="3425" spans="1:11" x14ac:dyDescent="0.25">
      <c r="A3425" t="s">
        <v>976</v>
      </c>
      <c r="B3425" t="s">
        <v>977</v>
      </c>
      <c r="C3425" s="1">
        <v>41654</v>
      </c>
      <c r="D3425" s="1">
        <v>41655</v>
      </c>
      <c r="E3425">
        <v>20661</v>
      </c>
      <c r="F3425" t="s">
        <v>309</v>
      </c>
      <c r="G3425" t="s">
        <v>16</v>
      </c>
      <c r="H3425" t="s">
        <v>6289</v>
      </c>
      <c r="I3425">
        <v>2.3616999999999999</v>
      </c>
      <c r="J3425">
        <v>24639.67</v>
      </c>
      <c r="K3425">
        <v>10433.022822543084</v>
      </c>
    </row>
    <row r="3426" spans="1:11" x14ac:dyDescent="0.25">
      <c r="A3426" t="s">
        <v>976</v>
      </c>
      <c r="B3426" t="s">
        <v>977</v>
      </c>
      <c r="C3426" s="1">
        <v>41655</v>
      </c>
      <c r="D3426" s="1">
        <v>41660</v>
      </c>
      <c r="E3426">
        <v>20661</v>
      </c>
      <c r="F3426" t="s">
        <v>309</v>
      </c>
      <c r="G3426" t="s">
        <v>16</v>
      </c>
      <c r="H3426" t="s">
        <v>6290</v>
      </c>
      <c r="I3426">
        <v>2.347</v>
      </c>
      <c r="J3426">
        <v>25073.01</v>
      </c>
      <c r="K3426">
        <v>10683.003834682573</v>
      </c>
    </row>
    <row r="3427" spans="1:11" x14ac:dyDescent="0.25">
      <c r="A3427" t="s">
        <v>976</v>
      </c>
      <c r="B3427" t="s">
        <v>977</v>
      </c>
      <c r="C3427" s="1">
        <v>41655</v>
      </c>
      <c r="D3427" s="1">
        <v>41660</v>
      </c>
      <c r="E3427">
        <v>20661</v>
      </c>
      <c r="F3427" t="s">
        <v>309</v>
      </c>
      <c r="G3427" t="s">
        <v>16</v>
      </c>
      <c r="H3427" t="s">
        <v>6291</v>
      </c>
      <c r="I3427">
        <v>2.347</v>
      </c>
      <c r="J3427">
        <v>25621.46</v>
      </c>
      <c r="K3427">
        <v>10916.685129953132</v>
      </c>
    </row>
    <row r="3428" spans="1:11" x14ac:dyDescent="0.25">
      <c r="A3428" t="s">
        <v>976</v>
      </c>
      <c r="B3428" t="s">
        <v>977</v>
      </c>
      <c r="C3428" s="1">
        <v>41653</v>
      </c>
      <c r="D3428" s="1">
        <v>41655</v>
      </c>
      <c r="E3428">
        <v>20661</v>
      </c>
      <c r="F3428" t="s">
        <v>309</v>
      </c>
      <c r="G3428" t="s">
        <v>16</v>
      </c>
      <c r="H3428" t="s">
        <v>6292</v>
      </c>
      <c r="I3428">
        <v>2.3491</v>
      </c>
      <c r="J3428">
        <v>25181.35</v>
      </c>
      <c r="K3428">
        <v>10719.573453663104</v>
      </c>
    </row>
    <row r="3429" spans="1:11" x14ac:dyDescent="0.25">
      <c r="A3429" t="s">
        <v>1020</v>
      </c>
      <c r="B3429" t="s">
        <v>1021</v>
      </c>
      <c r="C3429" s="1">
        <v>41646</v>
      </c>
      <c r="D3429" s="1">
        <v>41649</v>
      </c>
      <c r="E3429">
        <v>19971</v>
      </c>
      <c r="F3429" t="s">
        <v>309</v>
      </c>
      <c r="G3429" t="s">
        <v>16</v>
      </c>
      <c r="H3429" t="s">
        <v>2975</v>
      </c>
      <c r="I3429">
        <v>2.3788999999999998</v>
      </c>
      <c r="J3429">
        <v>49076.28</v>
      </c>
      <c r="K3429">
        <v>20629.820505275547</v>
      </c>
    </row>
    <row r="3430" spans="1:11" x14ac:dyDescent="0.25">
      <c r="A3430" t="s">
        <v>993</v>
      </c>
      <c r="B3430" t="s">
        <v>994</v>
      </c>
      <c r="C3430" s="1">
        <v>41650</v>
      </c>
      <c r="D3430" s="1">
        <v>41655</v>
      </c>
      <c r="E3430">
        <v>20658</v>
      </c>
      <c r="F3430" t="s">
        <v>887</v>
      </c>
      <c r="G3430" t="s">
        <v>16</v>
      </c>
      <c r="H3430" t="s">
        <v>6293</v>
      </c>
      <c r="I3430">
        <v>2.3818999999999999</v>
      </c>
      <c r="J3430">
        <v>48576.47</v>
      </c>
      <c r="K3430">
        <v>20394.00058776607</v>
      </c>
    </row>
    <row r="3431" spans="1:11" x14ac:dyDescent="0.25">
      <c r="A3431" t="s">
        <v>986</v>
      </c>
      <c r="B3431" t="s">
        <v>987</v>
      </c>
      <c r="C3431" s="1">
        <v>41661</v>
      </c>
      <c r="D3431" s="1">
        <v>41670</v>
      </c>
      <c r="E3431">
        <v>20371</v>
      </c>
      <c r="F3431" t="s">
        <v>887</v>
      </c>
      <c r="G3431" t="s">
        <v>16</v>
      </c>
      <c r="H3431" t="s">
        <v>2976</v>
      </c>
      <c r="I3431">
        <v>2.3607999999999998</v>
      </c>
      <c r="J3431">
        <v>39160.949999999997</v>
      </c>
      <c r="K3431">
        <v>16587.99983056591</v>
      </c>
    </row>
    <row r="3432" spans="1:11" x14ac:dyDescent="0.25">
      <c r="A3432" t="s">
        <v>1009</v>
      </c>
      <c r="B3432" t="s">
        <v>1010</v>
      </c>
      <c r="C3432" s="1">
        <v>41675</v>
      </c>
      <c r="D3432" s="1">
        <v>41678</v>
      </c>
      <c r="E3432">
        <v>21373</v>
      </c>
      <c r="F3432" t="s">
        <v>331</v>
      </c>
      <c r="G3432" t="s">
        <v>16</v>
      </c>
      <c r="H3432" t="s">
        <v>6294</v>
      </c>
      <c r="I3432">
        <v>2.4177</v>
      </c>
      <c r="J3432">
        <v>30677.89</v>
      </c>
      <c r="K3432">
        <v>12688.873722959837</v>
      </c>
    </row>
    <row r="3433" spans="1:11" x14ac:dyDescent="0.25">
      <c r="A3433" t="s">
        <v>2534</v>
      </c>
      <c r="B3433" t="s">
        <v>2535</v>
      </c>
      <c r="C3433" s="1">
        <v>41649</v>
      </c>
      <c r="D3433" s="1">
        <v>41656</v>
      </c>
      <c r="E3433">
        <v>20370</v>
      </c>
      <c r="F3433" t="s">
        <v>887</v>
      </c>
      <c r="G3433" t="s">
        <v>16</v>
      </c>
      <c r="H3433" t="s">
        <v>2977</v>
      </c>
      <c r="I3433">
        <v>2.3959999999999999</v>
      </c>
      <c r="J3433">
        <v>47256.31</v>
      </c>
      <c r="K3433">
        <v>19723.000834724542</v>
      </c>
    </row>
    <row r="3434" spans="1:11" x14ac:dyDescent="0.25">
      <c r="A3434" t="s">
        <v>1009</v>
      </c>
      <c r="B3434" t="s">
        <v>1010</v>
      </c>
      <c r="C3434" s="1">
        <v>41674</v>
      </c>
      <c r="D3434" s="1">
        <v>41679</v>
      </c>
      <c r="E3434">
        <v>21373</v>
      </c>
      <c r="F3434" t="s">
        <v>331</v>
      </c>
      <c r="G3434" t="s">
        <v>16</v>
      </c>
      <c r="H3434" t="s">
        <v>6295</v>
      </c>
      <c r="I3434">
        <v>2.4089999999999998</v>
      </c>
      <c r="J3434">
        <v>20633.89</v>
      </c>
      <c r="K3434">
        <v>8565.3341635533416</v>
      </c>
    </row>
    <row r="3435" spans="1:11" x14ac:dyDescent="0.25">
      <c r="A3435" t="s">
        <v>976</v>
      </c>
      <c r="B3435" t="s">
        <v>977</v>
      </c>
      <c r="C3435" s="1">
        <v>41654</v>
      </c>
      <c r="D3435" s="1">
        <v>41657</v>
      </c>
      <c r="E3435">
        <v>20661</v>
      </c>
      <c r="F3435" t="s">
        <v>309</v>
      </c>
      <c r="G3435" t="s">
        <v>16</v>
      </c>
      <c r="H3435" t="s">
        <v>6296</v>
      </c>
      <c r="I3435">
        <v>2.3616999999999999</v>
      </c>
      <c r="J3435">
        <v>25452.19</v>
      </c>
      <c r="K3435">
        <v>10777.063132489309</v>
      </c>
    </row>
    <row r="3436" spans="1:11" x14ac:dyDescent="0.25">
      <c r="A3436" t="s">
        <v>976</v>
      </c>
      <c r="B3436" t="s">
        <v>977</v>
      </c>
      <c r="C3436" s="1">
        <v>41675</v>
      </c>
      <c r="D3436" s="1">
        <v>41680</v>
      </c>
      <c r="E3436">
        <v>20661</v>
      </c>
      <c r="F3436" t="s">
        <v>309</v>
      </c>
      <c r="G3436" t="s">
        <v>16</v>
      </c>
      <c r="H3436" t="s">
        <v>6297</v>
      </c>
      <c r="I3436">
        <v>2.4177</v>
      </c>
      <c r="J3436">
        <v>34064.9</v>
      </c>
      <c r="K3436">
        <v>14089.796087190305</v>
      </c>
    </row>
    <row r="3437" spans="1:11" x14ac:dyDescent="0.25">
      <c r="A3437" t="s">
        <v>1009</v>
      </c>
      <c r="B3437" t="s">
        <v>1010</v>
      </c>
      <c r="C3437" s="1">
        <v>41675</v>
      </c>
      <c r="D3437" s="1">
        <v>41681</v>
      </c>
      <c r="E3437">
        <v>21373</v>
      </c>
      <c r="F3437" t="s">
        <v>331</v>
      </c>
      <c r="G3437" t="s">
        <v>16</v>
      </c>
      <c r="H3437" t="s">
        <v>6298</v>
      </c>
      <c r="I3437">
        <v>2.4177</v>
      </c>
      <c r="J3437">
        <v>20314.759999999998</v>
      </c>
      <c r="K3437">
        <v>8402.5147867808246</v>
      </c>
    </row>
    <row r="3438" spans="1:11" x14ac:dyDescent="0.25">
      <c r="A3438" t="s">
        <v>976</v>
      </c>
      <c r="B3438" t="s">
        <v>977</v>
      </c>
      <c r="C3438" s="1">
        <v>41689</v>
      </c>
      <c r="D3438" s="1">
        <v>41694</v>
      </c>
      <c r="E3438">
        <v>20661</v>
      </c>
      <c r="F3438" t="s">
        <v>309</v>
      </c>
      <c r="G3438" t="s">
        <v>16</v>
      </c>
      <c r="H3438" t="s">
        <v>2978</v>
      </c>
      <c r="I3438">
        <v>2.3982999999999999</v>
      </c>
      <c r="J3438">
        <v>24991.759999999998</v>
      </c>
      <c r="K3438">
        <v>10420.614602009757</v>
      </c>
    </row>
    <row r="3439" spans="1:11" x14ac:dyDescent="0.25">
      <c r="A3439" t="s">
        <v>976</v>
      </c>
      <c r="B3439" t="s">
        <v>977</v>
      </c>
      <c r="C3439" s="1">
        <v>41688</v>
      </c>
      <c r="D3439" s="1">
        <v>41694</v>
      </c>
      <c r="E3439">
        <v>20661</v>
      </c>
      <c r="F3439" t="s">
        <v>309</v>
      </c>
      <c r="G3439" t="s">
        <v>16</v>
      </c>
      <c r="H3439" t="s">
        <v>2979</v>
      </c>
      <c r="I3439">
        <v>2.387</v>
      </c>
      <c r="J3439">
        <v>25445.42</v>
      </c>
      <c r="K3439">
        <v>10660</v>
      </c>
    </row>
    <row r="3440" spans="1:11" x14ac:dyDescent="0.25">
      <c r="A3440" t="s">
        <v>2980</v>
      </c>
      <c r="B3440" t="s">
        <v>2981</v>
      </c>
      <c r="C3440" s="1">
        <v>41683</v>
      </c>
      <c r="D3440" s="1">
        <v>41695</v>
      </c>
      <c r="E3440">
        <v>21944</v>
      </c>
      <c r="F3440" t="s">
        <v>2982</v>
      </c>
      <c r="G3440" t="s">
        <v>16</v>
      </c>
      <c r="H3440" t="s">
        <v>2983</v>
      </c>
      <c r="I3440">
        <v>2.4085999999999999</v>
      </c>
      <c r="J3440">
        <v>303126.73</v>
      </c>
      <c r="K3440">
        <v>125851.83509092419</v>
      </c>
    </row>
    <row r="3441" spans="1:11" x14ac:dyDescent="0.25">
      <c r="A3441" t="s">
        <v>2984</v>
      </c>
      <c r="B3441" t="s">
        <v>2985</v>
      </c>
      <c r="C3441" s="1">
        <v>41688</v>
      </c>
      <c r="D3441" s="1">
        <v>41703</v>
      </c>
      <c r="E3441">
        <v>21404</v>
      </c>
      <c r="F3441" t="s">
        <v>1413</v>
      </c>
      <c r="G3441" t="s">
        <v>16</v>
      </c>
      <c r="H3441" t="s">
        <v>2986</v>
      </c>
      <c r="I3441">
        <v>2.387</v>
      </c>
      <c r="J3441">
        <v>25057.200000000001</v>
      </c>
      <c r="K3441">
        <v>10497.360703812317</v>
      </c>
    </row>
    <row r="3442" spans="1:11" x14ac:dyDescent="0.25">
      <c r="A3442" t="s">
        <v>2987</v>
      </c>
      <c r="B3442" t="s">
        <v>2988</v>
      </c>
      <c r="C3442" s="1">
        <v>41704</v>
      </c>
      <c r="D3442" s="1">
        <v>41710</v>
      </c>
      <c r="E3442">
        <v>22151</v>
      </c>
      <c r="F3442" t="s">
        <v>370</v>
      </c>
      <c r="G3442" t="s">
        <v>16</v>
      </c>
      <c r="H3442" t="s">
        <v>2989</v>
      </c>
      <c r="I3442">
        <v>2.3239999999999998</v>
      </c>
      <c r="J3442">
        <v>41065.08</v>
      </c>
      <c r="K3442">
        <v>17670</v>
      </c>
    </row>
    <row r="3443" spans="1:11" x14ac:dyDescent="0.25">
      <c r="A3443" t="s">
        <v>2990</v>
      </c>
      <c r="B3443" t="s">
        <v>2991</v>
      </c>
      <c r="C3443" s="1">
        <v>41690</v>
      </c>
      <c r="D3443" s="1">
        <v>41698</v>
      </c>
      <c r="E3443">
        <v>21861</v>
      </c>
      <c r="F3443" t="s">
        <v>338</v>
      </c>
      <c r="G3443" t="s">
        <v>16</v>
      </c>
      <c r="H3443" t="s">
        <v>2992</v>
      </c>
      <c r="I3443">
        <v>2.3986000000000001</v>
      </c>
      <c r="J3443">
        <v>61653.61</v>
      </c>
      <c r="K3443">
        <v>25703.998165596597</v>
      </c>
    </row>
    <row r="3444" spans="1:11" x14ac:dyDescent="0.25">
      <c r="A3444" t="s">
        <v>976</v>
      </c>
      <c r="B3444" t="s">
        <v>977</v>
      </c>
      <c r="C3444" s="1">
        <v>41712</v>
      </c>
      <c r="D3444" s="1">
        <v>41714</v>
      </c>
      <c r="E3444">
        <v>20661</v>
      </c>
      <c r="F3444" t="s">
        <v>309</v>
      </c>
      <c r="G3444" t="s">
        <v>16</v>
      </c>
      <c r="H3444" t="s">
        <v>2993</v>
      </c>
      <c r="I3444">
        <v>2.3485999999999998</v>
      </c>
      <c r="J3444">
        <v>56402.43</v>
      </c>
      <c r="K3444">
        <v>24015.341054245084</v>
      </c>
    </row>
    <row r="3445" spans="1:11" x14ac:dyDescent="0.25">
      <c r="A3445" t="s">
        <v>1024</v>
      </c>
      <c r="B3445" t="s">
        <v>1025</v>
      </c>
      <c r="C3445" s="1">
        <v>41708</v>
      </c>
      <c r="D3445" s="1">
        <v>41713</v>
      </c>
      <c r="E3445">
        <v>1</v>
      </c>
      <c r="F3445" t="s">
        <v>331</v>
      </c>
      <c r="G3445" t="s">
        <v>16</v>
      </c>
      <c r="H3445" t="s">
        <v>2994</v>
      </c>
      <c r="I3445">
        <v>2.3382000000000001</v>
      </c>
      <c r="J3445">
        <v>41754.86</v>
      </c>
      <c r="K3445">
        <v>17857.693952613121</v>
      </c>
    </row>
    <row r="3446" spans="1:11" x14ac:dyDescent="0.25">
      <c r="A3446" t="s">
        <v>1024</v>
      </c>
      <c r="B3446" t="s">
        <v>1025</v>
      </c>
      <c r="C3446" s="1">
        <v>41708</v>
      </c>
      <c r="D3446" s="1">
        <v>41713</v>
      </c>
      <c r="E3446">
        <v>1</v>
      </c>
      <c r="F3446" t="s">
        <v>331</v>
      </c>
      <c r="G3446" t="s">
        <v>16</v>
      </c>
      <c r="H3446" t="s">
        <v>2995</v>
      </c>
      <c r="I3446">
        <v>2.3382000000000001</v>
      </c>
      <c r="J3446">
        <v>42493.88</v>
      </c>
      <c r="K3446">
        <v>18173.757591309553</v>
      </c>
    </row>
    <row r="3447" spans="1:11" x14ac:dyDescent="0.25">
      <c r="A3447" t="s">
        <v>976</v>
      </c>
      <c r="B3447" t="s">
        <v>977</v>
      </c>
      <c r="C3447" s="1">
        <v>41713</v>
      </c>
      <c r="D3447" s="1">
        <v>41718</v>
      </c>
      <c r="E3447">
        <v>20661</v>
      </c>
      <c r="F3447" t="s">
        <v>309</v>
      </c>
      <c r="G3447" t="s">
        <v>16</v>
      </c>
      <c r="H3447" t="s">
        <v>6299</v>
      </c>
      <c r="I3447">
        <v>2.3637999999999999</v>
      </c>
      <c r="J3447">
        <v>55251.360000000001</v>
      </c>
      <c r="K3447">
        <v>23373.957187579323</v>
      </c>
    </row>
    <row r="3448" spans="1:11" x14ac:dyDescent="0.25">
      <c r="A3448" t="s">
        <v>976</v>
      </c>
      <c r="B3448" t="s">
        <v>977</v>
      </c>
      <c r="C3448" s="1">
        <v>41682</v>
      </c>
      <c r="D3448" s="1">
        <v>41687</v>
      </c>
      <c r="E3448">
        <v>20661</v>
      </c>
      <c r="F3448" t="s">
        <v>309</v>
      </c>
      <c r="G3448" t="s">
        <v>16</v>
      </c>
      <c r="H3448" t="s">
        <v>6300</v>
      </c>
      <c r="I3448">
        <v>2.4085999999999999</v>
      </c>
      <c r="J3448">
        <v>33042.480000000003</v>
      </c>
      <c r="K3448">
        <v>13718.54189155526</v>
      </c>
    </row>
    <row r="3449" spans="1:11" x14ac:dyDescent="0.25">
      <c r="A3449" t="s">
        <v>1024</v>
      </c>
      <c r="B3449" t="s">
        <v>1025</v>
      </c>
      <c r="C3449" s="1">
        <v>41705</v>
      </c>
      <c r="D3449" s="1">
        <v>41711</v>
      </c>
      <c r="E3449">
        <v>1</v>
      </c>
      <c r="F3449" t="s">
        <v>331</v>
      </c>
      <c r="G3449" t="s">
        <v>16</v>
      </c>
      <c r="H3449" t="s">
        <v>6301</v>
      </c>
      <c r="I3449">
        <v>2.3094000000000001</v>
      </c>
      <c r="J3449">
        <v>43039.75</v>
      </c>
      <c r="K3449">
        <v>18636.767125660346</v>
      </c>
    </row>
    <row r="3450" spans="1:11" x14ac:dyDescent="0.25">
      <c r="A3450" t="s">
        <v>1582</v>
      </c>
      <c r="B3450" t="s">
        <v>1583</v>
      </c>
      <c r="C3450" s="1">
        <v>41704</v>
      </c>
      <c r="D3450" s="1">
        <v>41712</v>
      </c>
      <c r="E3450">
        <v>20372</v>
      </c>
      <c r="F3450" t="s">
        <v>309</v>
      </c>
      <c r="G3450" t="s">
        <v>16</v>
      </c>
      <c r="H3450" t="s">
        <v>2528</v>
      </c>
      <c r="I3450">
        <v>2.3239999999999998</v>
      </c>
      <c r="J3450">
        <v>42589.59</v>
      </c>
      <c r="K3450">
        <v>18325.985370051636</v>
      </c>
    </row>
    <row r="3451" spans="1:11" x14ac:dyDescent="0.25">
      <c r="A3451" t="s">
        <v>976</v>
      </c>
      <c r="B3451" t="s">
        <v>977</v>
      </c>
      <c r="C3451" s="1">
        <v>41713</v>
      </c>
      <c r="D3451" s="1">
        <v>41716</v>
      </c>
      <c r="E3451">
        <v>20661</v>
      </c>
      <c r="F3451" t="s">
        <v>309</v>
      </c>
      <c r="G3451" t="s">
        <v>16</v>
      </c>
      <c r="H3451" t="s">
        <v>2996</v>
      </c>
      <c r="I3451">
        <v>2.3637999999999999</v>
      </c>
      <c r="J3451">
        <v>42589.59</v>
      </c>
      <c r="K3451">
        <v>18017.425332092393</v>
      </c>
    </row>
    <row r="3452" spans="1:11" x14ac:dyDescent="0.25">
      <c r="A3452" t="s">
        <v>976</v>
      </c>
      <c r="B3452" t="s">
        <v>977</v>
      </c>
      <c r="C3452" s="1">
        <v>41713</v>
      </c>
      <c r="D3452" s="1">
        <v>41716</v>
      </c>
      <c r="E3452">
        <v>20661</v>
      </c>
      <c r="F3452" t="s">
        <v>309</v>
      </c>
      <c r="G3452" t="s">
        <v>16</v>
      </c>
      <c r="H3452" t="s">
        <v>6302</v>
      </c>
      <c r="I3452">
        <v>2.3637999999999999</v>
      </c>
      <c r="J3452">
        <v>42589.59</v>
      </c>
      <c r="K3452">
        <v>18017.425332092393</v>
      </c>
    </row>
    <row r="3453" spans="1:11" x14ac:dyDescent="0.25">
      <c r="A3453" t="s">
        <v>1009</v>
      </c>
      <c r="B3453" t="s">
        <v>1010</v>
      </c>
      <c r="C3453" s="1">
        <v>41676</v>
      </c>
      <c r="D3453" s="1">
        <v>41686</v>
      </c>
      <c r="E3453">
        <v>21373</v>
      </c>
      <c r="F3453" t="s">
        <v>331</v>
      </c>
      <c r="G3453" t="s">
        <v>16</v>
      </c>
      <c r="H3453" t="s">
        <v>6303</v>
      </c>
      <c r="I3453">
        <v>2.4106000000000001</v>
      </c>
      <c r="J3453">
        <v>31081</v>
      </c>
      <c r="K3453">
        <v>12893.470505268398</v>
      </c>
    </row>
    <row r="3454" spans="1:11" x14ac:dyDescent="0.25">
      <c r="A3454" t="s">
        <v>976</v>
      </c>
      <c r="B3454" t="s">
        <v>977</v>
      </c>
      <c r="C3454" s="1">
        <v>41691</v>
      </c>
      <c r="D3454" s="1">
        <v>41696</v>
      </c>
      <c r="E3454">
        <v>20661</v>
      </c>
      <c r="F3454" t="s">
        <v>309</v>
      </c>
      <c r="G3454" t="s">
        <v>16</v>
      </c>
      <c r="H3454" t="s">
        <v>2997</v>
      </c>
      <c r="I3454">
        <v>2.3799000000000001</v>
      </c>
      <c r="J3454">
        <v>34132.61</v>
      </c>
      <c r="K3454">
        <v>14342.0353796378</v>
      </c>
    </row>
    <row r="3455" spans="1:11" x14ac:dyDescent="0.25">
      <c r="A3455" t="s">
        <v>1024</v>
      </c>
      <c r="B3455" t="s">
        <v>1025</v>
      </c>
      <c r="C3455" s="1">
        <v>41708</v>
      </c>
      <c r="D3455" s="1">
        <v>41712</v>
      </c>
      <c r="E3455">
        <v>1</v>
      </c>
      <c r="F3455" t="s">
        <v>331</v>
      </c>
      <c r="G3455" t="s">
        <v>16</v>
      </c>
      <c r="H3455" t="s">
        <v>6304</v>
      </c>
      <c r="I3455">
        <v>2.3382000000000001</v>
      </c>
      <c r="J3455">
        <v>31450.51</v>
      </c>
      <c r="K3455">
        <v>13450.735608587802</v>
      </c>
    </row>
    <row r="3456" spans="1:11" x14ac:dyDescent="0.25">
      <c r="A3456" t="s">
        <v>976</v>
      </c>
      <c r="B3456" t="s">
        <v>977</v>
      </c>
      <c r="C3456" s="1">
        <v>41713</v>
      </c>
      <c r="D3456" s="1">
        <v>41717</v>
      </c>
      <c r="E3456">
        <v>20661</v>
      </c>
      <c r="F3456" t="s">
        <v>309</v>
      </c>
      <c r="G3456" t="s">
        <v>16</v>
      </c>
      <c r="H3456" t="s">
        <v>2998</v>
      </c>
      <c r="I3456">
        <v>2.3637999999999999</v>
      </c>
      <c r="J3456">
        <v>56402.43</v>
      </c>
      <c r="K3456">
        <v>23860.914628987222</v>
      </c>
    </row>
    <row r="3457" spans="1:11" x14ac:dyDescent="0.25">
      <c r="A3457" t="s">
        <v>1024</v>
      </c>
      <c r="B3457" t="s">
        <v>1025</v>
      </c>
      <c r="C3457" s="1">
        <v>41705</v>
      </c>
      <c r="D3457" s="1">
        <v>41709</v>
      </c>
      <c r="E3457">
        <v>1</v>
      </c>
      <c r="F3457" t="s">
        <v>331</v>
      </c>
      <c r="G3457" t="s">
        <v>16</v>
      </c>
      <c r="H3457" t="s">
        <v>2999</v>
      </c>
      <c r="I3457">
        <v>2.3094000000000001</v>
      </c>
      <c r="J3457">
        <v>42258.74</v>
      </c>
      <c r="K3457">
        <v>18298.579717675588</v>
      </c>
    </row>
    <row r="3458" spans="1:11" x14ac:dyDescent="0.25">
      <c r="A3458" t="s">
        <v>1024</v>
      </c>
      <c r="B3458" t="s">
        <v>1025</v>
      </c>
      <c r="C3458" s="1">
        <v>41705</v>
      </c>
      <c r="D3458" s="1">
        <v>41710</v>
      </c>
      <c r="E3458">
        <v>1</v>
      </c>
      <c r="F3458" t="s">
        <v>331</v>
      </c>
      <c r="G3458" t="s">
        <v>16</v>
      </c>
      <c r="H3458" t="s">
        <v>6305</v>
      </c>
      <c r="I3458">
        <v>2.3094000000000001</v>
      </c>
      <c r="J3458">
        <v>31349.73</v>
      </c>
      <c r="K3458">
        <v>13574.837620161081</v>
      </c>
    </row>
    <row r="3459" spans="1:11" x14ac:dyDescent="0.25">
      <c r="A3459" t="s">
        <v>1039</v>
      </c>
      <c r="C3459" s="1">
        <v>41736</v>
      </c>
      <c r="D3459" s="1">
        <v>41737</v>
      </c>
      <c r="E3459">
        <v>22692</v>
      </c>
      <c r="F3459" t="s">
        <v>421</v>
      </c>
      <c r="G3459" t="s">
        <v>16</v>
      </c>
      <c r="H3459" t="s">
        <v>6306</v>
      </c>
      <c r="I3459">
        <v>2.242</v>
      </c>
      <c r="J3459">
        <v>111.95</v>
      </c>
      <c r="K3459">
        <v>49.933095450490633</v>
      </c>
    </row>
    <row r="3460" spans="1:11" x14ac:dyDescent="0.25">
      <c r="A3460" t="s">
        <v>1039</v>
      </c>
      <c r="C3460" s="1">
        <v>41736</v>
      </c>
      <c r="D3460" s="1">
        <v>41737</v>
      </c>
      <c r="E3460">
        <v>22692</v>
      </c>
      <c r="F3460" t="s">
        <v>421</v>
      </c>
      <c r="G3460" t="s">
        <v>16</v>
      </c>
      <c r="H3460" t="s">
        <v>3000</v>
      </c>
      <c r="I3460">
        <v>2.242</v>
      </c>
      <c r="J3460">
        <v>562</v>
      </c>
      <c r="K3460">
        <v>250.66904549509366</v>
      </c>
    </row>
    <row r="3461" spans="1:11" x14ac:dyDescent="0.25">
      <c r="A3461" t="s">
        <v>1039</v>
      </c>
      <c r="C3461" s="1">
        <v>41730</v>
      </c>
      <c r="D3461" s="1">
        <v>41737</v>
      </c>
      <c r="E3461">
        <v>22692</v>
      </c>
      <c r="F3461" t="s">
        <v>421</v>
      </c>
      <c r="G3461" t="s">
        <v>16</v>
      </c>
      <c r="H3461" t="s">
        <v>3001</v>
      </c>
      <c r="I3461">
        <v>2.2629999999999999</v>
      </c>
      <c r="J3461">
        <v>156.55000000000001</v>
      </c>
      <c r="K3461">
        <v>69.178082191780817</v>
      </c>
    </row>
    <row r="3462" spans="1:11" x14ac:dyDescent="0.25">
      <c r="A3462" t="s">
        <v>1039</v>
      </c>
      <c r="C3462" s="1">
        <v>41736</v>
      </c>
      <c r="D3462" s="1">
        <v>41737</v>
      </c>
      <c r="E3462">
        <v>22692</v>
      </c>
      <c r="F3462" t="s">
        <v>421</v>
      </c>
      <c r="G3462" t="s">
        <v>16</v>
      </c>
      <c r="H3462" t="s">
        <v>6307</v>
      </c>
      <c r="I3462">
        <v>2.242</v>
      </c>
      <c r="J3462">
        <v>63.22</v>
      </c>
      <c r="K3462">
        <v>28.198037466547724</v>
      </c>
    </row>
    <row r="3463" spans="1:11" x14ac:dyDescent="0.25">
      <c r="A3463" t="s">
        <v>896</v>
      </c>
      <c r="B3463" t="s">
        <v>897</v>
      </c>
      <c r="C3463" s="1">
        <v>41716</v>
      </c>
      <c r="D3463" s="1">
        <v>41720</v>
      </c>
      <c r="E3463">
        <v>296</v>
      </c>
      <c r="F3463" t="s">
        <v>887</v>
      </c>
      <c r="G3463" t="s">
        <v>16</v>
      </c>
      <c r="H3463" t="s">
        <v>3002</v>
      </c>
      <c r="I3463">
        <v>2.3517999999999999</v>
      </c>
      <c r="J3463">
        <v>48952.06</v>
      </c>
      <c r="K3463">
        <v>20814.720639510164</v>
      </c>
    </row>
    <row r="3464" spans="1:11" x14ac:dyDescent="0.25">
      <c r="A3464" t="s">
        <v>3003</v>
      </c>
      <c r="C3464" s="1">
        <v>41743</v>
      </c>
      <c r="D3464" s="1">
        <v>41745</v>
      </c>
      <c r="E3464">
        <v>22754</v>
      </c>
      <c r="F3464" t="s">
        <v>421</v>
      </c>
      <c r="G3464" t="s">
        <v>16</v>
      </c>
      <c r="H3464" t="s">
        <v>1278</v>
      </c>
      <c r="I3464">
        <v>2.2059000000000002</v>
      </c>
      <c r="J3464">
        <v>9.5</v>
      </c>
      <c r="K3464">
        <v>4.3066322136089576</v>
      </c>
    </row>
    <row r="3465" spans="1:11" x14ac:dyDescent="0.25">
      <c r="A3465" t="s">
        <v>3003</v>
      </c>
      <c r="C3465" s="1">
        <v>41743</v>
      </c>
      <c r="D3465" s="1">
        <v>41745</v>
      </c>
      <c r="E3465">
        <v>22754</v>
      </c>
      <c r="F3465" t="s">
        <v>421</v>
      </c>
      <c r="G3465" t="s">
        <v>16</v>
      </c>
      <c r="H3465" t="s">
        <v>3004</v>
      </c>
      <c r="I3465">
        <v>2.2059000000000002</v>
      </c>
      <c r="J3465">
        <v>122.67</v>
      </c>
      <c r="K3465">
        <v>55.609955120359039</v>
      </c>
    </row>
    <row r="3466" spans="1:11" x14ac:dyDescent="0.25">
      <c r="A3466" t="s">
        <v>3005</v>
      </c>
      <c r="B3466" t="s">
        <v>3006</v>
      </c>
      <c r="C3466" s="1">
        <v>41764</v>
      </c>
      <c r="D3466" s="1">
        <v>41766</v>
      </c>
      <c r="E3466">
        <v>23607</v>
      </c>
      <c r="F3466" t="s">
        <v>278</v>
      </c>
      <c r="G3466" t="s">
        <v>16</v>
      </c>
      <c r="H3466" t="s">
        <v>3007</v>
      </c>
      <c r="I3466">
        <v>2.2221000000000002</v>
      </c>
      <c r="J3466">
        <v>104473.60000000001</v>
      </c>
      <c r="K3466">
        <v>47015.705863822513</v>
      </c>
    </row>
    <row r="3467" spans="1:11" x14ac:dyDescent="0.25">
      <c r="A3467" t="s">
        <v>3008</v>
      </c>
      <c r="B3467" t="s">
        <v>3009</v>
      </c>
      <c r="C3467" s="1">
        <v>41712</v>
      </c>
      <c r="D3467" s="1">
        <v>41731</v>
      </c>
      <c r="E3467">
        <v>23032</v>
      </c>
      <c r="F3467" t="s">
        <v>331</v>
      </c>
      <c r="G3467" t="s">
        <v>16</v>
      </c>
      <c r="H3467" t="s">
        <v>3010</v>
      </c>
      <c r="I3467">
        <v>2.3485999999999998</v>
      </c>
      <c r="J3467">
        <v>125.97</v>
      </c>
      <c r="K3467">
        <v>53.63620880524568</v>
      </c>
    </row>
    <row r="3468" spans="1:11" x14ac:dyDescent="0.25">
      <c r="A3468" t="s">
        <v>3011</v>
      </c>
      <c r="B3468" t="s">
        <v>3012</v>
      </c>
      <c r="C3468" s="1">
        <v>41712</v>
      </c>
      <c r="D3468" s="1">
        <v>41731</v>
      </c>
      <c r="E3468">
        <v>19974</v>
      </c>
      <c r="F3468" t="s">
        <v>331</v>
      </c>
      <c r="G3468" t="s">
        <v>16</v>
      </c>
      <c r="H3468" t="s">
        <v>3010</v>
      </c>
      <c r="I3468">
        <v>2.3485999999999998</v>
      </c>
      <c r="J3468">
        <v>125.97</v>
      </c>
      <c r="K3468">
        <v>53.63620880524568</v>
      </c>
    </row>
    <row r="3469" spans="1:11" x14ac:dyDescent="0.25">
      <c r="A3469" t="s">
        <v>4712</v>
      </c>
      <c r="B3469" t="s">
        <v>4713</v>
      </c>
      <c r="C3469" s="1">
        <v>41751</v>
      </c>
      <c r="D3469" s="1">
        <v>41757</v>
      </c>
      <c r="E3469">
        <v>23603</v>
      </c>
      <c r="F3469" t="s">
        <v>311</v>
      </c>
      <c r="G3469" t="s">
        <v>16</v>
      </c>
      <c r="H3469" t="s">
        <v>6308</v>
      </c>
      <c r="I3469">
        <v>2.2482000000000002</v>
      </c>
      <c r="J3469">
        <v>105538.31</v>
      </c>
      <c r="K3469">
        <v>46943.470331821016</v>
      </c>
    </row>
    <row r="3470" spans="1:11" x14ac:dyDescent="0.25">
      <c r="A3470" t="s">
        <v>1582</v>
      </c>
      <c r="B3470" t="s">
        <v>1583</v>
      </c>
      <c r="C3470" s="1">
        <v>41704</v>
      </c>
      <c r="D3470" s="1">
        <v>41704</v>
      </c>
      <c r="E3470">
        <v>20372</v>
      </c>
      <c r="F3470" t="s">
        <v>309</v>
      </c>
      <c r="G3470" t="s">
        <v>16</v>
      </c>
      <c r="H3470" t="s">
        <v>6309</v>
      </c>
      <c r="I3470">
        <v>2.3239999999999998</v>
      </c>
      <c r="J3470">
        <v>54100.29</v>
      </c>
      <c r="K3470">
        <v>23278.954388984508</v>
      </c>
    </row>
    <row r="3471" spans="1:11" x14ac:dyDescent="0.25">
      <c r="A3471" t="s">
        <v>1048</v>
      </c>
      <c r="C3471" s="1">
        <v>41751</v>
      </c>
      <c r="D3471" s="1">
        <v>41752</v>
      </c>
      <c r="E3471">
        <v>22793</v>
      </c>
      <c r="F3471" t="s">
        <v>421</v>
      </c>
      <c r="G3471" t="s">
        <v>16</v>
      </c>
      <c r="H3471" t="s">
        <v>6310</v>
      </c>
      <c r="I3471">
        <v>2.2482000000000002</v>
      </c>
      <c r="J3471">
        <v>132.75</v>
      </c>
      <c r="K3471">
        <v>59.047237790232188</v>
      </c>
    </row>
    <row r="3472" spans="1:11" x14ac:dyDescent="0.25">
      <c r="A3472" t="s">
        <v>3013</v>
      </c>
      <c r="C3472" s="1">
        <v>41726</v>
      </c>
      <c r="D3472" s="1">
        <v>41736</v>
      </c>
      <c r="E3472">
        <v>97</v>
      </c>
      <c r="F3472" t="s">
        <v>519</v>
      </c>
      <c r="G3472" t="s">
        <v>16</v>
      </c>
      <c r="H3472" t="s">
        <v>3014</v>
      </c>
      <c r="I3472">
        <v>2.2829999999999999</v>
      </c>
      <c r="J3472">
        <v>400.06</v>
      </c>
      <c r="K3472">
        <v>175.23434077967588</v>
      </c>
    </row>
    <row r="3473" spans="1:11" x14ac:dyDescent="0.25">
      <c r="A3473" t="s">
        <v>2078</v>
      </c>
      <c r="B3473" t="s">
        <v>2079</v>
      </c>
      <c r="C3473" s="1">
        <v>41752</v>
      </c>
      <c r="D3473" s="1">
        <v>41757</v>
      </c>
      <c r="E3473">
        <v>22756</v>
      </c>
      <c r="F3473" t="s">
        <v>301</v>
      </c>
      <c r="G3473" t="s">
        <v>16</v>
      </c>
      <c r="H3473" t="s">
        <v>3015</v>
      </c>
      <c r="I3473">
        <v>2.2448999999999999</v>
      </c>
      <c r="J3473">
        <v>65209.99</v>
      </c>
      <c r="K3473">
        <v>29048.06004721814</v>
      </c>
    </row>
    <row r="3474" spans="1:11" x14ac:dyDescent="0.25">
      <c r="A3474" t="s">
        <v>1054</v>
      </c>
      <c r="B3474" t="s">
        <v>1055</v>
      </c>
      <c r="C3474" s="1">
        <v>41753</v>
      </c>
      <c r="D3474" s="1">
        <v>41759</v>
      </c>
      <c r="E3474">
        <v>23599</v>
      </c>
      <c r="F3474" t="s">
        <v>301</v>
      </c>
      <c r="G3474" t="s">
        <v>16</v>
      </c>
      <c r="H3474" t="s">
        <v>3016</v>
      </c>
      <c r="I3474">
        <v>2.2425999999999999</v>
      </c>
      <c r="J3474">
        <v>156210.01</v>
      </c>
      <c r="K3474">
        <v>69655.761170070458</v>
      </c>
    </row>
    <row r="3475" spans="1:11" x14ac:dyDescent="0.25">
      <c r="A3475" t="s">
        <v>1060</v>
      </c>
      <c r="B3475" t="s">
        <v>1061</v>
      </c>
      <c r="C3475" s="1">
        <v>41785</v>
      </c>
      <c r="D3475" s="1">
        <v>41787</v>
      </c>
      <c r="E3475">
        <v>19976</v>
      </c>
      <c r="F3475" t="s">
        <v>309</v>
      </c>
      <c r="G3475" t="s">
        <v>16</v>
      </c>
      <c r="H3475" t="s">
        <v>3017</v>
      </c>
      <c r="I3475">
        <v>2.2187000000000001</v>
      </c>
      <c r="J3475">
        <v>26426.93</v>
      </c>
      <c r="K3475">
        <v>11910.997430928021</v>
      </c>
    </row>
    <row r="3476" spans="1:11" x14ac:dyDescent="0.25">
      <c r="A3476" t="s">
        <v>1060</v>
      </c>
      <c r="B3476" t="s">
        <v>1061</v>
      </c>
      <c r="C3476" s="1">
        <v>41783</v>
      </c>
      <c r="D3476" s="1">
        <v>41785</v>
      </c>
      <c r="E3476">
        <v>19976</v>
      </c>
      <c r="F3476" t="s">
        <v>309</v>
      </c>
      <c r="G3476" t="s">
        <v>16</v>
      </c>
      <c r="H3476" t="s">
        <v>6311</v>
      </c>
      <c r="I3476">
        <v>2.2187000000000001</v>
      </c>
      <c r="J3476">
        <v>26642.66</v>
      </c>
      <c r="K3476">
        <v>12008.230044620725</v>
      </c>
    </row>
    <row r="3477" spans="1:11" x14ac:dyDescent="0.25">
      <c r="A3477" t="s">
        <v>1060</v>
      </c>
      <c r="B3477" t="s">
        <v>1061</v>
      </c>
      <c r="C3477" s="1">
        <v>41782</v>
      </c>
      <c r="D3477" s="1">
        <v>41788</v>
      </c>
      <c r="E3477">
        <v>19976</v>
      </c>
      <c r="F3477" t="s">
        <v>309</v>
      </c>
      <c r="G3477" t="s">
        <v>16</v>
      </c>
      <c r="H3477" t="s">
        <v>6312</v>
      </c>
      <c r="I3477">
        <v>2.2130999999999998</v>
      </c>
      <c r="J3477">
        <v>23902.880000000001</v>
      </c>
      <c r="K3477">
        <v>10800.632596809904</v>
      </c>
    </row>
    <row r="3478" spans="1:11" x14ac:dyDescent="0.25">
      <c r="A3478" t="s">
        <v>3005</v>
      </c>
      <c r="B3478" t="s">
        <v>3006</v>
      </c>
      <c r="C3478" s="1">
        <v>41765</v>
      </c>
      <c r="D3478" s="1">
        <v>41772</v>
      </c>
      <c r="E3478">
        <v>23607</v>
      </c>
      <c r="F3478" t="s">
        <v>278</v>
      </c>
      <c r="G3478" t="s">
        <v>16</v>
      </c>
      <c r="H3478" t="s">
        <v>6313</v>
      </c>
      <c r="I3478">
        <v>2.2286000000000001</v>
      </c>
      <c r="J3478">
        <v>175366.39999999999</v>
      </c>
      <c r="K3478">
        <v>78689.042448173743</v>
      </c>
    </row>
    <row r="3479" spans="1:11" x14ac:dyDescent="0.25">
      <c r="A3479" t="s">
        <v>1060</v>
      </c>
      <c r="B3479" t="s">
        <v>1061</v>
      </c>
      <c r="C3479" s="1">
        <v>41782</v>
      </c>
      <c r="D3479" s="1">
        <v>41788</v>
      </c>
      <c r="E3479">
        <v>19976</v>
      </c>
      <c r="F3479" t="s">
        <v>309</v>
      </c>
      <c r="G3479" t="s">
        <v>16</v>
      </c>
      <c r="H3479" t="s">
        <v>6314</v>
      </c>
      <c r="I3479">
        <v>2.2130999999999998</v>
      </c>
      <c r="J3479">
        <v>23895.69</v>
      </c>
      <c r="K3479">
        <v>10797.383760336181</v>
      </c>
    </row>
    <row r="3480" spans="1:11" x14ac:dyDescent="0.25">
      <c r="A3480" t="s">
        <v>1060</v>
      </c>
      <c r="B3480" t="s">
        <v>1061</v>
      </c>
      <c r="C3480" s="1">
        <v>41782</v>
      </c>
      <c r="D3480" s="1">
        <v>41789</v>
      </c>
      <c r="E3480">
        <v>19976</v>
      </c>
      <c r="F3480" t="s">
        <v>309</v>
      </c>
      <c r="G3480" t="s">
        <v>16</v>
      </c>
      <c r="H3480" t="s">
        <v>6315</v>
      </c>
      <c r="I3480">
        <v>2.2130999999999998</v>
      </c>
      <c r="J3480">
        <v>25937.94</v>
      </c>
      <c r="K3480">
        <v>11720.184356784601</v>
      </c>
    </row>
    <row r="3481" spans="1:11" x14ac:dyDescent="0.25">
      <c r="A3481" t="s">
        <v>1060</v>
      </c>
      <c r="B3481" t="s">
        <v>1061</v>
      </c>
      <c r="C3481" s="1">
        <v>41785</v>
      </c>
      <c r="D3481" s="1">
        <v>41789</v>
      </c>
      <c r="E3481">
        <v>19976</v>
      </c>
      <c r="F3481" t="s">
        <v>309</v>
      </c>
      <c r="G3481" t="s">
        <v>16</v>
      </c>
      <c r="H3481" t="s">
        <v>3018</v>
      </c>
      <c r="I3481">
        <v>2.2187000000000001</v>
      </c>
      <c r="J3481">
        <v>35386.910000000003</v>
      </c>
      <c r="K3481">
        <v>15949.389282011989</v>
      </c>
    </row>
    <row r="3482" spans="1:11" x14ac:dyDescent="0.25">
      <c r="A3482" t="s">
        <v>1060</v>
      </c>
      <c r="B3482" t="s">
        <v>1061</v>
      </c>
      <c r="C3482" s="1">
        <v>41781</v>
      </c>
      <c r="D3482" s="1">
        <v>41790</v>
      </c>
      <c r="E3482">
        <v>19976</v>
      </c>
      <c r="F3482" t="s">
        <v>309</v>
      </c>
      <c r="G3482" t="s">
        <v>16</v>
      </c>
      <c r="H3482" t="s">
        <v>3019</v>
      </c>
      <c r="I3482">
        <v>2.2111000000000001</v>
      </c>
      <c r="J3482">
        <v>23902.880000000001</v>
      </c>
      <c r="K3482">
        <v>10810.40206232192</v>
      </c>
    </row>
    <row r="3483" spans="1:11" x14ac:dyDescent="0.25">
      <c r="A3483" t="s">
        <v>1060</v>
      </c>
      <c r="B3483" t="s">
        <v>1061</v>
      </c>
      <c r="C3483" s="1">
        <v>41786</v>
      </c>
      <c r="D3483" s="1">
        <v>41790</v>
      </c>
      <c r="E3483">
        <v>19976</v>
      </c>
      <c r="F3483" t="s">
        <v>309</v>
      </c>
      <c r="G3483" t="s">
        <v>16</v>
      </c>
      <c r="H3483" t="s">
        <v>6316</v>
      </c>
      <c r="I3483">
        <v>2.2208999999999999</v>
      </c>
      <c r="J3483">
        <v>33423.769999999997</v>
      </c>
      <c r="K3483">
        <v>15049.651042370211</v>
      </c>
    </row>
    <row r="3484" spans="1:11" x14ac:dyDescent="0.25">
      <c r="A3484" t="s">
        <v>1057</v>
      </c>
      <c r="B3484" t="s">
        <v>1058</v>
      </c>
      <c r="C3484" s="1">
        <v>41788</v>
      </c>
      <c r="D3484" s="1">
        <v>41794</v>
      </c>
      <c r="E3484">
        <v>19681</v>
      </c>
      <c r="F3484" t="s">
        <v>309</v>
      </c>
      <c r="G3484" t="s">
        <v>16</v>
      </c>
      <c r="H3484" t="s">
        <v>6317</v>
      </c>
      <c r="I3484">
        <v>2.2404999999999999</v>
      </c>
      <c r="J3484">
        <v>1898.42</v>
      </c>
      <c r="K3484">
        <v>847.31979468868553</v>
      </c>
    </row>
    <row r="3485" spans="1:11" x14ac:dyDescent="0.25">
      <c r="A3485" t="s">
        <v>1060</v>
      </c>
      <c r="B3485" t="s">
        <v>1061</v>
      </c>
      <c r="C3485" s="1">
        <v>41789</v>
      </c>
      <c r="D3485" s="1">
        <v>41792</v>
      </c>
      <c r="E3485">
        <v>19976</v>
      </c>
      <c r="F3485" t="s">
        <v>309</v>
      </c>
      <c r="G3485" t="s">
        <v>16</v>
      </c>
      <c r="H3485" t="s">
        <v>6318</v>
      </c>
      <c r="I3485">
        <v>2.2250999999999999</v>
      </c>
      <c r="J3485">
        <v>26477.26</v>
      </c>
      <c r="K3485">
        <v>11899.357332254731</v>
      </c>
    </row>
    <row r="3486" spans="1:11" x14ac:dyDescent="0.25">
      <c r="A3486" t="s">
        <v>1060</v>
      </c>
      <c r="B3486" t="s">
        <v>1061</v>
      </c>
      <c r="C3486" s="1">
        <v>41790</v>
      </c>
      <c r="D3486" s="1">
        <v>41794</v>
      </c>
      <c r="E3486">
        <v>19976</v>
      </c>
      <c r="F3486" t="s">
        <v>309</v>
      </c>
      <c r="G3486" t="s">
        <v>16</v>
      </c>
      <c r="H3486" t="s">
        <v>6319</v>
      </c>
      <c r="I3486">
        <v>2.2389999999999999</v>
      </c>
      <c r="J3486">
        <v>26908.720000000001</v>
      </c>
      <c r="K3486">
        <v>12018.186690486824</v>
      </c>
    </row>
    <row r="3487" spans="1:11" x14ac:dyDescent="0.25">
      <c r="A3487" t="s">
        <v>1060</v>
      </c>
      <c r="B3487" t="s">
        <v>1061</v>
      </c>
      <c r="C3487" s="1">
        <v>41782</v>
      </c>
      <c r="D3487" s="1">
        <v>41785</v>
      </c>
      <c r="E3487">
        <v>19976</v>
      </c>
      <c r="F3487" t="s">
        <v>309</v>
      </c>
      <c r="G3487" t="s">
        <v>16</v>
      </c>
      <c r="H3487" t="s">
        <v>6320</v>
      </c>
      <c r="I3487">
        <v>2.2130999999999998</v>
      </c>
      <c r="J3487">
        <v>26721.759999999998</v>
      </c>
      <c r="K3487">
        <v>12074.357236455651</v>
      </c>
    </row>
    <row r="3488" spans="1:11" x14ac:dyDescent="0.25">
      <c r="A3488" t="s">
        <v>1060</v>
      </c>
      <c r="B3488" t="s">
        <v>1061</v>
      </c>
      <c r="C3488" s="1">
        <v>41781</v>
      </c>
      <c r="D3488" s="1">
        <v>41786</v>
      </c>
      <c r="E3488">
        <v>19976</v>
      </c>
      <c r="F3488" t="s">
        <v>309</v>
      </c>
      <c r="G3488" t="s">
        <v>16</v>
      </c>
      <c r="H3488" t="s">
        <v>3020</v>
      </c>
      <c r="I3488">
        <v>2.2111000000000001</v>
      </c>
      <c r="J3488">
        <v>25815.69</v>
      </c>
      <c r="K3488">
        <v>11675.496359278188</v>
      </c>
    </row>
    <row r="3489" spans="1:11" x14ac:dyDescent="0.25">
      <c r="A3489" t="s">
        <v>1060</v>
      </c>
      <c r="B3489" t="s">
        <v>1061</v>
      </c>
      <c r="C3489" s="1">
        <v>41782</v>
      </c>
      <c r="D3489" s="1">
        <v>41786</v>
      </c>
      <c r="E3489">
        <v>19976</v>
      </c>
      <c r="F3489" t="s">
        <v>309</v>
      </c>
      <c r="G3489" t="s">
        <v>16</v>
      </c>
      <c r="H3489" t="s">
        <v>3021</v>
      </c>
      <c r="I3489">
        <v>2.2130999999999998</v>
      </c>
      <c r="J3489">
        <v>36372.080000000002</v>
      </c>
      <c r="K3489">
        <v>16434.901269712169</v>
      </c>
    </row>
    <row r="3490" spans="1:11" x14ac:dyDescent="0.25">
      <c r="A3490" t="s">
        <v>1060</v>
      </c>
      <c r="B3490" t="s">
        <v>1061</v>
      </c>
      <c r="C3490" s="1">
        <v>41796</v>
      </c>
      <c r="D3490" s="1">
        <v>41800</v>
      </c>
      <c r="E3490">
        <v>19976</v>
      </c>
      <c r="F3490" t="s">
        <v>309</v>
      </c>
      <c r="G3490" t="s">
        <v>16</v>
      </c>
      <c r="H3490" t="s">
        <v>3022</v>
      </c>
      <c r="I3490">
        <v>2.2694999999999999</v>
      </c>
      <c r="J3490">
        <v>36587.81</v>
      </c>
      <c r="K3490">
        <v>16121.528971139018</v>
      </c>
    </row>
    <row r="3491" spans="1:11" x14ac:dyDescent="0.25">
      <c r="A3491" t="s">
        <v>1060</v>
      </c>
      <c r="B3491" t="s">
        <v>1061</v>
      </c>
      <c r="C3491" s="1">
        <v>41796</v>
      </c>
      <c r="D3491" s="1">
        <v>41802</v>
      </c>
      <c r="E3491">
        <v>19976</v>
      </c>
      <c r="F3491" t="s">
        <v>309</v>
      </c>
      <c r="G3491" t="s">
        <v>16</v>
      </c>
      <c r="H3491" t="s">
        <v>3023</v>
      </c>
      <c r="I3491">
        <v>2.2694999999999999</v>
      </c>
      <c r="J3491">
        <v>26772.09</v>
      </c>
      <c r="K3491">
        <v>11796.470588235294</v>
      </c>
    </row>
    <row r="3492" spans="1:11" x14ac:dyDescent="0.25">
      <c r="A3492" t="s">
        <v>1060</v>
      </c>
      <c r="B3492" t="s">
        <v>1061</v>
      </c>
      <c r="C3492" s="1">
        <v>41788</v>
      </c>
      <c r="D3492" s="1">
        <v>41792</v>
      </c>
      <c r="E3492">
        <v>19976</v>
      </c>
      <c r="F3492" t="s">
        <v>309</v>
      </c>
      <c r="G3492" t="s">
        <v>16</v>
      </c>
      <c r="H3492" t="s">
        <v>6321</v>
      </c>
      <c r="I3492">
        <v>2.2404999999999999</v>
      </c>
      <c r="J3492">
        <v>25830.07</v>
      </c>
      <c r="K3492">
        <v>11528.707877705869</v>
      </c>
    </row>
    <row r="3493" spans="1:11" x14ac:dyDescent="0.25">
      <c r="A3493" t="s">
        <v>1060</v>
      </c>
      <c r="B3493" t="s">
        <v>1061</v>
      </c>
      <c r="C3493" s="1">
        <v>41790</v>
      </c>
      <c r="D3493" s="1">
        <v>41793</v>
      </c>
      <c r="E3493">
        <v>19976</v>
      </c>
      <c r="F3493" t="s">
        <v>309</v>
      </c>
      <c r="G3493" t="s">
        <v>16</v>
      </c>
      <c r="H3493" t="s">
        <v>3024</v>
      </c>
      <c r="I3493">
        <v>2.2389999999999999</v>
      </c>
      <c r="J3493">
        <v>36630.949999999997</v>
      </c>
      <c r="K3493">
        <v>16360.406431442609</v>
      </c>
    </row>
    <row r="3494" spans="1:11" x14ac:dyDescent="0.25">
      <c r="A3494" t="s">
        <v>1060</v>
      </c>
      <c r="B3494" t="s">
        <v>1061</v>
      </c>
      <c r="C3494" s="1">
        <v>41790</v>
      </c>
      <c r="D3494" s="1">
        <v>41794</v>
      </c>
      <c r="E3494">
        <v>19976</v>
      </c>
      <c r="F3494" t="s">
        <v>309</v>
      </c>
      <c r="G3494" t="s">
        <v>16</v>
      </c>
      <c r="H3494" t="s">
        <v>3025</v>
      </c>
      <c r="I3494">
        <v>2.2389999999999999</v>
      </c>
      <c r="J3494">
        <v>35983.760000000002</v>
      </c>
      <c r="K3494">
        <v>16071.353282715498</v>
      </c>
    </row>
    <row r="3495" spans="1:11" x14ac:dyDescent="0.25">
      <c r="A3495" t="s">
        <v>1060</v>
      </c>
      <c r="B3495" t="s">
        <v>1061</v>
      </c>
      <c r="C3495" s="1">
        <v>41790</v>
      </c>
      <c r="D3495" s="1">
        <v>41795</v>
      </c>
      <c r="E3495">
        <v>19976</v>
      </c>
      <c r="F3495" t="s">
        <v>309</v>
      </c>
      <c r="G3495" t="s">
        <v>16</v>
      </c>
      <c r="H3495" t="s">
        <v>6322</v>
      </c>
      <c r="I3495">
        <v>2.2389999999999999</v>
      </c>
      <c r="J3495">
        <v>26268.720000000001</v>
      </c>
      <c r="K3495">
        <v>11732.344796784279</v>
      </c>
    </row>
    <row r="3496" spans="1:11" x14ac:dyDescent="0.25">
      <c r="A3496" t="s">
        <v>1060</v>
      </c>
      <c r="B3496" t="s">
        <v>1061</v>
      </c>
      <c r="C3496" s="1">
        <v>41788</v>
      </c>
      <c r="D3496" s="1">
        <v>41791</v>
      </c>
      <c r="E3496">
        <v>19976</v>
      </c>
      <c r="F3496" t="s">
        <v>309</v>
      </c>
      <c r="G3496" t="s">
        <v>16</v>
      </c>
      <c r="H3496" t="s">
        <v>6323</v>
      </c>
      <c r="I3496">
        <v>2.2404999999999999</v>
      </c>
      <c r="J3496">
        <v>35638.6</v>
      </c>
      <c r="K3496">
        <v>15906.538719035929</v>
      </c>
    </row>
    <row r="3497" spans="1:11" x14ac:dyDescent="0.25">
      <c r="A3497" t="s">
        <v>1072</v>
      </c>
      <c r="B3497" t="s">
        <v>1073</v>
      </c>
      <c r="C3497" s="1">
        <v>41823</v>
      </c>
      <c r="D3497" s="1">
        <v>41826</v>
      </c>
      <c r="E3497">
        <v>19972</v>
      </c>
      <c r="F3497" t="s">
        <v>368</v>
      </c>
      <c r="G3497" t="s">
        <v>16</v>
      </c>
      <c r="H3497" t="s">
        <v>3026</v>
      </c>
      <c r="I3497">
        <v>2.2134</v>
      </c>
      <c r="J3497">
        <v>33831.360000000001</v>
      </c>
      <c r="K3497">
        <v>15284.792626728111</v>
      </c>
    </row>
    <row r="3498" spans="1:11" x14ac:dyDescent="0.25">
      <c r="A3498" t="s">
        <v>3027</v>
      </c>
      <c r="C3498" s="1">
        <v>41823</v>
      </c>
      <c r="D3498" s="1">
        <v>41824</v>
      </c>
      <c r="E3498">
        <v>19032</v>
      </c>
      <c r="F3498" t="s">
        <v>519</v>
      </c>
      <c r="G3498" t="s">
        <v>16</v>
      </c>
      <c r="H3498" t="s">
        <v>3028</v>
      </c>
      <c r="I3498">
        <v>2.2134</v>
      </c>
      <c r="J3498">
        <v>59.83</v>
      </c>
      <c r="K3498">
        <v>27.030812324929972</v>
      </c>
    </row>
    <row r="3499" spans="1:11" x14ac:dyDescent="0.25">
      <c r="A3499" t="s">
        <v>6324</v>
      </c>
      <c r="C3499" s="1">
        <v>41823</v>
      </c>
      <c r="D3499" s="1">
        <v>41824</v>
      </c>
      <c r="E3499">
        <v>19034</v>
      </c>
      <c r="F3499" t="s">
        <v>519</v>
      </c>
      <c r="G3499" t="s">
        <v>16</v>
      </c>
      <c r="H3499" t="s">
        <v>6325</v>
      </c>
      <c r="I3499">
        <v>2.2134</v>
      </c>
      <c r="J3499">
        <v>504.35</v>
      </c>
      <c r="K3499">
        <v>227.86211258697028</v>
      </c>
    </row>
    <row r="3500" spans="1:11" x14ac:dyDescent="0.25">
      <c r="A3500" t="s">
        <v>1072</v>
      </c>
      <c r="B3500" t="s">
        <v>1073</v>
      </c>
      <c r="C3500" s="1">
        <v>41829</v>
      </c>
      <c r="D3500" s="1">
        <v>41831</v>
      </c>
      <c r="E3500">
        <v>19972</v>
      </c>
      <c r="F3500" t="s">
        <v>368</v>
      </c>
      <c r="G3500" t="s">
        <v>16</v>
      </c>
      <c r="H3500" t="s">
        <v>3029</v>
      </c>
      <c r="I3500">
        <v>2.2149999999999999</v>
      </c>
      <c r="J3500">
        <v>34256.92</v>
      </c>
      <c r="K3500">
        <v>15465.878103837471</v>
      </c>
    </row>
    <row r="3501" spans="1:11" x14ac:dyDescent="0.25">
      <c r="A3501" t="s">
        <v>1072</v>
      </c>
      <c r="B3501" t="s">
        <v>1073</v>
      </c>
      <c r="C3501" s="1">
        <v>41829</v>
      </c>
      <c r="D3501" s="1">
        <v>41832</v>
      </c>
      <c r="E3501">
        <v>19972</v>
      </c>
      <c r="F3501" t="s">
        <v>368</v>
      </c>
      <c r="G3501" t="s">
        <v>16</v>
      </c>
      <c r="H3501" t="s">
        <v>3030</v>
      </c>
      <c r="I3501">
        <v>2.2149999999999999</v>
      </c>
      <c r="J3501">
        <v>25041.05</v>
      </c>
      <c r="K3501">
        <v>11305.214446952596</v>
      </c>
    </row>
    <row r="3502" spans="1:11" x14ac:dyDescent="0.25">
      <c r="A3502" t="s">
        <v>1075</v>
      </c>
      <c r="B3502" t="s">
        <v>1076</v>
      </c>
      <c r="C3502" s="1">
        <v>41829</v>
      </c>
      <c r="D3502" s="1">
        <v>41834</v>
      </c>
      <c r="E3502">
        <v>19680</v>
      </c>
      <c r="F3502" t="s">
        <v>368</v>
      </c>
      <c r="G3502" t="s">
        <v>16</v>
      </c>
      <c r="H3502" t="s">
        <v>6326</v>
      </c>
      <c r="I3502">
        <v>2.2149999999999999</v>
      </c>
      <c r="J3502">
        <v>33698.36</v>
      </c>
      <c r="K3502">
        <v>15213.706546275394</v>
      </c>
    </row>
    <row r="3503" spans="1:11" x14ac:dyDescent="0.25">
      <c r="A3503" t="s">
        <v>1075</v>
      </c>
      <c r="B3503" t="s">
        <v>1076</v>
      </c>
      <c r="C3503" s="1">
        <v>41829</v>
      </c>
      <c r="D3503" s="1">
        <v>41834</v>
      </c>
      <c r="E3503">
        <v>19680</v>
      </c>
      <c r="F3503" t="s">
        <v>368</v>
      </c>
      <c r="G3503" t="s">
        <v>16</v>
      </c>
      <c r="H3503" t="s">
        <v>3031</v>
      </c>
      <c r="I3503">
        <v>2.2149999999999999</v>
      </c>
      <c r="J3503">
        <v>24761.8</v>
      </c>
      <c r="K3503">
        <v>11179.142212189616</v>
      </c>
    </row>
    <row r="3504" spans="1:11" x14ac:dyDescent="0.25">
      <c r="A3504" t="s">
        <v>1075</v>
      </c>
      <c r="B3504" t="s">
        <v>1076</v>
      </c>
      <c r="C3504" s="1">
        <v>41830</v>
      </c>
      <c r="D3504" s="1">
        <v>41834</v>
      </c>
      <c r="E3504">
        <v>19680</v>
      </c>
      <c r="F3504" t="s">
        <v>368</v>
      </c>
      <c r="G3504" t="s">
        <v>16</v>
      </c>
      <c r="H3504" t="s">
        <v>6327</v>
      </c>
      <c r="I3504">
        <v>2.2139000000000002</v>
      </c>
      <c r="J3504">
        <v>33671.769999999997</v>
      </c>
      <c r="K3504">
        <v>15209.255160576358</v>
      </c>
    </row>
    <row r="3505" spans="1:11" x14ac:dyDescent="0.25">
      <c r="A3505" t="s">
        <v>1075</v>
      </c>
      <c r="B3505" t="s">
        <v>1076</v>
      </c>
      <c r="C3505" s="1">
        <v>41832</v>
      </c>
      <c r="D3505" s="1">
        <v>41834</v>
      </c>
      <c r="E3505">
        <v>19680</v>
      </c>
      <c r="F3505" t="s">
        <v>368</v>
      </c>
      <c r="G3505" t="s">
        <v>16</v>
      </c>
      <c r="H3505" t="s">
        <v>3032</v>
      </c>
      <c r="I3505">
        <v>2.2227999999999999</v>
      </c>
      <c r="J3505">
        <v>33818.050000000003</v>
      </c>
      <c r="K3505">
        <v>15214.166816627678</v>
      </c>
    </row>
    <row r="3506" spans="1:11" x14ac:dyDescent="0.25">
      <c r="A3506" t="s">
        <v>1072</v>
      </c>
      <c r="B3506" t="s">
        <v>1073</v>
      </c>
      <c r="C3506" s="1">
        <v>41825</v>
      </c>
      <c r="D3506" s="1">
        <v>41829</v>
      </c>
      <c r="E3506">
        <v>19972</v>
      </c>
      <c r="F3506" t="s">
        <v>368</v>
      </c>
      <c r="G3506" t="s">
        <v>16</v>
      </c>
      <c r="H3506" t="s">
        <v>3033</v>
      </c>
      <c r="I3506">
        <v>2.2149000000000001</v>
      </c>
      <c r="J3506">
        <v>33645.19</v>
      </c>
      <c r="K3506">
        <v>15190.387827892908</v>
      </c>
    </row>
    <row r="3507" spans="1:11" x14ac:dyDescent="0.25">
      <c r="A3507" t="s">
        <v>1072</v>
      </c>
      <c r="B3507" t="s">
        <v>1073</v>
      </c>
      <c r="C3507" s="1">
        <v>41827</v>
      </c>
      <c r="D3507" s="1">
        <v>41830</v>
      </c>
      <c r="E3507">
        <v>19972</v>
      </c>
      <c r="F3507" t="s">
        <v>368</v>
      </c>
      <c r="G3507" t="s">
        <v>16</v>
      </c>
      <c r="H3507" t="s">
        <v>6328</v>
      </c>
      <c r="I3507">
        <v>2.2149000000000001</v>
      </c>
      <c r="J3507">
        <v>32288.73</v>
      </c>
      <c r="K3507">
        <v>14577.962887715021</v>
      </c>
    </row>
    <row r="3508" spans="1:11" x14ac:dyDescent="0.25">
      <c r="A3508" t="s">
        <v>1075</v>
      </c>
      <c r="B3508" t="s">
        <v>1076</v>
      </c>
      <c r="C3508" s="1">
        <v>41832</v>
      </c>
      <c r="D3508" s="1">
        <v>41837</v>
      </c>
      <c r="E3508">
        <v>19680</v>
      </c>
      <c r="F3508" t="s">
        <v>368</v>
      </c>
      <c r="G3508" t="s">
        <v>16</v>
      </c>
      <c r="H3508" t="s">
        <v>6329</v>
      </c>
      <c r="I3508">
        <v>2.2227999999999999</v>
      </c>
      <c r="J3508">
        <v>24761.8</v>
      </c>
      <c r="K3508">
        <v>11139.913622458162</v>
      </c>
    </row>
    <row r="3509" spans="1:11" x14ac:dyDescent="0.25">
      <c r="A3509" t="s">
        <v>1075</v>
      </c>
      <c r="B3509" t="s">
        <v>1076</v>
      </c>
      <c r="C3509" s="1">
        <v>41833</v>
      </c>
      <c r="D3509" s="1">
        <v>41837</v>
      </c>
      <c r="E3509">
        <v>19680</v>
      </c>
      <c r="F3509" t="s">
        <v>368</v>
      </c>
      <c r="G3509" t="s">
        <v>16</v>
      </c>
      <c r="H3509" t="s">
        <v>6330</v>
      </c>
      <c r="I3509">
        <v>2.2227999999999999</v>
      </c>
      <c r="J3509">
        <v>24509.11</v>
      </c>
      <c r="K3509">
        <v>11026.23267950333</v>
      </c>
    </row>
    <row r="3510" spans="1:11" x14ac:dyDescent="0.25">
      <c r="A3510" t="s">
        <v>1075</v>
      </c>
      <c r="B3510" t="s">
        <v>1076</v>
      </c>
      <c r="C3510" s="1">
        <v>41831</v>
      </c>
      <c r="D3510" s="1">
        <v>41837</v>
      </c>
      <c r="E3510">
        <v>19680</v>
      </c>
      <c r="F3510" t="s">
        <v>368</v>
      </c>
      <c r="G3510" t="s">
        <v>16</v>
      </c>
      <c r="H3510" t="s">
        <v>3034</v>
      </c>
      <c r="I3510">
        <v>2.2237</v>
      </c>
      <c r="J3510">
        <v>24987.85</v>
      </c>
      <c r="K3510">
        <v>11237.059855196294</v>
      </c>
    </row>
    <row r="3511" spans="1:11" x14ac:dyDescent="0.25">
      <c r="A3511" t="s">
        <v>1075</v>
      </c>
      <c r="B3511" t="s">
        <v>1076</v>
      </c>
      <c r="C3511" s="1">
        <v>41834</v>
      </c>
      <c r="D3511" s="1">
        <v>41837</v>
      </c>
      <c r="E3511">
        <v>19680</v>
      </c>
      <c r="F3511" t="s">
        <v>368</v>
      </c>
      <c r="G3511" t="s">
        <v>16</v>
      </c>
      <c r="H3511" t="s">
        <v>3035</v>
      </c>
      <c r="I3511">
        <v>2.2227999999999999</v>
      </c>
      <c r="J3511">
        <v>34097.33</v>
      </c>
      <c r="K3511">
        <v>15339.810149361167</v>
      </c>
    </row>
    <row r="3512" spans="1:11" x14ac:dyDescent="0.25">
      <c r="A3512" t="s">
        <v>1072</v>
      </c>
      <c r="B3512" t="s">
        <v>1073</v>
      </c>
      <c r="C3512" s="1">
        <v>41825</v>
      </c>
      <c r="D3512" s="1">
        <v>41828</v>
      </c>
      <c r="E3512">
        <v>19972</v>
      </c>
      <c r="F3512" t="s">
        <v>368</v>
      </c>
      <c r="G3512" t="s">
        <v>16</v>
      </c>
      <c r="H3512" t="s">
        <v>3036</v>
      </c>
      <c r="I3512">
        <v>2.2149000000000001</v>
      </c>
      <c r="J3512">
        <v>30799.31</v>
      </c>
      <c r="K3512">
        <v>13905.508149352116</v>
      </c>
    </row>
    <row r="3513" spans="1:11" x14ac:dyDescent="0.25">
      <c r="A3513" t="s">
        <v>1072</v>
      </c>
      <c r="B3513" t="s">
        <v>1073</v>
      </c>
      <c r="C3513" s="1">
        <v>41825</v>
      </c>
      <c r="D3513" s="1">
        <v>41828</v>
      </c>
      <c r="E3513">
        <v>19972</v>
      </c>
      <c r="F3513" t="s">
        <v>368</v>
      </c>
      <c r="G3513" t="s">
        <v>16</v>
      </c>
      <c r="H3513" t="s">
        <v>3037</v>
      </c>
      <c r="I3513">
        <v>2.2149000000000001</v>
      </c>
      <c r="J3513">
        <v>24309.64</v>
      </c>
      <c r="K3513">
        <v>10975.502280012641</v>
      </c>
    </row>
    <row r="3514" spans="1:11" x14ac:dyDescent="0.25">
      <c r="A3514" t="s">
        <v>382</v>
      </c>
      <c r="B3514" t="s">
        <v>1646</v>
      </c>
      <c r="C3514" s="1">
        <v>41827</v>
      </c>
      <c r="D3514" s="1">
        <v>41842</v>
      </c>
      <c r="E3514">
        <v>19975</v>
      </c>
      <c r="F3514" t="s">
        <v>309</v>
      </c>
      <c r="G3514" t="s">
        <v>16</v>
      </c>
      <c r="H3514" t="s">
        <v>3038</v>
      </c>
      <c r="I3514">
        <v>2.2149000000000001</v>
      </c>
      <c r="J3514">
        <v>103400</v>
      </c>
      <c r="K3514">
        <v>46683.823197435551</v>
      </c>
    </row>
    <row r="3515" spans="1:11" x14ac:dyDescent="0.25">
      <c r="A3515" t="s">
        <v>382</v>
      </c>
      <c r="B3515" t="s">
        <v>1646</v>
      </c>
      <c r="C3515" s="1">
        <v>41850</v>
      </c>
      <c r="D3515" s="1">
        <v>41858</v>
      </c>
      <c r="E3515">
        <v>19975</v>
      </c>
      <c r="F3515" t="s">
        <v>309</v>
      </c>
      <c r="G3515" t="s">
        <v>16</v>
      </c>
      <c r="H3515" t="s">
        <v>446</v>
      </c>
      <c r="I3515">
        <v>2.2277999999999998</v>
      </c>
      <c r="J3515">
        <v>155100</v>
      </c>
      <c r="K3515">
        <v>69620.253164556969</v>
      </c>
    </row>
    <row r="3516" spans="1:11" x14ac:dyDescent="0.25">
      <c r="A3516" t="s">
        <v>967</v>
      </c>
      <c r="B3516" t="s">
        <v>968</v>
      </c>
      <c r="C3516" s="1">
        <v>41614</v>
      </c>
      <c r="D3516" s="1">
        <v>41635</v>
      </c>
      <c r="E3516">
        <v>53</v>
      </c>
      <c r="F3516" t="s">
        <v>301</v>
      </c>
      <c r="G3516" t="s">
        <v>16</v>
      </c>
      <c r="H3516" t="s">
        <v>3039</v>
      </c>
      <c r="I3516">
        <v>2.3746999999999998</v>
      </c>
      <c r="J3516">
        <v>10912.01</v>
      </c>
      <c r="K3516">
        <v>4595.1109613845956</v>
      </c>
    </row>
    <row r="3517" spans="1:11" x14ac:dyDescent="0.25">
      <c r="A3517" t="s">
        <v>1072</v>
      </c>
      <c r="B3517" t="s">
        <v>1073</v>
      </c>
      <c r="C3517" s="1">
        <v>41863</v>
      </c>
      <c r="D3517" s="1">
        <v>41869</v>
      </c>
      <c r="E3517">
        <v>19972</v>
      </c>
      <c r="F3517" t="s">
        <v>368</v>
      </c>
      <c r="G3517" t="s">
        <v>16</v>
      </c>
      <c r="H3517" t="s">
        <v>3187</v>
      </c>
      <c r="I3517">
        <v>2.2778999999999998</v>
      </c>
      <c r="J3517">
        <v>33552.089999999997</v>
      </c>
      <c r="K3517">
        <v>14729.395495851442</v>
      </c>
    </row>
    <row r="3518" spans="1:11" x14ac:dyDescent="0.25">
      <c r="A3518" t="s">
        <v>1653</v>
      </c>
      <c r="B3518" t="s">
        <v>1654</v>
      </c>
      <c r="C3518" s="1">
        <v>41852</v>
      </c>
      <c r="D3518" s="1">
        <v>41858</v>
      </c>
      <c r="E3518">
        <v>1</v>
      </c>
      <c r="F3518" t="s">
        <v>368</v>
      </c>
      <c r="G3518" t="s">
        <v>16</v>
      </c>
      <c r="H3518" t="s">
        <v>6331</v>
      </c>
      <c r="I3518">
        <v>2.2673999999999999</v>
      </c>
      <c r="J3518">
        <v>50306.85</v>
      </c>
      <c r="K3518">
        <v>22187.020375760781</v>
      </c>
    </row>
    <row r="3519" spans="1:11" x14ac:dyDescent="0.25">
      <c r="A3519" t="s">
        <v>1083</v>
      </c>
      <c r="B3519" t="s">
        <v>1084</v>
      </c>
      <c r="C3519" s="1">
        <v>41850</v>
      </c>
      <c r="D3519" s="1">
        <v>41853</v>
      </c>
      <c r="E3519">
        <v>19679</v>
      </c>
      <c r="F3519" t="s">
        <v>368</v>
      </c>
      <c r="G3519" t="s">
        <v>16</v>
      </c>
      <c r="H3519" t="s">
        <v>6332</v>
      </c>
      <c r="I3519">
        <v>2.2277999999999998</v>
      </c>
      <c r="J3519">
        <v>38993.019999999997</v>
      </c>
      <c r="K3519">
        <v>17502.926654098213</v>
      </c>
    </row>
    <row r="3520" spans="1:11" x14ac:dyDescent="0.25">
      <c r="A3520" t="s">
        <v>1083</v>
      </c>
      <c r="B3520" t="s">
        <v>1084</v>
      </c>
      <c r="C3520" s="1">
        <v>41850</v>
      </c>
      <c r="D3520" s="1">
        <v>41853</v>
      </c>
      <c r="E3520">
        <v>19679</v>
      </c>
      <c r="F3520" t="s">
        <v>368</v>
      </c>
      <c r="G3520" t="s">
        <v>16</v>
      </c>
      <c r="H3520" t="s">
        <v>3040</v>
      </c>
      <c r="I3520">
        <v>2.2277999999999998</v>
      </c>
      <c r="J3520">
        <v>51845.11</v>
      </c>
      <c r="K3520">
        <v>23271.887063470687</v>
      </c>
    </row>
    <row r="3521" spans="1:11" x14ac:dyDescent="0.25">
      <c r="A3521" t="s">
        <v>1083</v>
      </c>
      <c r="B3521" t="s">
        <v>1084</v>
      </c>
      <c r="C3521" s="1">
        <v>41851</v>
      </c>
      <c r="D3521" s="1">
        <v>41853</v>
      </c>
      <c r="E3521">
        <v>19679</v>
      </c>
      <c r="F3521" t="s">
        <v>368</v>
      </c>
      <c r="G3521" t="s">
        <v>16</v>
      </c>
      <c r="H3521" t="s">
        <v>5191</v>
      </c>
      <c r="I3521">
        <v>2.2446999999999999</v>
      </c>
      <c r="J3521">
        <v>38993.019999999997</v>
      </c>
      <c r="K3521">
        <v>17371.149819574999</v>
      </c>
    </row>
    <row r="3522" spans="1:11" x14ac:dyDescent="0.25">
      <c r="A3522" t="s">
        <v>1083</v>
      </c>
      <c r="B3522" t="s">
        <v>1084</v>
      </c>
      <c r="C3522" s="1">
        <v>41851</v>
      </c>
      <c r="D3522" s="1">
        <v>41853</v>
      </c>
      <c r="E3522">
        <v>19679</v>
      </c>
      <c r="F3522" t="s">
        <v>368</v>
      </c>
      <c r="G3522" t="s">
        <v>16</v>
      </c>
      <c r="H3522" t="s">
        <v>6333</v>
      </c>
      <c r="I3522">
        <v>2.2446999999999999</v>
      </c>
      <c r="J3522">
        <v>53425.62</v>
      </c>
      <c r="K3522">
        <v>23800.784069140642</v>
      </c>
    </row>
    <row r="3523" spans="1:11" x14ac:dyDescent="0.25">
      <c r="A3523" t="s">
        <v>1072</v>
      </c>
      <c r="B3523" t="s">
        <v>1073</v>
      </c>
      <c r="C3523" s="1">
        <v>41870</v>
      </c>
      <c r="D3523" s="1">
        <v>41872</v>
      </c>
      <c r="E3523">
        <v>19972</v>
      </c>
      <c r="F3523" t="s">
        <v>368</v>
      </c>
      <c r="G3523" t="s">
        <v>16</v>
      </c>
      <c r="H3523" t="s">
        <v>6334</v>
      </c>
      <c r="I3523">
        <v>2.2595000000000001</v>
      </c>
      <c r="J3523">
        <v>25067.66</v>
      </c>
      <c r="K3523">
        <v>11094.339455631776</v>
      </c>
    </row>
    <row r="3524" spans="1:11" x14ac:dyDescent="0.25">
      <c r="A3524" t="s">
        <v>1072</v>
      </c>
      <c r="B3524" t="s">
        <v>1073</v>
      </c>
      <c r="C3524" s="1">
        <v>41870</v>
      </c>
      <c r="D3524" s="1">
        <v>41872</v>
      </c>
      <c r="E3524">
        <v>19972</v>
      </c>
      <c r="F3524" t="s">
        <v>368</v>
      </c>
      <c r="G3524" t="s">
        <v>16</v>
      </c>
      <c r="H3524" t="s">
        <v>6335</v>
      </c>
      <c r="I3524">
        <v>2.2595000000000001</v>
      </c>
      <c r="J3524">
        <v>33552.089999999997</v>
      </c>
      <c r="K3524">
        <v>14849.34277495021</v>
      </c>
    </row>
    <row r="3525" spans="1:11" x14ac:dyDescent="0.25">
      <c r="A3525" t="s">
        <v>1060</v>
      </c>
      <c r="B3525" t="s">
        <v>1061</v>
      </c>
      <c r="C3525" s="1">
        <v>41859</v>
      </c>
      <c r="D3525" s="1">
        <v>41859</v>
      </c>
      <c r="E3525">
        <v>19976</v>
      </c>
      <c r="F3525" t="s">
        <v>309</v>
      </c>
      <c r="G3525" t="s">
        <v>16</v>
      </c>
      <c r="H3525" t="s">
        <v>3041</v>
      </c>
      <c r="I3525">
        <v>2.2801999999999998</v>
      </c>
      <c r="J3525">
        <v>11656.61</v>
      </c>
      <c r="K3525">
        <v>5112.0998158056309</v>
      </c>
    </row>
    <row r="3526" spans="1:11" x14ac:dyDescent="0.25">
      <c r="A3526" t="s">
        <v>1072</v>
      </c>
      <c r="B3526" t="s">
        <v>1073</v>
      </c>
      <c r="C3526" s="1">
        <v>41863</v>
      </c>
      <c r="D3526" s="1">
        <v>41865</v>
      </c>
      <c r="E3526">
        <v>19972</v>
      </c>
      <c r="F3526" t="s">
        <v>368</v>
      </c>
      <c r="G3526" t="s">
        <v>16</v>
      </c>
      <c r="H3526" t="s">
        <v>6336</v>
      </c>
      <c r="I3526">
        <v>2.2778999999999998</v>
      </c>
      <c r="J3526">
        <v>24987.85</v>
      </c>
      <c r="K3526">
        <v>10969.686992405286</v>
      </c>
    </row>
    <row r="3527" spans="1:11" x14ac:dyDescent="0.25">
      <c r="A3527" t="s">
        <v>2590</v>
      </c>
      <c r="B3527" t="s">
        <v>2591</v>
      </c>
      <c r="C3527" s="1">
        <v>41849</v>
      </c>
      <c r="D3527" s="1">
        <v>41852</v>
      </c>
      <c r="E3527">
        <v>1</v>
      </c>
      <c r="F3527" t="s">
        <v>368</v>
      </c>
      <c r="G3527" t="s">
        <v>16</v>
      </c>
      <c r="H3527" t="s">
        <v>3042</v>
      </c>
      <c r="I3527">
        <v>2.2302</v>
      </c>
      <c r="J3527">
        <v>50920.58</v>
      </c>
      <c r="K3527">
        <v>22832.293067886287</v>
      </c>
    </row>
    <row r="3528" spans="1:11" x14ac:dyDescent="0.25">
      <c r="A3528" t="s">
        <v>967</v>
      </c>
      <c r="B3528" t="s">
        <v>968</v>
      </c>
      <c r="C3528" s="1">
        <v>41618</v>
      </c>
      <c r="D3528" s="1">
        <v>41635</v>
      </c>
      <c r="E3528">
        <v>53</v>
      </c>
      <c r="F3528" t="s">
        <v>301</v>
      </c>
      <c r="G3528" t="s">
        <v>16</v>
      </c>
      <c r="H3528" t="s">
        <v>2587</v>
      </c>
      <c r="I3528">
        <v>2.3224999999999998</v>
      </c>
      <c r="J3528">
        <v>2607.8000000000002</v>
      </c>
      <c r="K3528">
        <v>1122.8417653390743</v>
      </c>
    </row>
    <row r="3529" spans="1:11" x14ac:dyDescent="0.25">
      <c r="A3529" t="s">
        <v>1088</v>
      </c>
      <c r="B3529" t="s">
        <v>1089</v>
      </c>
      <c r="C3529" s="1">
        <v>41864</v>
      </c>
      <c r="D3529" s="1">
        <v>41866</v>
      </c>
      <c r="E3529">
        <v>2</v>
      </c>
      <c r="F3529" t="s">
        <v>368</v>
      </c>
      <c r="G3529" t="s">
        <v>16</v>
      </c>
      <c r="H3529" t="s">
        <v>3043</v>
      </c>
      <c r="I3529">
        <v>2.2770000000000001</v>
      </c>
      <c r="J3529">
        <v>38542.94</v>
      </c>
      <c r="K3529">
        <v>16927.070707070707</v>
      </c>
    </row>
    <row r="3530" spans="1:11" x14ac:dyDescent="0.25">
      <c r="A3530" t="s">
        <v>1088</v>
      </c>
      <c r="B3530" t="s">
        <v>1089</v>
      </c>
      <c r="C3530" s="1">
        <v>41864</v>
      </c>
      <c r="D3530" s="1">
        <v>41866</v>
      </c>
      <c r="E3530">
        <v>2</v>
      </c>
      <c r="F3530" t="s">
        <v>368</v>
      </c>
      <c r="G3530" t="s">
        <v>16</v>
      </c>
      <c r="H3530" t="s">
        <v>6337</v>
      </c>
      <c r="I3530">
        <v>2.2770000000000001</v>
      </c>
      <c r="J3530">
        <v>38482.33</v>
      </c>
      <c r="K3530">
        <v>16900.452349582785</v>
      </c>
    </row>
    <row r="3531" spans="1:11" x14ac:dyDescent="0.25">
      <c r="A3531" t="s">
        <v>3044</v>
      </c>
      <c r="B3531" t="s">
        <v>3045</v>
      </c>
      <c r="C3531" s="1">
        <v>41871</v>
      </c>
      <c r="D3531" s="1">
        <v>41873</v>
      </c>
      <c r="E3531">
        <v>2</v>
      </c>
      <c r="F3531" t="s">
        <v>368</v>
      </c>
      <c r="G3531" t="s">
        <v>16</v>
      </c>
      <c r="H3531" t="s">
        <v>3046</v>
      </c>
      <c r="I3531">
        <v>2.2587000000000002</v>
      </c>
      <c r="J3531">
        <v>38997.65</v>
      </c>
      <c r="K3531">
        <v>17265.528844025324</v>
      </c>
    </row>
    <row r="3532" spans="1:11" x14ac:dyDescent="0.25">
      <c r="A3532" t="s">
        <v>2088</v>
      </c>
      <c r="B3532" t="s">
        <v>2089</v>
      </c>
      <c r="C3532" s="1">
        <v>41842</v>
      </c>
      <c r="D3532" s="1">
        <v>41849</v>
      </c>
      <c r="E3532">
        <v>19979</v>
      </c>
      <c r="F3532" t="s">
        <v>301</v>
      </c>
      <c r="G3532" t="s">
        <v>16</v>
      </c>
      <c r="H3532" t="s">
        <v>3047</v>
      </c>
      <c r="I3532">
        <v>2.2238000000000002</v>
      </c>
      <c r="J3532">
        <v>38759.99</v>
      </c>
      <c r="K3532">
        <v>17429.620469466678</v>
      </c>
    </row>
    <row r="3533" spans="1:11" x14ac:dyDescent="0.25">
      <c r="A3533" t="s">
        <v>1075</v>
      </c>
      <c r="B3533" t="s">
        <v>1076</v>
      </c>
      <c r="C3533" s="1">
        <v>41859</v>
      </c>
      <c r="D3533" s="1">
        <v>41862</v>
      </c>
      <c r="E3533">
        <v>19680</v>
      </c>
      <c r="F3533" t="s">
        <v>368</v>
      </c>
      <c r="G3533" t="s">
        <v>16</v>
      </c>
      <c r="H3533" t="s">
        <v>3048</v>
      </c>
      <c r="I3533">
        <v>2.2801999999999998</v>
      </c>
      <c r="J3533">
        <v>32488.2</v>
      </c>
      <c r="K3533">
        <v>14247.960705201298</v>
      </c>
    </row>
    <row r="3534" spans="1:11" x14ac:dyDescent="0.25">
      <c r="A3534" t="s">
        <v>1094</v>
      </c>
      <c r="B3534" t="s">
        <v>1095</v>
      </c>
      <c r="C3534" s="1">
        <v>41857</v>
      </c>
      <c r="D3534" s="1">
        <v>41866</v>
      </c>
      <c r="E3534">
        <v>2</v>
      </c>
      <c r="F3534" t="s">
        <v>368</v>
      </c>
      <c r="G3534" t="s">
        <v>16</v>
      </c>
      <c r="H3534" t="s">
        <v>6338</v>
      </c>
      <c r="I3534">
        <v>2.2755999999999998</v>
      </c>
      <c r="J3534">
        <v>48426.03</v>
      </c>
      <c r="K3534">
        <v>21280.554579012129</v>
      </c>
    </row>
    <row r="3535" spans="1:11" x14ac:dyDescent="0.25">
      <c r="A3535" t="s">
        <v>1653</v>
      </c>
      <c r="B3535" t="s">
        <v>1654</v>
      </c>
      <c r="C3535" s="1">
        <v>41857</v>
      </c>
      <c r="D3535" s="1">
        <v>41866</v>
      </c>
      <c r="E3535">
        <v>1</v>
      </c>
      <c r="F3535" t="s">
        <v>368</v>
      </c>
      <c r="G3535" t="s">
        <v>16</v>
      </c>
      <c r="H3535" t="s">
        <v>6339</v>
      </c>
      <c r="I3535">
        <v>2.2755999999999998</v>
      </c>
      <c r="J3535">
        <v>47297.54</v>
      </c>
      <c r="K3535">
        <v>20784.645807699068</v>
      </c>
    </row>
    <row r="3536" spans="1:11" x14ac:dyDescent="0.25">
      <c r="A3536" t="s">
        <v>1072</v>
      </c>
      <c r="B3536" t="s">
        <v>1073</v>
      </c>
      <c r="C3536" s="1">
        <v>41919</v>
      </c>
      <c r="D3536" s="1">
        <v>41919</v>
      </c>
      <c r="E3536">
        <v>19972</v>
      </c>
      <c r="F3536" t="s">
        <v>368</v>
      </c>
      <c r="G3536" t="s">
        <v>16</v>
      </c>
      <c r="H3536" t="s">
        <v>6340</v>
      </c>
      <c r="I3536">
        <v>2.4098000000000002</v>
      </c>
      <c r="J3536">
        <v>24231.18</v>
      </c>
      <c r="K3536">
        <v>10055.265997178189</v>
      </c>
    </row>
    <row r="3537" spans="1:11" x14ac:dyDescent="0.25">
      <c r="A3537" t="s">
        <v>3049</v>
      </c>
      <c r="B3537" t="s">
        <v>3050</v>
      </c>
      <c r="C3537" s="1">
        <v>41852</v>
      </c>
      <c r="D3537" s="1">
        <v>41883</v>
      </c>
      <c r="E3537">
        <v>1</v>
      </c>
      <c r="F3537" t="s">
        <v>368</v>
      </c>
      <c r="G3537" t="s">
        <v>16</v>
      </c>
      <c r="H3537" t="s">
        <v>3051</v>
      </c>
      <c r="I3537">
        <v>2.2673999999999999</v>
      </c>
      <c r="J3537">
        <v>37042.15</v>
      </c>
      <c r="K3537">
        <v>16336.839551909676</v>
      </c>
    </row>
    <row r="3538" spans="1:11" x14ac:dyDescent="0.25">
      <c r="A3538" t="s">
        <v>1102</v>
      </c>
      <c r="B3538" t="s">
        <v>1103</v>
      </c>
      <c r="C3538" s="1">
        <v>41906</v>
      </c>
      <c r="D3538" s="1">
        <v>41911</v>
      </c>
      <c r="E3538">
        <v>19980</v>
      </c>
      <c r="F3538" t="s">
        <v>301</v>
      </c>
      <c r="G3538" t="s">
        <v>16</v>
      </c>
      <c r="H3538" t="s">
        <v>6341</v>
      </c>
      <c r="I3538">
        <v>2.4026000000000001</v>
      </c>
      <c r="J3538">
        <v>62370.01</v>
      </c>
      <c r="K3538">
        <v>25959.381503371347</v>
      </c>
    </row>
    <row r="3539" spans="1:11" x14ac:dyDescent="0.25">
      <c r="A3539" t="s">
        <v>1102</v>
      </c>
      <c r="B3539" t="s">
        <v>1103</v>
      </c>
      <c r="C3539" s="1">
        <v>41906</v>
      </c>
      <c r="D3539" s="1">
        <v>41911</v>
      </c>
      <c r="E3539">
        <v>19980</v>
      </c>
      <c r="F3539" t="s">
        <v>301</v>
      </c>
      <c r="G3539" t="s">
        <v>16</v>
      </c>
      <c r="H3539" t="s">
        <v>6342</v>
      </c>
      <c r="I3539">
        <v>2.4026000000000001</v>
      </c>
      <c r="J3539">
        <v>62370.01</v>
      </c>
      <c r="K3539">
        <v>25959.381503371347</v>
      </c>
    </row>
    <row r="3540" spans="1:11" x14ac:dyDescent="0.25">
      <c r="A3540" t="s">
        <v>3052</v>
      </c>
      <c r="B3540" t="s">
        <v>3053</v>
      </c>
      <c r="C3540" s="1">
        <v>41900</v>
      </c>
      <c r="D3540" s="1">
        <v>41911</v>
      </c>
      <c r="E3540">
        <v>20195</v>
      </c>
      <c r="F3540" t="s">
        <v>338</v>
      </c>
      <c r="G3540" t="s">
        <v>16</v>
      </c>
      <c r="H3540" t="s">
        <v>3054</v>
      </c>
      <c r="I3540">
        <v>2.3384</v>
      </c>
      <c r="J3540">
        <v>56121.599999999999</v>
      </c>
      <c r="K3540">
        <v>24000</v>
      </c>
    </row>
    <row r="3541" spans="1:11" x14ac:dyDescent="0.25">
      <c r="A3541" t="s">
        <v>337</v>
      </c>
      <c r="B3541" t="s">
        <v>1105</v>
      </c>
      <c r="C3541" s="1">
        <v>41905</v>
      </c>
      <c r="D3541" s="1">
        <v>41919</v>
      </c>
      <c r="E3541">
        <v>20192</v>
      </c>
      <c r="F3541" t="s">
        <v>311</v>
      </c>
      <c r="G3541" t="s">
        <v>16</v>
      </c>
      <c r="H3541" t="s">
        <v>3055</v>
      </c>
      <c r="I3541">
        <v>2.387</v>
      </c>
      <c r="J3541">
        <v>562951.76</v>
      </c>
      <c r="K3541">
        <v>235840.70381231673</v>
      </c>
    </row>
    <row r="3542" spans="1:11" x14ac:dyDescent="0.25">
      <c r="A3542" t="s">
        <v>4355</v>
      </c>
      <c r="B3542" t="s">
        <v>4356</v>
      </c>
      <c r="C3542" s="1">
        <v>41895</v>
      </c>
      <c r="D3542" s="1">
        <v>41897</v>
      </c>
      <c r="E3542">
        <v>20127</v>
      </c>
      <c r="F3542" t="s">
        <v>280</v>
      </c>
      <c r="G3542" t="s">
        <v>16</v>
      </c>
      <c r="H3542" t="s">
        <v>6343</v>
      </c>
      <c r="I3542">
        <v>2.3250999999999999</v>
      </c>
      <c r="J3542">
        <v>110629.81</v>
      </c>
      <c r="K3542">
        <v>47580.667498172123</v>
      </c>
    </row>
    <row r="3543" spans="1:11" x14ac:dyDescent="0.25">
      <c r="A3543" t="s">
        <v>4355</v>
      </c>
      <c r="B3543" t="s">
        <v>4356</v>
      </c>
      <c r="C3543" s="1">
        <v>41890</v>
      </c>
      <c r="D3543" s="1">
        <v>41893</v>
      </c>
      <c r="E3543">
        <v>20127</v>
      </c>
      <c r="F3543" t="s">
        <v>280</v>
      </c>
      <c r="G3543" t="s">
        <v>16</v>
      </c>
      <c r="H3543" t="s">
        <v>6344</v>
      </c>
      <c r="I3543">
        <v>2.2416</v>
      </c>
      <c r="J3543">
        <v>53052.44</v>
      </c>
      <c r="K3543">
        <v>23667.219842969309</v>
      </c>
    </row>
    <row r="3544" spans="1:11" x14ac:dyDescent="0.25">
      <c r="A3544" t="s">
        <v>360</v>
      </c>
      <c r="B3544" t="s">
        <v>6345</v>
      </c>
      <c r="C3544" s="1">
        <v>41890</v>
      </c>
      <c r="D3544" s="1">
        <v>41893</v>
      </c>
      <c r="E3544">
        <v>20124</v>
      </c>
      <c r="F3544" t="s">
        <v>278</v>
      </c>
      <c r="G3544" t="s">
        <v>16</v>
      </c>
      <c r="H3544" t="s">
        <v>6346</v>
      </c>
      <c r="I3544">
        <v>2.2416</v>
      </c>
      <c r="J3544">
        <v>407400.99</v>
      </c>
      <c r="K3544">
        <v>181745.62366167022</v>
      </c>
    </row>
    <row r="3545" spans="1:11" x14ac:dyDescent="0.25">
      <c r="A3545" t="s">
        <v>1664</v>
      </c>
      <c r="B3545" t="s">
        <v>1665</v>
      </c>
      <c r="C3545" s="1">
        <v>41873</v>
      </c>
      <c r="D3545" s="1">
        <v>41883</v>
      </c>
      <c r="E3545">
        <v>2</v>
      </c>
      <c r="F3545" t="s">
        <v>368</v>
      </c>
      <c r="G3545" t="s">
        <v>16</v>
      </c>
      <c r="H3545" t="s">
        <v>6347</v>
      </c>
      <c r="I3545">
        <v>2.2582</v>
      </c>
      <c r="J3545">
        <v>28676.06</v>
      </c>
      <c r="K3545">
        <v>12698.636081835089</v>
      </c>
    </row>
    <row r="3546" spans="1:11" x14ac:dyDescent="0.25">
      <c r="A3546" t="s">
        <v>1140</v>
      </c>
      <c r="B3546" t="s">
        <v>1141</v>
      </c>
      <c r="C3546" s="1">
        <v>41873</v>
      </c>
      <c r="D3546" s="1">
        <v>41883</v>
      </c>
      <c r="E3546">
        <v>3</v>
      </c>
      <c r="F3546" t="s">
        <v>368</v>
      </c>
      <c r="G3546" t="s">
        <v>16</v>
      </c>
      <c r="H3546" t="s">
        <v>506</v>
      </c>
      <c r="I3546">
        <v>2.2582</v>
      </c>
      <c r="J3546">
        <v>38664.199999999997</v>
      </c>
      <c r="K3546">
        <v>17121.689841466654</v>
      </c>
    </row>
    <row r="3547" spans="1:11" x14ac:dyDescent="0.25">
      <c r="A3547" t="s">
        <v>1140</v>
      </c>
      <c r="B3547" t="s">
        <v>1141</v>
      </c>
      <c r="C3547" s="1">
        <v>41874</v>
      </c>
      <c r="D3547" s="1">
        <v>41883</v>
      </c>
      <c r="E3547">
        <v>3</v>
      </c>
      <c r="F3547" t="s">
        <v>368</v>
      </c>
      <c r="G3547" t="s">
        <v>16</v>
      </c>
      <c r="H3547" t="s">
        <v>6348</v>
      </c>
      <c r="I3547">
        <v>2.2778</v>
      </c>
      <c r="J3547">
        <v>37800.269999999997</v>
      </c>
      <c r="K3547">
        <v>16595.078584599174</v>
      </c>
    </row>
    <row r="3548" spans="1:11" x14ac:dyDescent="0.25">
      <c r="A3548" t="s">
        <v>1072</v>
      </c>
      <c r="B3548" t="s">
        <v>1073</v>
      </c>
      <c r="C3548" s="1">
        <v>41874</v>
      </c>
      <c r="D3548" s="1">
        <v>41883</v>
      </c>
      <c r="E3548">
        <v>19972</v>
      </c>
      <c r="F3548" t="s">
        <v>368</v>
      </c>
      <c r="G3548" t="s">
        <v>16</v>
      </c>
      <c r="H3548" t="s">
        <v>3056</v>
      </c>
      <c r="I3548">
        <v>2.2778</v>
      </c>
      <c r="J3548">
        <v>38677.51</v>
      </c>
      <c r="K3548">
        <v>16980.204583369919</v>
      </c>
    </row>
    <row r="3549" spans="1:11" x14ac:dyDescent="0.25">
      <c r="A3549" t="s">
        <v>539</v>
      </c>
      <c r="B3549" t="s">
        <v>2697</v>
      </c>
      <c r="C3549" s="1">
        <v>41894</v>
      </c>
      <c r="D3549" s="1">
        <v>41912</v>
      </c>
      <c r="E3549">
        <v>9</v>
      </c>
      <c r="F3549" t="s">
        <v>311</v>
      </c>
      <c r="G3549" t="s">
        <v>16</v>
      </c>
      <c r="H3549" t="s">
        <v>6349</v>
      </c>
      <c r="I3549">
        <v>2.2879999999999998</v>
      </c>
      <c r="J3549">
        <v>3846.68</v>
      </c>
      <c r="K3549">
        <v>1681.2412587412587</v>
      </c>
    </row>
    <row r="3550" spans="1:11" x14ac:dyDescent="0.25">
      <c r="A3550" t="s">
        <v>1072</v>
      </c>
      <c r="B3550" t="s">
        <v>1073</v>
      </c>
      <c r="C3550" s="1">
        <v>41897</v>
      </c>
      <c r="D3550" s="1">
        <v>41900</v>
      </c>
      <c r="E3550">
        <v>19972</v>
      </c>
      <c r="F3550" t="s">
        <v>368</v>
      </c>
      <c r="G3550" t="s">
        <v>16</v>
      </c>
      <c r="H3550" t="s">
        <v>6350</v>
      </c>
      <c r="I3550">
        <v>2.3250999999999999</v>
      </c>
      <c r="J3550">
        <v>24445.94</v>
      </c>
      <c r="K3550">
        <v>10513.930583630812</v>
      </c>
    </row>
    <row r="3551" spans="1:11" x14ac:dyDescent="0.25">
      <c r="A3551" t="s">
        <v>517</v>
      </c>
      <c r="B3551" t="s">
        <v>2184</v>
      </c>
      <c r="C3551" s="1">
        <v>41904</v>
      </c>
      <c r="D3551" s="1">
        <v>41915</v>
      </c>
      <c r="E3551">
        <v>7</v>
      </c>
      <c r="F3551" t="s">
        <v>311</v>
      </c>
      <c r="G3551" t="s">
        <v>16</v>
      </c>
      <c r="H3551" t="s">
        <v>3057</v>
      </c>
      <c r="I3551">
        <v>2.3656000000000001</v>
      </c>
      <c r="J3551">
        <v>164764.82</v>
      </c>
      <c r="K3551">
        <v>69650.329726073716</v>
      </c>
    </row>
    <row r="3552" spans="1:11" x14ac:dyDescent="0.25">
      <c r="A3552" t="s">
        <v>1113</v>
      </c>
      <c r="B3552" t="s">
        <v>1114</v>
      </c>
      <c r="C3552" s="1">
        <v>41900</v>
      </c>
      <c r="D3552" s="1">
        <v>41918</v>
      </c>
      <c r="E3552">
        <v>19753</v>
      </c>
      <c r="F3552" t="s">
        <v>338</v>
      </c>
      <c r="G3552" t="s">
        <v>16</v>
      </c>
      <c r="H3552" t="s">
        <v>6351</v>
      </c>
      <c r="I3552">
        <v>2.3384</v>
      </c>
      <c r="J3552">
        <v>23571.07</v>
      </c>
      <c r="K3552">
        <v>10079.999144714335</v>
      </c>
    </row>
    <row r="3553" spans="1:11" x14ac:dyDescent="0.25">
      <c r="A3553" t="s">
        <v>1111</v>
      </c>
      <c r="B3553" t="s">
        <v>458</v>
      </c>
      <c r="C3553" s="1">
        <v>41949</v>
      </c>
      <c r="D3553" s="1">
        <v>41962</v>
      </c>
      <c r="E3553">
        <v>20492</v>
      </c>
      <c r="F3553" t="s">
        <v>301</v>
      </c>
      <c r="G3553" t="s">
        <v>16</v>
      </c>
      <c r="H3553" t="s">
        <v>6352</v>
      </c>
      <c r="I3553">
        <v>2.5167999999999999</v>
      </c>
      <c r="J3553">
        <v>153215.99</v>
      </c>
      <c r="K3553">
        <v>60877.30054036872</v>
      </c>
    </row>
    <row r="3554" spans="1:11" x14ac:dyDescent="0.25">
      <c r="A3554" t="s">
        <v>3058</v>
      </c>
      <c r="B3554" t="s">
        <v>3059</v>
      </c>
      <c r="C3554" s="1">
        <v>41961</v>
      </c>
      <c r="D3554" s="1">
        <v>41962</v>
      </c>
      <c r="E3554">
        <v>21248</v>
      </c>
      <c r="F3554" t="s">
        <v>3060</v>
      </c>
      <c r="G3554" t="s">
        <v>16</v>
      </c>
      <c r="H3554" t="s">
        <v>3061</v>
      </c>
      <c r="I3554">
        <v>2.6034999999999999</v>
      </c>
      <c r="J3554">
        <v>3299.16</v>
      </c>
      <c r="K3554">
        <v>1267.20184367198</v>
      </c>
    </row>
    <row r="3555" spans="1:11" x14ac:dyDescent="0.25">
      <c r="A3555" t="s">
        <v>564</v>
      </c>
      <c r="B3555" t="s">
        <v>4369</v>
      </c>
      <c r="C3555" s="1">
        <v>41908</v>
      </c>
      <c r="D3555" s="1">
        <v>41928</v>
      </c>
      <c r="E3555">
        <v>3</v>
      </c>
      <c r="F3555" t="s">
        <v>278</v>
      </c>
      <c r="G3555" t="s">
        <v>16</v>
      </c>
      <c r="H3555" t="s">
        <v>6353</v>
      </c>
      <c r="I3555">
        <v>2.4085000000000001</v>
      </c>
      <c r="J3555">
        <v>27155</v>
      </c>
      <c r="K3555">
        <v>11274.652273199086</v>
      </c>
    </row>
    <row r="3556" spans="1:11" x14ac:dyDescent="0.25">
      <c r="A3556" t="s">
        <v>1111</v>
      </c>
      <c r="B3556" t="s">
        <v>458</v>
      </c>
      <c r="C3556" s="1">
        <v>41941</v>
      </c>
      <c r="D3556" s="1">
        <v>41946</v>
      </c>
      <c r="E3556">
        <v>20492</v>
      </c>
      <c r="F3556" t="s">
        <v>301</v>
      </c>
      <c r="G3556" t="s">
        <v>16</v>
      </c>
      <c r="H3556" t="s">
        <v>6354</v>
      </c>
      <c r="I3556">
        <v>2.4868999999999999</v>
      </c>
      <c r="J3556">
        <v>132063.99</v>
      </c>
      <c r="K3556">
        <v>53103.860227592588</v>
      </c>
    </row>
    <row r="3557" spans="1:11" x14ac:dyDescent="0.25">
      <c r="A3557" t="s">
        <v>1102</v>
      </c>
      <c r="B3557" t="s">
        <v>1103</v>
      </c>
      <c r="C3557" s="1">
        <v>41919</v>
      </c>
      <c r="D3557" s="1">
        <v>41923</v>
      </c>
      <c r="E3557">
        <v>19980</v>
      </c>
      <c r="F3557" t="s">
        <v>301</v>
      </c>
      <c r="G3557" t="s">
        <v>16</v>
      </c>
      <c r="H3557" t="s">
        <v>6355</v>
      </c>
      <c r="I3557">
        <v>2.4098000000000002</v>
      </c>
      <c r="J3557">
        <v>62550</v>
      </c>
      <c r="K3557">
        <v>25956.510913768776</v>
      </c>
    </row>
    <row r="3558" spans="1:11" x14ac:dyDescent="0.25">
      <c r="A3558" t="s">
        <v>1102</v>
      </c>
      <c r="B3558" t="s">
        <v>1103</v>
      </c>
      <c r="C3558" s="1">
        <v>41919</v>
      </c>
      <c r="D3558" s="1">
        <v>41923</v>
      </c>
      <c r="E3558">
        <v>19980</v>
      </c>
      <c r="F3558" t="s">
        <v>301</v>
      </c>
      <c r="G3558" t="s">
        <v>16</v>
      </c>
      <c r="H3558" t="s">
        <v>3062</v>
      </c>
      <c r="I3558">
        <v>2.4098000000000002</v>
      </c>
      <c r="J3558">
        <v>62550</v>
      </c>
      <c r="K3558">
        <v>25956.510913768776</v>
      </c>
    </row>
    <row r="3559" spans="1:11" x14ac:dyDescent="0.25">
      <c r="A3559" t="s">
        <v>1072</v>
      </c>
      <c r="B3559" t="s">
        <v>1073</v>
      </c>
      <c r="C3559" s="1">
        <v>41920</v>
      </c>
      <c r="D3559" s="1">
        <v>41920</v>
      </c>
      <c r="E3559">
        <v>19972</v>
      </c>
      <c r="F3559" t="s">
        <v>368</v>
      </c>
      <c r="G3559" t="s">
        <v>16</v>
      </c>
      <c r="H3559" t="s">
        <v>3063</v>
      </c>
      <c r="I3559">
        <v>2.4037999999999999</v>
      </c>
      <c r="J3559">
        <v>12829.4</v>
      </c>
      <c r="K3559">
        <v>5337.1328729511606</v>
      </c>
    </row>
    <row r="3560" spans="1:11" x14ac:dyDescent="0.25">
      <c r="A3560" t="s">
        <v>1111</v>
      </c>
      <c r="B3560" t="s">
        <v>458</v>
      </c>
      <c r="C3560" s="1">
        <v>41942</v>
      </c>
      <c r="D3560" s="1">
        <v>41947</v>
      </c>
      <c r="E3560">
        <v>20492</v>
      </c>
      <c r="F3560" t="s">
        <v>301</v>
      </c>
      <c r="G3560" t="s">
        <v>16</v>
      </c>
      <c r="H3560" t="s">
        <v>3064</v>
      </c>
      <c r="I3560">
        <v>2.4346000000000001</v>
      </c>
      <c r="J3560">
        <v>246267.99</v>
      </c>
      <c r="K3560">
        <v>101153.36810975109</v>
      </c>
    </row>
    <row r="3561" spans="1:11" x14ac:dyDescent="0.25">
      <c r="A3561" t="s">
        <v>608</v>
      </c>
      <c r="B3561" t="s">
        <v>3065</v>
      </c>
      <c r="C3561" s="1">
        <v>41932</v>
      </c>
      <c r="D3561" s="1">
        <v>41958</v>
      </c>
      <c r="E3561">
        <v>59</v>
      </c>
      <c r="F3561" t="s">
        <v>311</v>
      </c>
      <c r="G3561" t="s">
        <v>16</v>
      </c>
      <c r="H3561" t="s">
        <v>6356</v>
      </c>
      <c r="I3561">
        <v>2.4477000000000002</v>
      </c>
      <c r="J3561">
        <v>5878.69</v>
      </c>
      <c r="K3561">
        <v>2401.7199820239407</v>
      </c>
    </row>
    <row r="3562" spans="1:11" x14ac:dyDescent="0.25">
      <c r="A3562" t="s">
        <v>608</v>
      </c>
      <c r="B3562" t="s">
        <v>3065</v>
      </c>
      <c r="C3562" s="1">
        <v>41929</v>
      </c>
      <c r="D3562" s="1">
        <v>41958</v>
      </c>
      <c r="E3562">
        <v>59</v>
      </c>
      <c r="F3562" t="s">
        <v>311</v>
      </c>
      <c r="G3562" t="s">
        <v>16</v>
      </c>
      <c r="H3562" t="s">
        <v>3066</v>
      </c>
      <c r="I3562">
        <v>2.4769999999999999</v>
      </c>
      <c r="J3562">
        <v>130184.04</v>
      </c>
      <c r="K3562">
        <v>52557.141703673798</v>
      </c>
    </row>
    <row r="3563" spans="1:11" x14ac:dyDescent="0.25">
      <c r="A3563" t="s">
        <v>2613</v>
      </c>
      <c r="B3563" t="s">
        <v>2614</v>
      </c>
      <c r="C3563" s="1">
        <v>41968</v>
      </c>
      <c r="D3563" s="1">
        <v>42018</v>
      </c>
      <c r="E3563">
        <v>105</v>
      </c>
      <c r="F3563" t="s">
        <v>301</v>
      </c>
      <c r="G3563" t="s">
        <v>16</v>
      </c>
      <c r="H3563" t="s">
        <v>3067</v>
      </c>
      <c r="I3563">
        <v>2.5282</v>
      </c>
      <c r="J3563">
        <v>19545.59</v>
      </c>
      <c r="K3563">
        <v>7731.0299818052372</v>
      </c>
    </row>
    <row r="3564" spans="1:11" x14ac:dyDescent="0.25">
      <c r="A3564" t="s">
        <v>1116</v>
      </c>
      <c r="B3564" t="s">
        <v>1117</v>
      </c>
      <c r="C3564" s="1">
        <v>42021</v>
      </c>
      <c r="D3564" s="1">
        <v>42023</v>
      </c>
      <c r="E3564">
        <v>21004</v>
      </c>
      <c r="F3564" t="s">
        <v>368</v>
      </c>
      <c r="G3564" t="s">
        <v>16</v>
      </c>
      <c r="H3564" t="s">
        <v>3068</v>
      </c>
      <c r="I3564">
        <v>2.6193</v>
      </c>
      <c r="J3564">
        <v>31272.04</v>
      </c>
      <c r="K3564">
        <v>11939.082961096476</v>
      </c>
    </row>
    <row r="3565" spans="1:11" x14ac:dyDescent="0.25">
      <c r="A3565" t="s">
        <v>1102</v>
      </c>
      <c r="B3565" t="s">
        <v>1103</v>
      </c>
      <c r="C3565" s="1">
        <v>41985</v>
      </c>
      <c r="D3565" s="1">
        <v>41991</v>
      </c>
      <c r="E3565">
        <v>19980</v>
      </c>
      <c r="F3565" t="s">
        <v>301</v>
      </c>
      <c r="G3565" t="s">
        <v>16</v>
      </c>
      <c r="H3565" t="s">
        <v>6357</v>
      </c>
      <c r="I3565">
        <v>2.6271</v>
      </c>
      <c r="J3565">
        <v>68085</v>
      </c>
      <c r="K3565">
        <v>25916.40972935937</v>
      </c>
    </row>
    <row r="3566" spans="1:11" x14ac:dyDescent="0.25">
      <c r="A3566" t="s">
        <v>3069</v>
      </c>
      <c r="C3566" s="1">
        <v>41933</v>
      </c>
      <c r="D3566" s="1">
        <v>41985</v>
      </c>
      <c r="E3566">
        <v>194</v>
      </c>
      <c r="F3566" t="s">
        <v>477</v>
      </c>
      <c r="G3566" t="s">
        <v>16</v>
      </c>
      <c r="H3566" t="s">
        <v>3070</v>
      </c>
      <c r="I3566">
        <v>2.4554</v>
      </c>
      <c r="J3566">
        <v>30</v>
      </c>
      <c r="K3566">
        <v>12.217968559094242</v>
      </c>
    </row>
    <row r="3567" spans="1:11" x14ac:dyDescent="0.25">
      <c r="A3567" t="s">
        <v>1123</v>
      </c>
      <c r="B3567" t="s">
        <v>1124</v>
      </c>
      <c r="C3567" s="1">
        <v>42010</v>
      </c>
      <c r="D3567" s="1">
        <v>42013</v>
      </c>
      <c r="E3567">
        <v>21159</v>
      </c>
      <c r="F3567" t="s">
        <v>368</v>
      </c>
      <c r="G3567" t="s">
        <v>16</v>
      </c>
      <c r="H3567" t="s">
        <v>6358</v>
      </c>
      <c r="I3567">
        <v>2.7107000000000001</v>
      </c>
      <c r="J3567">
        <v>49936.41</v>
      </c>
      <c r="K3567">
        <v>18421.961117054634</v>
      </c>
    </row>
    <row r="3568" spans="1:11" x14ac:dyDescent="0.25">
      <c r="A3568" t="s">
        <v>1128</v>
      </c>
      <c r="B3568" t="s">
        <v>1129</v>
      </c>
      <c r="C3568" s="1">
        <v>41965</v>
      </c>
      <c r="D3568" s="1">
        <v>41978</v>
      </c>
      <c r="E3568">
        <v>19900</v>
      </c>
      <c r="F3568" t="s">
        <v>301</v>
      </c>
      <c r="G3568" t="s">
        <v>16</v>
      </c>
      <c r="H3568" t="s">
        <v>6359</v>
      </c>
      <c r="I3568">
        <v>2.5390999999999999</v>
      </c>
      <c r="J3568">
        <v>79872.009999999995</v>
      </c>
      <c r="K3568">
        <v>31456.819345437361</v>
      </c>
    </row>
    <row r="3569" spans="1:11" x14ac:dyDescent="0.25">
      <c r="A3569" t="s">
        <v>1131</v>
      </c>
      <c r="B3569" t="s">
        <v>1132</v>
      </c>
      <c r="C3569" s="1">
        <v>42011</v>
      </c>
      <c r="D3569" s="1">
        <v>42022</v>
      </c>
      <c r="E3569">
        <v>20276</v>
      </c>
      <c r="F3569" t="s">
        <v>368</v>
      </c>
      <c r="G3569" t="s">
        <v>16</v>
      </c>
      <c r="H3569" t="s">
        <v>6360</v>
      </c>
      <c r="I3569">
        <v>2.7023000000000001</v>
      </c>
      <c r="J3569">
        <v>66199</v>
      </c>
      <c r="K3569">
        <v>24497.280094734117</v>
      </c>
    </row>
    <row r="3570" spans="1:11" x14ac:dyDescent="0.25">
      <c r="A3570" t="s">
        <v>6361</v>
      </c>
      <c r="C3570" s="1">
        <v>42020</v>
      </c>
      <c r="D3570" s="1">
        <v>42023</v>
      </c>
      <c r="E3570">
        <v>22211</v>
      </c>
      <c r="F3570" t="s">
        <v>291</v>
      </c>
      <c r="G3570" t="s">
        <v>16</v>
      </c>
      <c r="H3570" t="s">
        <v>6362</v>
      </c>
      <c r="I3570">
        <v>2.6122000000000001</v>
      </c>
      <c r="J3570">
        <v>49</v>
      </c>
      <c r="K3570">
        <v>18.758134905443686</v>
      </c>
    </row>
    <row r="3571" spans="1:11" x14ac:dyDescent="0.25">
      <c r="A3571" t="s">
        <v>436</v>
      </c>
      <c r="B3571" t="s">
        <v>5259</v>
      </c>
      <c r="C3571" s="1">
        <v>42017</v>
      </c>
      <c r="D3571" s="1">
        <v>42024</v>
      </c>
      <c r="E3571">
        <v>22137</v>
      </c>
      <c r="F3571" t="s">
        <v>311</v>
      </c>
      <c r="G3571" t="s">
        <v>16</v>
      </c>
      <c r="H3571" t="s">
        <v>6363</v>
      </c>
      <c r="I3571">
        <v>2.6575000000000002</v>
      </c>
      <c r="J3571">
        <v>287056.78999999998</v>
      </c>
      <c r="K3571">
        <v>108017.60677328316</v>
      </c>
    </row>
    <row r="3572" spans="1:11" x14ac:dyDescent="0.25">
      <c r="A3572" t="s">
        <v>1137</v>
      </c>
      <c r="B3572" t="s">
        <v>1138</v>
      </c>
      <c r="C3572" s="1">
        <v>41982</v>
      </c>
      <c r="D3572" s="1">
        <v>41992</v>
      </c>
      <c r="E3572">
        <v>20065</v>
      </c>
      <c r="F3572" t="s">
        <v>368</v>
      </c>
      <c r="G3572" t="s">
        <v>16</v>
      </c>
      <c r="H3572" t="s">
        <v>2061</v>
      </c>
      <c r="I3572">
        <v>2.5922999999999998</v>
      </c>
      <c r="J3572">
        <v>34687.57</v>
      </c>
      <c r="K3572">
        <v>13381.001427303938</v>
      </c>
    </row>
    <row r="3573" spans="1:11" x14ac:dyDescent="0.25">
      <c r="A3573" t="s">
        <v>1137</v>
      </c>
      <c r="B3573" t="s">
        <v>1138</v>
      </c>
      <c r="C3573" s="1">
        <v>41982</v>
      </c>
      <c r="D3573" s="1">
        <v>41992</v>
      </c>
      <c r="E3573">
        <v>20065</v>
      </c>
      <c r="F3573" t="s">
        <v>368</v>
      </c>
      <c r="G3573" t="s">
        <v>16</v>
      </c>
      <c r="H3573" t="s">
        <v>6364</v>
      </c>
      <c r="I3573">
        <v>2.5922999999999998</v>
      </c>
      <c r="J3573">
        <v>31504.080000000002</v>
      </c>
      <c r="K3573">
        <v>12152.945260965165</v>
      </c>
    </row>
    <row r="3574" spans="1:11" x14ac:dyDescent="0.25">
      <c r="A3574" t="s">
        <v>337</v>
      </c>
      <c r="B3574" t="s">
        <v>1105</v>
      </c>
      <c r="C3574" s="1">
        <v>42011</v>
      </c>
      <c r="D3574" s="1">
        <v>42014</v>
      </c>
      <c r="E3574">
        <v>20192</v>
      </c>
      <c r="F3574" t="s">
        <v>1255</v>
      </c>
      <c r="G3574" t="s">
        <v>16</v>
      </c>
      <c r="H3574" t="s">
        <v>6365</v>
      </c>
      <c r="I3574">
        <v>2.7023000000000001</v>
      </c>
      <c r="J3574">
        <v>397410.19</v>
      </c>
      <c r="K3574">
        <v>147063.68278873552</v>
      </c>
    </row>
    <row r="3575" spans="1:11" x14ac:dyDescent="0.25">
      <c r="A3575" t="s">
        <v>1116</v>
      </c>
      <c r="B3575" t="s">
        <v>1117</v>
      </c>
      <c r="C3575" s="1">
        <v>42023</v>
      </c>
      <c r="D3575" s="1">
        <v>42024</v>
      </c>
      <c r="E3575">
        <v>21004</v>
      </c>
      <c r="F3575" t="s">
        <v>368</v>
      </c>
      <c r="G3575" t="s">
        <v>16</v>
      </c>
      <c r="H3575" t="s">
        <v>6366</v>
      </c>
      <c r="I3575">
        <v>2.6193</v>
      </c>
      <c r="J3575">
        <v>33847.17</v>
      </c>
      <c r="K3575">
        <v>12922.219677012943</v>
      </c>
    </row>
    <row r="3576" spans="1:11" x14ac:dyDescent="0.25">
      <c r="A3576" t="s">
        <v>1116</v>
      </c>
      <c r="B3576" t="s">
        <v>1117</v>
      </c>
      <c r="C3576" s="1">
        <v>41985</v>
      </c>
      <c r="D3576" s="1">
        <v>41992</v>
      </c>
      <c r="E3576">
        <v>21004</v>
      </c>
      <c r="F3576" t="s">
        <v>368</v>
      </c>
      <c r="G3576" t="s">
        <v>16</v>
      </c>
      <c r="H3576" t="s">
        <v>346</v>
      </c>
      <c r="I3576">
        <v>2.6271</v>
      </c>
      <c r="J3576">
        <v>42203.88</v>
      </c>
      <c r="K3576">
        <v>16064.816718054128</v>
      </c>
    </row>
    <row r="3577" spans="1:11" x14ac:dyDescent="0.25">
      <c r="A3577" t="s">
        <v>6367</v>
      </c>
      <c r="C3577" s="1">
        <v>41963</v>
      </c>
      <c r="D3577" s="1">
        <v>41975</v>
      </c>
      <c r="E3577">
        <v>148</v>
      </c>
      <c r="F3577" t="s">
        <v>519</v>
      </c>
      <c r="G3577" t="s">
        <v>16</v>
      </c>
      <c r="H3577" t="s">
        <v>6368</v>
      </c>
      <c r="I3577">
        <v>2.5849000000000002</v>
      </c>
      <c r="J3577">
        <v>11.13</v>
      </c>
      <c r="K3577">
        <v>4.3057758520639098</v>
      </c>
    </row>
    <row r="3578" spans="1:11" x14ac:dyDescent="0.25">
      <c r="A3578" t="s">
        <v>1145</v>
      </c>
      <c r="B3578" t="s">
        <v>1146</v>
      </c>
      <c r="C3578" s="1">
        <v>42042</v>
      </c>
      <c r="D3578" s="1">
        <v>42044</v>
      </c>
      <c r="E3578">
        <v>21007</v>
      </c>
      <c r="F3578" t="s">
        <v>368</v>
      </c>
      <c r="G3578" t="s">
        <v>16</v>
      </c>
      <c r="H3578" t="s">
        <v>3071</v>
      </c>
      <c r="I3578">
        <v>2.7641</v>
      </c>
      <c r="J3578">
        <v>32992.589999999997</v>
      </c>
      <c r="K3578">
        <v>11936.105784884772</v>
      </c>
    </row>
    <row r="3579" spans="1:11" x14ac:dyDescent="0.25">
      <c r="A3579" t="s">
        <v>6369</v>
      </c>
      <c r="C3579" s="1">
        <v>42039</v>
      </c>
      <c r="D3579" s="1">
        <v>42048</v>
      </c>
      <c r="E3579">
        <v>22708</v>
      </c>
      <c r="F3579" t="s">
        <v>304</v>
      </c>
      <c r="G3579" t="s">
        <v>16</v>
      </c>
      <c r="H3579" t="s">
        <v>6370</v>
      </c>
      <c r="I3579">
        <v>2.7059000000000002</v>
      </c>
      <c r="J3579">
        <v>117.61</v>
      </c>
      <c r="K3579">
        <v>43.464281754684208</v>
      </c>
    </row>
    <row r="3580" spans="1:11" x14ac:dyDescent="0.25">
      <c r="A3580" t="s">
        <v>1116</v>
      </c>
      <c r="B3580" t="s">
        <v>1117</v>
      </c>
      <c r="C3580" s="1">
        <v>42031</v>
      </c>
      <c r="D3580" s="1">
        <v>42032</v>
      </c>
      <c r="E3580">
        <v>21004</v>
      </c>
      <c r="F3580" t="s">
        <v>368</v>
      </c>
      <c r="G3580" t="s">
        <v>16</v>
      </c>
      <c r="H3580" t="s">
        <v>6371</v>
      </c>
      <c r="I3580">
        <v>2.5966</v>
      </c>
      <c r="J3580">
        <v>31430.94</v>
      </c>
      <c r="K3580">
        <v>12104.652237541401</v>
      </c>
    </row>
    <row r="3581" spans="1:11" x14ac:dyDescent="0.25">
      <c r="A3581" t="s">
        <v>423</v>
      </c>
      <c r="B3581" t="s">
        <v>1160</v>
      </c>
      <c r="C3581" s="1">
        <v>42052</v>
      </c>
      <c r="D3581" s="1">
        <v>42053</v>
      </c>
      <c r="E3581">
        <v>22776</v>
      </c>
      <c r="F3581" t="s">
        <v>368</v>
      </c>
      <c r="G3581" t="s">
        <v>16</v>
      </c>
      <c r="H3581" t="s">
        <v>3072</v>
      </c>
      <c r="I3581">
        <v>2.8391999999999999</v>
      </c>
      <c r="J3581">
        <v>35086.99</v>
      </c>
      <c r="K3581">
        <v>12358.055085939701</v>
      </c>
    </row>
    <row r="3582" spans="1:11" x14ac:dyDescent="0.25">
      <c r="A3582" t="s">
        <v>1116</v>
      </c>
      <c r="B3582" t="s">
        <v>1117</v>
      </c>
      <c r="C3582" s="1">
        <v>42024</v>
      </c>
      <c r="D3582" s="1">
        <v>42026</v>
      </c>
      <c r="E3582">
        <v>21004</v>
      </c>
      <c r="F3582" t="s">
        <v>368</v>
      </c>
      <c r="G3582" t="s">
        <v>16</v>
      </c>
      <c r="H3582" t="s">
        <v>6372</v>
      </c>
      <c r="I3582">
        <v>2.6242999999999999</v>
      </c>
      <c r="J3582">
        <v>47291.83</v>
      </c>
      <c r="K3582">
        <v>18020.740768966964</v>
      </c>
    </row>
    <row r="3583" spans="1:11" x14ac:dyDescent="0.25">
      <c r="A3583" t="s">
        <v>1145</v>
      </c>
      <c r="B3583" t="s">
        <v>1146</v>
      </c>
      <c r="C3583" s="1">
        <v>42047</v>
      </c>
      <c r="D3583" s="1">
        <v>42048</v>
      </c>
      <c r="E3583">
        <v>21007</v>
      </c>
      <c r="F3583" t="s">
        <v>368</v>
      </c>
      <c r="G3583" t="s">
        <v>16</v>
      </c>
      <c r="H3583" t="s">
        <v>3073</v>
      </c>
      <c r="I3583">
        <v>2.8624999999999998</v>
      </c>
      <c r="J3583">
        <v>49380.43</v>
      </c>
      <c r="K3583">
        <v>17250.805240174672</v>
      </c>
    </row>
    <row r="3584" spans="1:11" x14ac:dyDescent="0.25">
      <c r="A3584" t="s">
        <v>3074</v>
      </c>
      <c r="C3584" s="1">
        <v>42072</v>
      </c>
      <c r="D3584" s="1">
        <v>42074</v>
      </c>
      <c r="E3584">
        <v>261</v>
      </c>
      <c r="F3584" t="s">
        <v>519</v>
      </c>
      <c r="G3584" t="s">
        <v>16</v>
      </c>
      <c r="H3584" t="s">
        <v>3075</v>
      </c>
      <c r="I3584">
        <v>3.0366</v>
      </c>
      <c r="J3584">
        <v>856.46</v>
      </c>
      <c r="K3584">
        <v>282.04570901666335</v>
      </c>
    </row>
    <row r="3585" spans="1:11" x14ac:dyDescent="0.25">
      <c r="A3585" t="s">
        <v>367</v>
      </c>
      <c r="B3585" t="s">
        <v>2647</v>
      </c>
      <c r="C3585" s="1">
        <v>42072</v>
      </c>
      <c r="D3585" s="1">
        <v>42080</v>
      </c>
      <c r="E3585">
        <v>23071</v>
      </c>
      <c r="F3585" t="s">
        <v>301</v>
      </c>
      <c r="G3585" t="s">
        <v>16</v>
      </c>
      <c r="H3585" t="s">
        <v>3076</v>
      </c>
      <c r="I3585">
        <v>3.0366</v>
      </c>
      <c r="J3585">
        <v>81381.61</v>
      </c>
      <c r="K3585">
        <v>26800.24040044787</v>
      </c>
    </row>
    <row r="3586" spans="1:11" x14ac:dyDescent="0.25">
      <c r="A3586" t="s">
        <v>342</v>
      </c>
      <c r="B3586" t="s">
        <v>1169</v>
      </c>
      <c r="C3586" s="1">
        <v>42090</v>
      </c>
      <c r="D3586" s="1">
        <v>42095</v>
      </c>
      <c r="E3586">
        <v>2</v>
      </c>
      <c r="F3586" t="s">
        <v>301</v>
      </c>
      <c r="G3586" t="s">
        <v>16</v>
      </c>
      <c r="H3586" t="s">
        <v>3077</v>
      </c>
      <c r="I3586">
        <v>3.1915</v>
      </c>
      <c r="J3586">
        <v>79830.009999999995</v>
      </c>
      <c r="K3586">
        <v>25013.319755600816</v>
      </c>
    </row>
    <row r="3587" spans="1:11" x14ac:dyDescent="0.25">
      <c r="A3587" t="s">
        <v>308</v>
      </c>
      <c r="B3587" t="s">
        <v>5132</v>
      </c>
      <c r="C3587" s="1">
        <v>42090</v>
      </c>
      <c r="D3587" s="1">
        <v>42095</v>
      </c>
      <c r="E3587">
        <v>23228</v>
      </c>
      <c r="F3587" t="s">
        <v>301</v>
      </c>
      <c r="G3587" t="s">
        <v>16</v>
      </c>
      <c r="H3587" t="s">
        <v>6373</v>
      </c>
      <c r="I3587">
        <v>3.1915</v>
      </c>
      <c r="J3587">
        <v>59251.6</v>
      </c>
      <c r="K3587">
        <v>18565.439448535173</v>
      </c>
    </row>
    <row r="3588" spans="1:11" x14ac:dyDescent="0.25">
      <c r="A3588" t="s">
        <v>423</v>
      </c>
      <c r="B3588" t="s">
        <v>1160</v>
      </c>
      <c r="C3588" s="1">
        <v>42065</v>
      </c>
      <c r="D3588" s="1">
        <v>42067</v>
      </c>
      <c r="E3588">
        <v>22776</v>
      </c>
      <c r="F3588" t="s">
        <v>368</v>
      </c>
      <c r="G3588" t="s">
        <v>16</v>
      </c>
      <c r="H3588" t="s">
        <v>3078</v>
      </c>
      <c r="I3588">
        <v>2.8782000000000001</v>
      </c>
      <c r="J3588">
        <v>36157.379999999997</v>
      </c>
      <c r="K3588">
        <v>12562.497394204711</v>
      </c>
    </row>
    <row r="3589" spans="1:11" x14ac:dyDescent="0.25">
      <c r="A3589" t="s">
        <v>1175</v>
      </c>
      <c r="B3589" t="s">
        <v>1176</v>
      </c>
      <c r="C3589" s="1">
        <v>42082</v>
      </c>
      <c r="D3589" s="1">
        <v>42087</v>
      </c>
      <c r="E3589">
        <v>20066</v>
      </c>
      <c r="F3589" t="s">
        <v>368</v>
      </c>
      <c r="G3589" t="s">
        <v>16</v>
      </c>
      <c r="H3589" t="s">
        <v>1875</v>
      </c>
      <c r="I3589">
        <v>3.2517999999999998</v>
      </c>
      <c r="J3589">
        <v>54169.99</v>
      </c>
      <c r="K3589">
        <v>16658.463005104866</v>
      </c>
    </row>
    <row r="3590" spans="1:11" x14ac:dyDescent="0.25">
      <c r="A3590" t="s">
        <v>538</v>
      </c>
      <c r="B3590" t="s">
        <v>6374</v>
      </c>
      <c r="C3590" s="1">
        <v>42055</v>
      </c>
      <c r="D3590" s="1">
        <v>42069</v>
      </c>
      <c r="E3590">
        <v>840</v>
      </c>
      <c r="F3590" t="s">
        <v>311</v>
      </c>
      <c r="G3590" t="s">
        <v>16</v>
      </c>
      <c r="H3590" t="s">
        <v>6375</v>
      </c>
      <c r="I3590">
        <v>2.8544999999999998</v>
      </c>
      <c r="J3590">
        <v>37100.699999999997</v>
      </c>
      <c r="K3590">
        <v>12997.267472411981</v>
      </c>
    </row>
    <row r="3591" spans="1:11" x14ac:dyDescent="0.25">
      <c r="A3591" t="s">
        <v>542</v>
      </c>
      <c r="B3591" t="s">
        <v>1693</v>
      </c>
      <c r="C3591" s="1">
        <v>42055</v>
      </c>
      <c r="D3591" s="1">
        <v>42072</v>
      </c>
      <c r="E3591">
        <v>833</v>
      </c>
      <c r="F3591" t="s">
        <v>309</v>
      </c>
      <c r="G3591" t="s">
        <v>16</v>
      </c>
      <c r="H3591" t="s">
        <v>3079</v>
      </c>
      <c r="I3591">
        <v>2.8544999999999998</v>
      </c>
      <c r="J3591">
        <v>44036.66</v>
      </c>
      <c r="K3591">
        <v>15427.101068488351</v>
      </c>
    </row>
    <row r="3592" spans="1:11" x14ac:dyDescent="0.25">
      <c r="A3592" t="s">
        <v>445</v>
      </c>
      <c r="B3592" t="s">
        <v>1685</v>
      </c>
      <c r="C3592" s="1">
        <v>42065</v>
      </c>
      <c r="D3592" s="1">
        <v>42076</v>
      </c>
      <c r="E3592">
        <v>22321</v>
      </c>
      <c r="F3592" t="s">
        <v>309</v>
      </c>
      <c r="G3592" t="s">
        <v>16</v>
      </c>
      <c r="H3592" t="s">
        <v>3080</v>
      </c>
      <c r="I3592">
        <v>2.8782000000000001</v>
      </c>
      <c r="J3592">
        <v>27295.83</v>
      </c>
      <c r="K3592">
        <v>9483.6460287679802</v>
      </c>
    </row>
    <row r="3593" spans="1:11" x14ac:dyDescent="0.25">
      <c r="A3593" t="s">
        <v>445</v>
      </c>
      <c r="B3593" t="s">
        <v>1685</v>
      </c>
      <c r="C3593" s="1">
        <v>42055</v>
      </c>
      <c r="D3593" s="1">
        <v>42076</v>
      </c>
      <c r="E3593">
        <v>22321</v>
      </c>
      <c r="F3593" t="s">
        <v>309</v>
      </c>
      <c r="G3593" t="s">
        <v>16</v>
      </c>
      <c r="H3593" t="s">
        <v>6376</v>
      </c>
      <c r="I3593">
        <v>2.8544999999999998</v>
      </c>
      <c r="J3593">
        <v>24056.23</v>
      </c>
      <c r="K3593">
        <v>8427.4759152215793</v>
      </c>
    </row>
    <row r="3594" spans="1:11" x14ac:dyDescent="0.25">
      <c r="A3594" t="s">
        <v>445</v>
      </c>
      <c r="B3594" t="s">
        <v>1685</v>
      </c>
      <c r="C3594" s="1">
        <v>42055</v>
      </c>
      <c r="D3594" s="1">
        <v>42076</v>
      </c>
      <c r="E3594">
        <v>22321</v>
      </c>
      <c r="F3594" t="s">
        <v>309</v>
      </c>
      <c r="G3594" t="s">
        <v>16</v>
      </c>
      <c r="H3594" t="s">
        <v>6377</v>
      </c>
      <c r="I3594">
        <v>2.8544999999999998</v>
      </c>
      <c r="J3594">
        <v>26157.59</v>
      </c>
      <c r="K3594">
        <v>9163.6328603958664</v>
      </c>
    </row>
    <row r="3595" spans="1:11" x14ac:dyDescent="0.25">
      <c r="A3595" t="s">
        <v>449</v>
      </c>
      <c r="B3595" t="s">
        <v>3081</v>
      </c>
      <c r="C3595" s="1">
        <v>42102</v>
      </c>
      <c r="D3595" s="1">
        <v>42107</v>
      </c>
      <c r="E3595">
        <v>22512</v>
      </c>
      <c r="F3595" t="s">
        <v>309</v>
      </c>
      <c r="G3595" t="s">
        <v>16</v>
      </c>
      <c r="H3595" t="s">
        <v>3082</v>
      </c>
      <c r="I3595">
        <v>3.1231</v>
      </c>
      <c r="J3595">
        <v>39541.85</v>
      </c>
      <c r="K3595">
        <v>12661.089942685152</v>
      </c>
    </row>
    <row r="3596" spans="1:11" x14ac:dyDescent="0.25">
      <c r="A3596" t="s">
        <v>3083</v>
      </c>
      <c r="C3596" s="1">
        <v>42100</v>
      </c>
      <c r="D3596" s="1">
        <v>42109</v>
      </c>
      <c r="E3596">
        <v>966</v>
      </c>
      <c r="F3596" t="s">
        <v>519</v>
      </c>
      <c r="G3596" t="s">
        <v>16</v>
      </c>
      <c r="H3596" t="s">
        <v>3084</v>
      </c>
      <c r="I3596">
        <v>3.1492</v>
      </c>
      <c r="J3596">
        <v>91.15</v>
      </c>
      <c r="K3596">
        <v>28.943858757779754</v>
      </c>
    </row>
    <row r="3597" spans="1:11" x14ac:dyDescent="0.25">
      <c r="A3597" t="s">
        <v>6378</v>
      </c>
      <c r="C3597" s="1">
        <v>42065</v>
      </c>
      <c r="D3597" s="1">
        <v>42139</v>
      </c>
      <c r="E3597">
        <v>1024</v>
      </c>
      <c r="F3597" t="s">
        <v>519</v>
      </c>
      <c r="G3597" t="s">
        <v>16</v>
      </c>
      <c r="H3597" t="s">
        <v>6379</v>
      </c>
      <c r="I3597">
        <v>2.8782000000000001</v>
      </c>
      <c r="J3597">
        <v>827.26</v>
      </c>
      <c r="K3597">
        <v>287.42269473976791</v>
      </c>
    </row>
    <row r="3598" spans="1:11" x14ac:dyDescent="0.25">
      <c r="A3598" t="s">
        <v>417</v>
      </c>
      <c r="B3598" t="s">
        <v>3085</v>
      </c>
      <c r="C3598" s="1">
        <v>42129</v>
      </c>
      <c r="D3598" s="1">
        <v>42132</v>
      </c>
      <c r="E3598">
        <v>24337</v>
      </c>
      <c r="F3598" t="s">
        <v>370</v>
      </c>
      <c r="G3598" t="s">
        <v>16</v>
      </c>
      <c r="H3598" t="s">
        <v>3086</v>
      </c>
      <c r="I3598">
        <v>3.0754000000000001</v>
      </c>
      <c r="J3598">
        <v>135317.6</v>
      </c>
      <c r="K3598">
        <v>44000</v>
      </c>
    </row>
    <row r="3599" spans="1:11" x14ac:dyDescent="0.25">
      <c r="A3599" t="s">
        <v>343</v>
      </c>
      <c r="B3599" t="s">
        <v>1699</v>
      </c>
      <c r="C3599" s="1">
        <v>42124</v>
      </c>
      <c r="D3599" s="1">
        <v>42132</v>
      </c>
      <c r="E3599">
        <v>24297</v>
      </c>
      <c r="F3599" t="s">
        <v>311</v>
      </c>
      <c r="G3599" t="s">
        <v>16</v>
      </c>
      <c r="H3599" t="s">
        <v>3087</v>
      </c>
      <c r="I3599">
        <v>2.9375</v>
      </c>
      <c r="J3599">
        <v>26643.56</v>
      </c>
      <c r="K3599">
        <v>9070.1480851063825</v>
      </c>
    </row>
    <row r="3600" spans="1:11" x14ac:dyDescent="0.25">
      <c r="A3600" t="s">
        <v>3088</v>
      </c>
      <c r="C3600" s="1">
        <v>42132</v>
      </c>
      <c r="D3600" s="1">
        <v>42137</v>
      </c>
      <c r="E3600">
        <v>22552</v>
      </c>
      <c r="F3600" t="s">
        <v>519</v>
      </c>
      <c r="G3600" t="s">
        <v>16</v>
      </c>
      <c r="H3600" t="s">
        <v>3089</v>
      </c>
      <c r="I3600">
        <v>3.0421</v>
      </c>
      <c r="J3600">
        <v>782.73</v>
      </c>
      <c r="K3600">
        <v>257.29923408171987</v>
      </c>
    </row>
    <row r="3601" spans="1:11" x14ac:dyDescent="0.25">
      <c r="A3601" t="s">
        <v>626</v>
      </c>
      <c r="B3601" t="s">
        <v>2162</v>
      </c>
      <c r="C3601" s="1">
        <v>42136</v>
      </c>
      <c r="D3601" s="1">
        <v>42144</v>
      </c>
      <c r="E3601">
        <v>2</v>
      </c>
      <c r="F3601" t="s">
        <v>301</v>
      </c>
      <c r="G3601" t="s">
        <v>16</v>
      </c>
      <c r="H3601" t="s">
        <v>6380</v>
      </c>
      <c r="I3601">
        <v>3.0175000000000001</v>
      </c>
      <c r="J3601">
        <v>75779.990000000005</v>
      </c>
      <c r="K3601">
        <v>25113.501242750623</v>
      </c>
    </row>
    <row r="3602" spans="1:11" x14ac:dyDescent="0.25">
      <c r="A3602" t="s">
        <v>485</v>
      </c>
      <c r="B3602" t="s">
        <v>1188</v>
      </c>
      <c r="C3602" s="1">
        <v>42177</v>
      </c>
      <c r="D3602" s="1">
        <v>42180</v>
      </c>
      <c r="E3602">
        <v>3</v>
      </c>
      <c r="F3602" t="s">
        <v>368</v>
      </c>
      <c r="G3602" t="s">
        <v>16</v>
      </c>
      <c r="H3602" t="s">
        <v>3090</v>
      </c>
      <c r="I3602">
        <v>3.0788000000000002</v>
      </c>
      <c r="J3602">
        <v>33175.15</v>
      </c>
      <c r="K3602">
        <v>10775.350786020528</v>
      </c>
    </row>
    <row r="3603" spans="1:11" x14ac:dyDescent="0.25">
      <c r="A3603" t="s">
        <v>485</v>
      </c>
      <c r="B3603" t="s">
        <v>1188</v>
      </c>
      <c r="C3603" s="1">
        <v>42174</v>
      </c>
      <c r="D3603" s="1">
        <v>42178</v>
      </c>
      <c r="E3603">
        <v>3</v>
      </c>
      <c r="F3603" t="s">
        <v>368</v>
      </c>
      <c r="G3603" t="s">
        <v>16</v>
      </c>
      <c r="H3603" t="s">
        <v>3091</v>
      </c>
      <c r="I3603">
        <v>3.0472000000000001</v>
      </c>
      <c r="J3603">
        <v>44409.79</v>
      </c>
      <c r="K3603">
        <v>14573.966264111315</v>
      </c>
    </row>
    <row r="3604" spans="1:11" x14ac:dyDescent="0.25">
      <c r="A3604" t="s">
        <v>345</v>
      </c>
      <c r="B3604" t="s">
        <v>1190</v>
      </c>
      <c r="C3604" s="1">
        <v>42166</v>
      </c>
      <c r="D3604" s="1">
        <v>42170</v>
      </c>
      <c r="E3604">
        <v>3</v>
      </c>
      <c r="F3604" t="s">
        <v>309</v>
      </c>
      <c r="G3604" t="s">
        <v>16</v>
      </c>
      <c r="H3604" t="s">
        <v>6381</v>
      </c>
      <c r="I3604">
        <v>3.0842999999999998</v>
      </c>
      <c r="J3604">
        <v>98048.88</v>
      </c>
      <c r="K3604">
        <v>31789.670265538371</v>
      </c>
    </row>
    <row r="3605" spans="1:11" x14ac:dyDescent="0.25">
      <c r="A3605" t="s">
        <v>405</v>
      </c>
      <c r="B3605" t="s">
        <v>1703</v>
      </c>
      <c r="C3605" s="1">
        <v>42175</v>
      </c>
      <c r="D3605" s="1">
        <v>42178</v>
      </c>
      <c r="E3605">
        <v>4</v>
      </c>
      <c r="F3605" t="s">
        <v>368</v>
      </c>
      <c r="G3605" t="s">
        <v>16</v>
      </c>
      <c r="H3605" t="s">
        <v>3092</v>
      </c>
      <c r="I3605">
        <v>3.0788000000000002</v>
      </c>
      <c r="J3605">
        <v>33541.4</v>
      </c>
      <c r="K3605">
        <v>10894.309471222554</v>
      </c>
    </row>
    <row r="3606" spans="1:11" x14ac:dyDescent="0.25">
      <c r="A3606" t="s">
        <v>405</v>
      </c>
      <c r="B3606" t="s">
        <v>1703</v>
      </c>
      <c r="C3606" s="1">
        <v>42175</v>
      </c>
      <c r="D3606" s="1">
        <v>42178</v>
      </c>
      <c r="E3606">
        <v>4</v>
      </c>
      <c r="F3606" t="s">
        <v>368</v>
      </c>
      <c r="G3606" t="s">
        <v>16</v>
      </c>
      <c r="H3606" t="s">
        <v>6382</v>
      </c>
      <c r="I3606">
        <v>3.0788000000000002</v>
      </c>
      <c r="J3606">
        <v>33675.1</v>
      </c>
      <c r="K3606">
        <v>10937.735481356372</v>
      </c>
    </row>
    <row r="3607" spans="1:11" x14ac:dyDescent="0.25">
      <c r="A3607" t="s">
        <v>437</v>
      </c>
      <c r="B3607" t="s">
        <v>3093</v>
      </c>
      <c r="C3607" s="1">
        <v>42167</v>
      </c>
      <c r="D3607" s="1">
        <v>42173</v>
      </c>
      <c r="E3607">
        <v>25204</v>
      </c>
      <c r="F3607" t="s">
        <v>406</v>
      </c>
      <c r="G3607" t="s">
        <v>16</v>
      </c>
      <c r="H3607" t="s">
        <v>3094</v>
      </c>
      <c r="I3607">
        <v>3.1514000000000002</v>
      </c>
      <c r="J3607">
        <v>89814.9</v>
      </c>
      <c r="K3607">
        <v>28500</v>
      </c>
    </row>
    <row r="3608" spans="1:11" x14ac:dyDescent="0.25">
      <c r="A3608" t="s">
        <v>405</v>
      </c>
      <c r="B3608" t="s">
        <v>1703</v>
      </c>
      <c r="C3608" s="1">
        <v>42175</v>
      </c>
      <c r="D3608" s="1">
        <v>42177</v>
      </c>
      <c r="E3608">
        <v>4</v>
      </c>
      <c r="F3608" t="s">
        <v>368</v>
      </c>
      <c r="G3608" t="s">
        <v>16</v>
      </c>
      <c r="H3608" t="s">
        <v>6383</v>
      </c>
      <c r="I3608">
        <v>3.0788000000000002</v>
      </c>
      <c r="J3608">
        <v>33371.56</v>
      </c>
      <c r="K3608">
        <v>10839.1451214759</v>
      </c>
    </row>
    <row r="3609" spans="1:11" x14ac:dyDescent="0.25">
      <c r="A3609" t="s">
        <v>345</v>
      </c>
      <c r="B3609" t="s">
        <v>1190</v>
      </c>
      <c r="C3609" s="1">
        <v>42158</v>
      </c>
      <c r="D3609" s="1">
        <v>42161</v>
      </c>
      <c r="E3609">
        <v>3</v>
      </c>
      <c r="F3609" t="s">
        <v>309</v>
      </c>
      <c r="G3609" t="s">
        <v>16</v>
      </c>
      <c r="H3609" t="s">
        <v>6384</v>
      </c>
      <c r="I3609">
        <v>3.1442999999999999</v>
      </c>
      <c r="J3609">
        <v>117658.8</v>
      </c>
      <c r="K3609">
        <v>37419.711859555384</v>
      </c>
    </row>
    <row r="3610" spans="1:11" x14ac:dyDescent="0.25">
      <c r="A3610" t="s">
        <v>610</v>
      </c>
      <c r="B3610" t="s">
        <v>1192</v>
      </c>
      <c r="C3610" s="1">
        <v>42180</v>
      </c>
      <c r="D3610" s="1">
        <v>42192</v>
      </c>
      <c r="E3610">
        <v>5</v>
      </c>
      <c r="F3610" t="s">
        <v>368</v>
      </c>
      <c r="G3610" t="s">
        <v>16</v>
      </c>
      <c r="H3610" t="s">
        <v>6385</v>
      </c>
      <c r="I3610">
        <v>3.0851999999999999</v>
      </c>
      <c r="J3610">
        <v>33154.65</v>
      </c>
      <c r="K3610">
        <v>10746.353558926488</v>
      </c>
    </row>
    <row r="3611" spans="1:11" x14ac:dyDescent="0.25">
      <c r="A3611" t="s">
        <v>610</v>
      </c>
      <c r="B3611" t="s">
        <v>1192</v>
      </c>
      <c r="C3611" s="1">
        <v>42179</v>
      </c>
      <c r="D3611" s="1">
        <v>42192</v>
      </c>
      <c r="E3611">
        <v>5</v>
      </c>
      <c r="F3611" t="s">
        <v>368</v>
      </c>
      <c r="G3611" t="s">
        <v>16</v>
      </c>
      <c r="H3611" t="s">
        <v>3095</v>
      </c>
      <c r="I3611">
        <v>3.1042000000000001</v>
      </c>
      <c r="J3611">
        <v>45087.56</v>
      </c>
      <c r="K3611">
        <v>14524.695573738805</v>
      </c>
    </row>
    <row r="3612" spans="1:11" x14ac:dyDescent="0.25">
      <c r="A3612" t="s">
        <v>610</v>
      </c>
      <c r="B3612" t="s">
        <v>1192</v>
      </c>
      <c r="C3612" s="1">
        <v>42179</v>
      </c>
      <c r="D3612" s="1">
        <v>42192</v>
      </c>
      <c r="E3612">
        <v>5</v>
      </c>
      <c r="F3612" t="s">
        <v>368</v>
      </c>
      <c r="G3612" t="s">
        <v>16</v>
      </c>
      <c r="H3612" t="s">
        <v>6386</v>
      </c>
      <c r="I3612">
        <v>3.1042000000000001</v>
      </c>
      <c r="J3612">
        <v>35798.21</v>
      </c>
      <c r="K3612">
        <v>11532.185426196766</v>
      </c>
    </row>
    <row r="3613" spans="1:11" x14ac:dyDescent="0.25">
      <c r="A3613" t="s">
        <v>610</v>
      </c>
      <c r="B3613" t="s">
        <v>1192</v>
      </c>
      <c r="C3613" s="1">
        <v>42189</v>
      </c>
      <c r="D3613" s="1">
        <v>42192</v>
      </c>
      <c r="E3613">
        <v>5</v>
      </c>
      <c r="F3613" t="s">
        <v>368</v>
      </c>
      <c r="G3613" t="s">
        <v>16</v>
      </c>
      <c r="H3613" t="s">
        <v>6387</v>
      </c>
      <c r="I3613">
        <v>3.1271</v>
      </c>
      <c r="J3613">
        <v>45610.63</v>
      </c>
      <c r="K3613">
        <v>14585.600076748426</v>
      </c>
    </row>
    <row r="3614" spans="1:11" x14ac:dyDescent="0.25">
      <c r="A3614" t="s">
        <v>610</v>
      </c>
      <c r="B3614" t="s">
        <v>1192</v>
      </c>
      <c r="C3614" s="1">
        <v>42178</v>
      </c>
      <c r="D3614" s="1">
        <v>42192</v>
      </c>
      <c r="E3614">
        <v>5</v>
      </c>
      <c r="F3614" t="s">
        <v>368</v>
      </c>
      <c r="G3614" t="s">
        <v>16</v>
      </c>
      <c r="H3614" t="s">
        <v>3096</v>
      </c>
      <c r="I3614">
        <v>3.0756999999999999</v>
      </c>
      <c r="J3614">
        <v>44084.94</v>
      </c>
      <c r="K3614">
        <v>14333.302987937705</v>
      </c>
    </row>
    <row r="3615" spans="1:11" x14ac:dyDescent="0.25">
      <c r="A3615" t="s">
        <v>413</v>
      </c>
      <c r="B3615" t="s">
        <v>1196</v>
      </c>
      <c r="C3615" s="1">
        <v>42216</v>
      </c>
      <c r="D3615" s="1">
        <v>42218</v>
      </c>
      <c r="E3615">
        <v>1</v>
      </c>
      <c r="F3615" t="s">
        <v>368</v>
      </c>
      <c r="G3615" t="s">
        <v>16</v>
      </c>
      <c r="H3615" t="s">
        <v>3097</v>
      </c>
      <c r="I3615">
        <v>3.3652000000000002</v>
      </c>
      <c r="J3615">
        <v>59527.77</v>
      </c>
      <c r="K3615">
        <v>17689.22203732319</v>
      </c>
    </row>
    <row r="3616" spans="1:11" x14ac:dyDescent="0.25">
      <c r="A3616" t="s">
        <v>625</v>
      </c>
      <c r="B3616" t="s">
        <v>1711</v>
      </c>
      <c r="C3616" s="1">
        <v>42208</v>
      </c>
      <c r="D3616" s="1">
        <v>42210</v>
      </c>
      <c r="E3616">
        <v>1</v>
      </c>
      <c r="F3616" t="s">
        <v>368</v>
      </c>
      <c r="G3616" t="s">
        <v>16</v>
      </c>
      <c r="H3616" t="s">
        <v>6388</v>
      </c>
      <c r="I3616">
        <v>3.2094</v>
      </c>
      <c r="J3616">
        <v>54287.38</v>
      </c>
      <c r="K3616">
        <v>16915.118090608838</v>
      </c>
    </row>
    <row r="3617" spans="1:11" x14ac:dyDescent="0.25">
      <c r="A3617" t="s">
        <v>625</v>
      </c>
      <c r="B3617" t="s">
        <v>1711</v>
      </c>
      <c r="C3617" s="1">
        <v>42209</v>
      </c>
      <c r="D3617" s="1">
        <v>42210</v>
      </c>
      <c r="E3617">
        <v>1</v>
      </c>
      <c r="F3617" t="s">
        <v>368</v>
      </c>
      <c r="G3617" t="s">
        <v>16</v>
      </c>
      <c r="H3617" t="s">
        <v>3098</v>
      </c>
      <c r="I3617">
        <v>3.2850000000000001</v>
      </c>
      <c r="J3617">
        <v>76384.55</v>
      </c>
      <c r="K3617">
        <v>23252.526636225266</v>
      </c>
    </row>
    <row r="3618" spans="1:11" x14ac:dyDescent="0.25">
      <c r="A3618" t="s">
        <v>502</v>
      </c>
      <c r="B3618" t="s">
        <v>2671</v>
      </c>
      <c r="C3618" s="1">
        <v>42208</v>
      </c>
      <c r="D3618" s="1">
        <v>42212</v>
      </c>
      <c r="E3618">
        <v>1</v>
      </c>
      <c r="F3618" t="s">
        <v>368</v>
      </c>
      <c r="G3618" t="s">
        <v>16</v>
      </c>
      <c r="H3618" t="s">
        <v>6389</v>
      </c>
      <c r="I3618">
        <v>3.2094</v>
      </c>
      <c r="J3618">
        <v>56469.120000000003</v>
      </c>
      <c r="K3618">
        <v>17594.914937371472</v>
      </c>
    </row>
    <row r="3619" spans="1:11" x14ac:dyDescent="0.25">
      <c r="A3619" t="s">
        <v>610</v>
      </c>
      <c r="B3619" t="s">
        <v>1192</v>
      </c>
      <c r="C3619" s="1">
        <v>42192</v>
      </c>
      <c r="D3619" s="1">
        <v>42196</v>
      </c>
      <c r="E3619">
        <v>5</v>
      </c>
      <c r="F3619" t="s">
        <v>368</v>
      </c>
      <c r="G3619" t="s">
        <v>16</v>
      </c>
      <c r="H3619" t="s">
        <v>3099</v>
      </c>
      <c r="I3619">
        <v>3.1431</v>
      </c>
      <c r="J3619">
        <v>34414.92</v>
      </c>
      <c r="K3619">
        <v>10949.355731602558</v>
      </c>
    </row>
    <row r="3620" spans="1:11" x14ac:dyDescent="0.25">
      <c r="A3620" t="s">
        <v>610</v>
      </c>
      <c r="B3620" t="s">
        <v>1192</v>
      </c>
      <c r="C3620" s="1">
        <v>42191</v>
      </c>
      <c r="D3620" s="1">
        <v>42192</v>
      </c>
      <c r="E3620">
        <v>5</v>
      </c>
      <c r="F3620" t="s">
        <v>368</v>
      </c>
      <c r="G3620" t="s">
        <v>16</v>
      </c>
      <c r="H3620" t="s">
        <v>3100</v>
      </c>
      <c r="I3620">
        <v>3.1271</v>
      </c>
      <c r="J3620">
        <v>45746.65</v>
      </c>
      <c r="K3620">
        <v>14629.097246650252</v>
      </c>
    </row>
    <row r="3621" spans="1:11" x14ac:dyDescent="0.25">
      <c r="A3621" t="s">
        <v>413</v>
      </c>
      <c r="B3621" t="s">
        <v>1196</v>
      </c>
      <c r="C3621" s="1">
        <v>42216</v>
      </c>
      <c r="D3621" s="1">
        <v>42219</v>
      </c>
      <c r="E3621">
        <v>1</v>
      </c>
      <c r="F3621" t="s">
        <v>368</v>
      </c>
      <c r="G3621" t="s">
        <v>16</v>
      </c>
      <c r="H3621" t="s">
        <v>6390</v>
      </c>
      <c r="I3621">
        <v>3.3652000000000002</v>
      </c>
      <c r="J3621">
        <v>80277.09</v>
      </c>
      <c r="K3621">
        <v>23855.072506834662</v>
      </c>
    </row>
    <row r="3622" spans="1:11" x14ac:dyDescent="0.25">
      <c r="A3622" t="s">
        <v>569</v>
      </c>
      <c r="B3622" t="s">
        <v>2175</v>
      </c>
      <c r="C3622" s="1">
        <v>42215</v>
      </c>
      <c r="D3622" s="1">
        <v>42220</v>
      </c>
      <c r="E3622">
        <v>1</v>
      </c>
      <c r="F3622" t="s">
        <v>368</v>
      </c>
      <c r="G3622" t="s">
        <v>16</v>
      </c>
      <c r="H3622" t="s">
        <v>6391</v>
      </c>
      <c r="I3622">
        <v>3.3418999999999999</v>
      </c>
      <c r="J3622">
        <v>52379.58</v>
      </c>
      <c r="K3622">
        <v>15673.592866333523</v>
      </c>
    </row>
    <row r="3623" spans="1:11" x14ac:dyDescent="0.25">
      <c r="A3623" t="s">
        <v>413</v>
      </c>
      <c r="B3623" t="s">
        <v>1196</v>
      </c>
      <c r="C3623" s="1">
        <v>42217</v>
      </c>
      <c r="D3623" s="1">
        <v>42220</v>
      </c>
      <c r="E3623">
        <v>1</v>
      </c>
      <c r="F3623" t="s">
        <v>368</v>
      </c>
      <c r="G3623" t="s">
        <v>16</v>
      </c>
      <c r="H3623" t="s">
        <v>3101</v>
      </c>
      <c r="I3623">
        <v>3.3940000000000001</v>
      </c>
      <c r="J3623">
        <v>78938.48</v>
      </c>
      <c r="K3623">
        <v>23258.243959929288</v>
      </c>
    </row>
    <row r="3624" spans="1:11" x14ac:dyDescent="0.25">
      <c r="A3624" t="s">
        <v>413</v>
      </c>
      <c r="B3624" t="s">
        <v>1196</v>
      </c>
      <c r="C3624" s="1">
        <v>42222</v>
      </c>
      <c r="D3624" s="1">
        <v>42224</v>
      </c>
      <c r="E3624">
        <v>1</v>
      </c>
      <c r="F3624" t="s">
        <v>368</v>
      </c>
      <c r="G3624" t="s">
        <v>16</v>
      </c>
      <c r="H3624" t="s">
        <v>6392</v>
      </c>
      <c r="I3624">
        <v>3.4851000000000001</v>
      </c>
      <c r="J3624">
        <v>82035</v>
      </c>
      <c r="K3624">
        <v>23538.7793750538</v>
      </c>
    </row>
    <row r="3625" spans="1:11" x14ac:dyDescent="0.25">
      <c r="A3625" t="s">
        <v>413</v>
      </c>
      <c r="B3625" t="s">
        <v>1196</v>
      </c>
      <c r="C3625" s="1">
        <v>42222</v>
      </c>
      <c r="D3625" s="1">
        <v>42227</v>
      </c>
      <c r="E3625">
        <v>1</v>
      </c>
      <c r="F3625" t="s">
        <v>368</v>
      </c>
      <c r="G3625" t="s">
        <v>16</v>
      </c>
      <c r="H3625" t="s">
        <v>6393</v>
      </c>
      <c r="I3625">
        <v>3.4851000000000001</v>
      </c>
      <c r="J3625">
        <v>80927.91</v>
      </c>
      <c r="K3625">
        <v>23221.115606438838</v>
      </c>
    </row>
    <row r="3626" spans="1:11" x14ac:dyDescent="0.25">
      <c r="A3626" t="s">
        <v>482</v>
      </c>
      <c r="B3626" t="s">
        <v>3102</v>
      </c>
      <c r="C3626" s="1">
        <v>42215</v>
      </c>
      <c r="D3626" s="1">
        <v>42230</v>
      </c>
      <c r="E3626">
        <v>2</v>
      </c>
      <c r="F3626" t="s">
        <v>301</v>
      </c>
      <c r="G3626" t="s">
        <v>16</v>
      </c>
      <c r="H3626" t="s">
        <v>6394</v>
      </c>
      <c r="I3626">
        <v>3.3418999999999999</v>
      </c>
      <c r="J3626">
        <v>81045.02</v>
      </c>
      <c r="K3626">
        <v>24251.180466201862</v>
      </c>
    </row>
    <row r="3627" spans="1:11" x14ac:dyDescent="0.25">
      <c r="A3627" t="s">
        <v>482</v>
      </c>
      <c r="B3627" t="s">
        <v>3102</v>
      </c>
      <c r="C3627" s="1">
        <v>42215</v>
      </c>
      <c r="D3627" s="1">
        <v>42230</v>
      </c>
      <c r="E3627">
        <v>2</v>
      </c>
      <c r="F3627" t="s">
        <v>301</v>
      </c>
      <c r="G3627" t="s">
        <v>16</v>
      </c>
      <c r="H3627" t="s">
        <v>3103</v>
      </c>
      <c r="I3627">
        <v>3.3418999999999999</v>
      </c>
      <c r="J3627">
        <v>81044.990000000005</v>
      </c>
      <c r="K3627">
        <v>24251.171489272569</v>
      </c>
    </row>
    <row r="3628" spans="1:11" x14ac:dyDescent="0.25">
      <c r="A3628" t="s">
        <v>413</v>
      </c>
      <c r="B3628" t="s">
        <v>1196</v>
      </c>
      <c r="C3628" s="1">
        <v>42228</v>
      </c>
      <c r="D3628" s="1">
        <v>42230</v>
      </c>
      <c r="E3628">
        <v>1</v>
      </c>
      <c r="F3628" t="s">
        <v>368</v>
      </c>
      <c r="G3628" t="s">
        <v>16</v>
      </c>
      <c r="H3628" t="s">
        <v>3104</v>
      </c>
      <c r="I3628">
        <v>3.4925000000000002</v>
      </c>
      <c r="J3628">
        <v>62012.58</v>
      </c>
      <c r="K3628">
        <v>17755.928418038653</v>
      </c>
    </row>
    <row r="3629" spans="1:11" x14ac:dyDescent="0.25">
      <c r="A3629" t="s">
        <v>413</v>
      </c>
      <c r="B3629" t="s">
        <v>1196</v>
      </c>
      <c r="C3629" s="1">
        <v>42222</v>
      </c>
      <c r="D3629" s="1">
        <v>42224</v>
      </c>
      <c r="E3629">
        <v>1</v>
      </c>
      <c r="F3629" t="s">
        <v>368</v>
      </c>
      <c r="G3629" t="s">
        <v>16</v>
      </c>
      <c r="H3629" t="s">
        <v>3105</v>
      </c>
      <c r="I3629">
        <v>3.4851000000000001</v>
      </c>
      <c r="J3629">
        <v>80564.160000000003</v>
      </c>
      <c r="K3629">
        <v>23116.742704656968</v>
      </c>
    </row>
    <row r="3630" spans="1:11" x14ac:dyDescent="0.25">
      <c r="A3630" t="s">
        <v>413</v>
      </c>
      <c r="B3630" t="s">
        <v>1196</v>
      </c>
      <c r="C3630" s="1">
        <v>42222</v>
      </c>
      <c r="D3630" s="1">
        <v>42224</v>
      </c>
      <c r="E3630">
        <v>1</v>
      </c>
      <c r="F3630" t="s">
        <v>368</v>
      </c>
      <c r="G3630" t="s">
        <v>16</v>
      </c>
      <c r="H3630" t="s">
        <v>6395</v>
      </c>
      <c r="I3630">
        <v>3.4851000000000001</v>
      </c>
      <c r="J3630">
        <v>80674.87</v>
      </c>
      <c r="K3630">
        <v>23148.509368454277</v>
      </c>
    </row>
    <row r="3631" spans="1:11" x14ac:dyDescent="0.25">
      <c r="A3631" t="s">
        <v>5594</v>
      </c>
      <c r="C3631" s="1">
        <v>42242</v>
      </c>
      <c r="D3631" s="1">
        <v>42256</v>
      </c>
      <c r="E3631">
        <v>27884</v>
      </c>
      <c r="F3631" t="s">
        <v>284</v>
      </c>
      <c r="G3631" t="s">
        <v>16</v>
      </c>
      <c r="H3631" t="s">
        <v>6396</v>
      </c>
      <c r="I3631">
        <v>3.5345</v>
      </c>
      <c r="J3631">
        <v>6376.6</v>
      </c>
      <c r="K3631">
        <v>1804.1024190125902</v>
      </c>
    </row>
    <row r="3632" spans="1:11" x14ac:dyDescent="0.25">
      <c r="A3632" t="s">
        <v>429</v>
      </c>
      <c r="B3632" t="s">
        <v>1216</v>
      </c>
      <c r="C3632" s="1">
        <v>42256</v>
      </c>
      <c r="D3632" s="1">
        <v>42258</v>
      </c>
      <c r="E3632">
        <v>5</v>
      </c>
      <c r="F3632" t="s">
        <v>675</v>
      </c>
      <c r="G3632" t="s">
        <v>16</v>
      </c>
      <c r="H3632" t="s">
        <v>3106</v>
      </c>
      <c r="I3632">
        <v>3.8028</v>
      </c>
      <c r="J3632">
        <v>26968</v>
      </c>
      <c r="K3632">
        <v>7091.6167034816453</v>
      </c>
    </row>
    <row r="3633" spans="1:11" x14ac:dyDescent="0.25">
      <c r="A3633" t="s">
        <v>429</v>
      </c>
      <c r="B3633" t="s">
        <v>1216</v>
      </c>
      <c r="C3633" s="1">
        <v>42256</v>
      </c>
      <c r="D3633" s="1">
        <v>42258</v>
      </c>
      <c r="E3633">
        <v>5</v>
      </c>
      <c r="F3633" t="s">
        <v>675</v>
      </c>
      <c r="G3633" t="s">
        <v>16</v>
      </c>
      <c r="H3633" t="s">
        <v>3107</v>
      </c>
      <c r="I3633">
        <v>3.8028</v>
      </c>
      <c r="J3633">
        <v>62026.400000000001</v>
      </c>
      <c r="K3633">
        <v>16310.718418007784</v>
      </c>
    </row>
    <row r="3634" spans="1:11" x14ac:dyDescent="0.25">
      <c r="A3634" t="s">
        <v>413</v>
      </c>
      <c r="B3634" t="s">
        <v>1196</v>
      </c>
      <c r="C3634" s="1">
        <v>42222</v>
      </c>
      <c r="D3634" s="1">
        <v>42223</v>
      </c>
      <c r="E3634">
        <v>1</v>
      </c>
      <c r="F3634" t="s">
        <v>368</v>
      </c>
      <c r="G3634" t="s">
        <v>16</v>
      </c>
      <c r="H3634" t="s">
        <v>3108</v>
      </c>
      <c r="I3634">
        <v>3.4851000000000001</v>
      </c>
      <c r="J3634">
        <v>59355.57</v>
      </c>
      <c r="K3634">
        <v>17031.238701902384</v>
      </c>
    </row>
    <row r="3635" spans="1:11" x14ac:dyDescent="0.25">
      <c r="A3635" t="s">
        <v>413</v>
      </c>
      <c r="B3635" t="s">
        <v>1196</v>
      </c>
      <c r="C3635" s="1">
        <v>42217</v>
      </c>
      <c r="D3635" s="1">
        <v>42221</v>
      </c>
      <c r="E3635">
        <v>1</v>
      </c>
      <c r="F3635" t="s">
        <v>368</v>
      </c>
      <c r="G3635" t="s">
        <v>16</v>
      </c>
      <c r="H3635" t="s">
        <v>6397</v>
      </c>
      <c r="I3635">
        <v>3.3940000000000001</v>
      </c>
      <c r="J3635">
        <v>79353.19</v>
      </c>
      <c r="K3635">
        <v>23380.433117265762</v>
      </c>
    </row>
    <row r="3636" spans="1:11" x14ac:dyDescent="0.25">
      <c r="A3636" t="s">
        <v>413</v>
      </c>
      <c r="B3636" t="s">
        <v>1196</v>
      </c>
      <c r="C3636" s="1">
        <v>42222</v>
      </c>
      <c r="D3636" s="1">
        <v>42223</v>
      </c>
      <c r="E3636">
        <v>1</v>
      </c>
      <c r="F3636" t="s">
        <v>368</v>
      </c>
      <c r="G3636" t="s">
        <v>16</v>
      </c>
      <c r="H3636" t="s">
        <v>6398</v>
      </c>
      <c r="I3636">
        <v>3.4851000000000001</v>
      </c>
      <c r="J3636">
        <v>59497.91</v>
      </c>
      <c r="K3636">
        <v>17072.081145447763</v>
      </c>
    </row>
    <row r="3637" spans="1:11" x14ac:dyDescent="0.25">
      <c r="A3637" t="s">
        <v>540</v>
      </c>
      <c r="B3637" t="s">
        <v>2222</v>
      </c>
      <c r="C3637" s="1">
        <v>42268</v>
      </c>
      <c r="D3637" s="1">
        <v>42284</v>
      </c>
      <c r="E3637">
        <v>8</v>
      </c>
      <c r="F3637" t="s">
        <v>311</v>
      </c>
      <c r="G3637" t="s">
        <v>16</v>
      </c>
      <c r="H3637" t="s">
        <v>6399</v>
      </c>
      <c r="I3637">
        <v>3.9020999999999999</v>
      </c>
      <c r="J3637">
        <v>155240.69</v>
      </c>
      <c r="K3637">
        <v>39783.88303733887</v>
      </c>
    </row>
    <row r="3638" spans="1:11" x14ac:dyDescent="0.25">
      <c r="A3638" t="s">
        <v>350</v>
      </c>
      <c r="B3638" t="s">
        <v>1733</v>
      </c>
      <c r="C3638" s="1">
        <v>42293</v>
      </c>
      <c r="D3638" s="1">
        <v>42297</v>
      </c>
      <c r="E3638">
        <v>21</v>
      </c>
      <c r="F3638" t="s">
        <v>331</v>
      </c>
      <c r="G3638" t="s">
        <v>16</v>
      </c>
      <c r="H3638" t="s">
        <v>3109</v>
      </c>
      <c r="I3638">
        <v>3.8344</v>
      </c>
      <c r="J3638">
        <v>88868.45</v>
      </c>
      <c r="K3638">
        <v>23176.624765282704</v>
      </c>
    </row>
    <row r="3639" spans="1:11" x14ac:dyDescent="0.25">
      <c r="A3639" t="s">
        <v>3110</v>
      </c>
      <c r="B3639" t="s">
        <v>3111</v>
      </c>
      <c r="C3639" s="1">
        <v>42257</v>
      </c>
      <c r="D3639" s="1">
        <v>42268</v>
      </c>
      <c r="E3639">
        <v>13</v>
      </c>
      <c r="F3639" t="s">
        <v>278</v>
      </c>
      <c r="G3639" t="s">
        <v>16</v>
      </c>
      <c r="H3639" t="s">
        <v>3112</v>
      </c>
      <c r="I3639">
        <v>3.7869999999999999</v>
      </c>
      <c r="J3639">
        <v>18750</v>
      </c>
      <c r="K3639">
        <v>4951.1486664906261</v>
      </c>
    </row>
    <row r="3640" spans="1:11" x14ac:dyDescent="0.25">
      <c r="A3640" t="s">
        <v>4425</v>
      </c>
      <c r="B3640" t="s">
        <v>4426</v>
      </c>
      <c r="C3640" s="1">
        <v>42268</v>
      </c>
      <c r="D3640" s="1">
        <v>42276</v>
      </c>
      <c r="E3640">
        <v>15</v>
      </c>
      <c r="F3640" t="s">
        <v>318</v>
      </c>
      <c r="G3640" t="s">
        <v>16</v>
      </c>
      <c r="H3640" t="s">
        <v>6400</v>
      </c>
      <c r="I3640">
        <v>3.9020999999999999</v>
      </c>
      <c r="J3640">
        <v>648206.24</v>
      </c>
      <c r="K3640">
        <v>166117.28043873812</v>
      </c>
    </row>
    <row r="3641" spans="1:11" x14ac:dyDescent="0.25">
      <c r="A3641" t="s">
        <v>351</v>
      </c>
      <c r="B3641" t="s">
        <v>1214</v>
      </c>
      <c r="C3641" s="1">
        <v>42268</v>
      </c>
      <c r="D3641" s="1">
        <v>42276</v>
      </c>
      <c r="E3641">
        <v>17</v>
      </c>
      <c r="F3641" t="s">
        <v>311</v>
      </c>
      <c r="G3641" t="s">
        <v>16</v>
      </c>
      <c r="H3641" t="s">
        <v>3113</v>
      </c>
      <c r="I3641">
        <v>3.9020999999999999</v>
      </c>
      <c r="J3641">
        <v>161803.01</v>
      </c>
      <c r="K3641">
        <v>41465.623638553596</v>
      </c>
    </row>
    <row r="3642" spans="1:11" x14ac:dyDescent="0.25">
      <c r="A3642" t="s">
        <v>351</v>
      </c>
      <c r="B3642" t="s">
        <v>1214</v>
      </c>
      <c r="C3642" s="1">
        <v>42268</v>
      </c>
      <c r="D3642" s="1">
        <v>42277</v>
      </c>
      <c r="E3642">
        <v>17</v>
      </c>
      <c r="F3642" t="s">
        <v>311</v>
      </c>
      <c r="G3642" t="s">
        <v>16</v>
      </c>
      <c r="H3642" t="s">
        <v>6401</v>
      </c>
      <c r="I3642">
        <v>3.9020999999999999</v>
      </c>
      <c r="J3642">
        <v>140594.45000000001</v>
      </c>
      <c r="K3642">
        <v>36030.457958535146</v>
      </c>
    </row>
    <row r="3643" spans="1:11" x14ac:dyDescent="0.25">
      <c r="A3643" t="s">
        <v>491</v>
      </c>
      <c r="B3643" t="s">
        <v>2117</v>
      </c>
      <c r="C3643" s="1">
        <v>42258</v>
      </c>
      <c r="D3643" s="1">
        <v>42270</v>
      </c>
      <c r="E3643">
        <v>45</v>
      </c>
      <c r="F3643" t="s">
        <v>311</v>
      </c>
      <c r="G3643" t="s">
        <v>16</v>
      </c>
      <c r="H3643" t="s">
        <v>6402</v>
      </c>
      <c r="I3643">
        <v>3.8698000000000001</v>
      </c>
      <c r="J3643">
        <v>10968.9</v>
      </c>
      <c r="K3643">
        <v>2834.4875704170759</v>
      </c>
    </row>
    <row r="3644" spans="1:11" x14ac:dyDescent="0.25">
      <c r="A3644" t="s">
        <v>350</v>
      </c>
      <c r="B3644" t="s">
        <v>1733</v>
      </c>
      <c r="C3644" s="1">
        <v>42301</v>
      </c>
      <c r="D3644" s="1">
        <v>42304</v>
      </c>
      <c r="E3644">
        <v>21</v>
      </c>
      <c r="F3644" t="s">
        <v>331</v>
      </c>
      <c r="G3644" t="s">
        <v>16</v>
      </c>
      <c r="H3644" t="s">
        <v>6403</v>
      </c>
      <c r="I3644">
        <v>3.8988</v>
      </c>
      <c r="J3644">
        <v>88167.02</v>
      </c>
      <c r="K3644">
        <v>22613.886323997129</v>
      </c>
    </row>
    <row r="3645" spans="1:11" x14ac:dyDescent="0.25">
      <c r="A3645" t="s">
        <v>3114</v>
      </c>
      <c r="B3645" t="s">
        <v>3115</v>
      </c>
      <c r="C3645" s="1">
        <v>42251</v>
      </c>
      <c r="D3645" s="1">
        <v>42272</v>
      </c>
      <c r="E3645">
        <v>6</v>
      </c>
      <c r="F3645" t="s">
        <v>642</v>
      </c>
      <c r="G3645" t="s">
        <v>16</v>
      </c>
      <c r="H3645" t="s">
        <v>3116</v>
      </c>
      <c r="I3645">
        <v>3.7759999999999998</v>
      </c>
      <c r="J3645">
        <v>34963.800000000003</v>
      </c>
      <c r="K3645">
        <v>9259.4809322033907</v>
      </c>
    </row>
    <row r="3646" spans="1:11" x14ac:dyDescent="0.25">
      <c r="A3646" t="s">
        <v>350</v>
      </c>
      <c r="B3646" t="s">
        <v>1733</v>
      </c>
      <c r="C3646" s="1">
        <v>42301</v>
      </c>
      <c r="D3646" s="1">
        <v>42306</v>
      </c>
      <c r="E3646">
        <v>21</v>
      </c>
      <c r="F3646" t="s">
        <v>331</v>
      </c>
      <c r="G3646" t="s">
        <v>16</v>
      </c>
      <c r="H3646" t="s">
        <v>6404</v>
      </c>
      <c r="I3646">
        <v>3.8988</v>
      </c>
      <c r="J3646">
        <v>95203.24</v>
      </c>
      <c r="K3646">
        <v>24418.60059505489</v>
      </c>
    </row>
    <row r="3647" spans="1:11" x14ac:dyDescent="0.25">
      <c r="A3647" t="s">
        <v>350</v>
      </c>
      <c r="B3647" t="s">
        <v>1733</v>
      </c>
      <c r="C3647" s="1">
        <v>42301</v>
      </c>
      <c r="D3647" s="1">
        <v>42307</v>
      </c>
      <c r="E3647">
        <v>21</v>
      </c>
      <c r="F3647" t="s">
        <v>331</v>
      </c>
      <c r="G3647" t="s">
        <v>16</v>
      </c>
      <c r="H3647" t="s">
        <v>6405</v>
      </c>
      <c r="I3647">
        <v>3.8988</v>
      </c>
      <c r="J3647">
        <v>85065.04</v>
      </c>
      <c r="K3647">
        <v>21818.262029342361</v>
      </c>
    </row>
    <row r="3648" spans="1:11" x14ac:dyDescent="0.25">
      <c r="A3648" t="s">
        <v>350</v>
      </c>
      <c r="B3648" t="s">
        <v>1733</v>
      </c>
      <c r="C3648" s="1">
        <v>42304</v>
      </c>
      <c r="D3648" s="1">
        <v>42308</v>
      </c>
      <c r="E3648">
        <v>21</v>
      </c>
      <c r="F3648" t="s">
        <v>331</v>
      </c>
      <c r="G3648" t="s">
        <v>16</v>
      </c>
      <c r="H3648" t="s">
        <v>3117</v>
      </c>
      <c r="I3648">
        <v>3.8582000000000001</v>
      </c>
      <c r="J3648">
        <v>92807.39</v>
      </c>
      <c r="K3648">
        <v>24054.582447773573</v>
      </c>
    </row>
    <row r="3649" spans="1:11" x14ac:dyDescent="0.25">
      <c r="A3649" t="s">
        <v>439</v>
      </c>
      <c r="B3649" t="s">
        <v>2197</v>
      </c>
      <c r="C3649" s="1">
        <v>42301</v>
      </c>
      <c r="D3649" s="1">
        <v>42305</v>
      </c>
      <c r="E3649">
        <v>19</v>
      </c>
      <c r="F3649" t="s">
        <v>331</v>
      </c>
      <c r="G3649" t="s">
        <v>16</v>
      </c>
      <c r="H3649" t="s">
        <v>3118</v>
      </c>
      <c r="I3649">
        <v>3.8988</v>
      </c>
      <c r="J3649">
        <v>92403.88</v>
      </c>
      <c r="K3649">
        <v>23700.595054888683</v>
      </c>
    </row>
    <row r="3650" spans="1:11" x14ac:dyDescent="0.25">
      <c r="A3650" t="s">
        <v>429</v>
      </c>
      <c r="B3650" t="s">
        <v>1216</v>
      </c>
      <c r="C3650" s="1">
        <v>42279</v>
      </c>
      <c r="D3650" s="1">
        <v>42280</v>
      </c>
      <c r="E3650">
        <v>5</v>
      </c>
      <c r="F3650" t="s">
        <v>675</v>
      </c>
      <c r="G3650" t="s">
        <v>16</v>
      </c>
      <c r="H3650" t="s">
        <v>3119</v>
      </c>
      <c r="I3650">
        <v>3.9794</v>
      </c>
      <c r="J3650">
        <v>399538</v>
      </c>
      <c r="K3650">
        <v>100401.56807558928</v>
      </c>
    </row>
    <row r="3651" spans="1:11" x14ac:dyDescent="0.25">
      <c r="A3651" t="s">
        <v>350</v>
      </c>
      <c r="B3651" t="s">
        <v>1733</v>
      </c>
      <c r="C3651" s="1">
        <v>42301</v>
      </c>
      <c r="D3651" s="1">
        <v>42306</v>
      </c>
      <c r="E3651">
        <v>21</v>
      </c>
      <c r="F3651" t="s">
        <v>331</v>
      </c>
      <c r="G3651" t="s">
        <v>16</v>
      </c>
      <c r="H3651" t="s">
        <v>3120</v>
      </c>
      <c r="I3651">
        <v>3.8988</v>
      </c>
      <c r="J3651">
        <v>94648.41</v>
      </c>
      <c r="K3651">
        <v>24276.292705447831</v>
      </c>
    </row>
    <row r="3652" spans="1:11" x14ac:dyDescent="0.25">
      <c r="A3652" t="s">
        <v>429</v>
      </c>
      <c r="B3652" t="s">
        <v>1216</v>
      </c>
      <c r="C3652" s="1">
        <v>42307</v>
      </c>
      <c r="D3652" s="1">
        <v>42312</v>
      </c>
      <c r="E3652">
        <v>5</v>
      </c>
      <c r="F3652" t="s">
        <v>675</v>
      </c>
      <c r="G3652" t="s">
        <v>16</v>
      </c>
      <c r="H3652" t="s">
        <v>3121</v>
      </c>
      <c r="I3652">
        <v>3.9327999999999999</v>
      </c>
      <c r="J3652">
        <v>81908.399999999994</v>
      </c>
      <c r="K3652">
        <v>20826.993490642799</v>
      </c>
    </row>
    <row r="3653" spans="1:11" x14ac:dyDescent="0.25">
      <c r="A3653" t="s">
        <v>6406</v>
      </c>
      <c r="B3653" t="s">
        <v>6407</v>
      </c>
      <c r="C3653" s="1">
        <v>42313</v>
      </c>
      <c r="D3653" s="1">
        <v>42319</v>
      </c>
      <c r="E3653">
        <v>180</v>
      </c>
      <c r="F3653" t="s">
        <v>406</v>
      </c>
      <c r="G3653" t="s">
        <v>16</v>
      </c>
      <c r="H3653" t="s">
        <v>6408</v>
      </c>
      <c r="I3653">
        <v>3.7686999999999999</v>
      </c>
      <c r="J3653">
        <v>612413.75</v>
      </c>
      <c r="K3653">
        <v>162500</v>
      </c>
    </row>
    <row r="3654" spans="1:11" x14ac:dyDescent="0.25">
      <c r="A3654" t="s">
        <v>467</v>
      </c>
      <c r="B3654" t="s">
        <v>3122</v>
      </c>
      <c r="C3654" s="1">
        <v>42261</v>
      </c>
      <c r="D3654" s="1">
        <v>42317</v>
      </c>
      <c r="E3654">
        <v>5</v>
      </c>
      <c r="F3654" t="s">
        <v>675</v>
      </c>
      <c r="G3654" t="s">
        <v>16</v>
      </c>
      <c r="H3654" t="s">
        <v>3123</v>
      </c>
      <c r="I3654">
        <v>3.8698000000000001</v>
      </c>
      <c r="J3654">
        <v>18877.599999999999</v>
      </c>
      <c r="K3654">
        <v>4878.1849191172669</v>
      </c>
    </row>
    <row r="3655" spans="1:11" x14ac:dyDescent="0.25">
      <c r="A3655" t="s">
        <v>350</v>
      </c>
      <c r="B3655" t="s">
        <v>1733</v>
      </c>
      <c r="C3655" s="1">
        <v>42301</v>
      </c>
      <c r="D3655" s="1">
        <v>42311</v>
      </c>
      <c r="E3655">
        <v>21</v>
      </c>
      <c r="F3655" t="s">
        <v>331</v>
      </c>
      <c r="G3655" t="s">
        <v>16</v>
      </c>
      <c r="H3655" t="s">
        <v>6409</v>
      </c>
      <c r="I3655">
        <v>3.8988</v>
      </c>
      <c r="J3655">
        <v>94623.19</v>
      </c>
      <c r="K3655">
        <v>24269.824048425158</v>
      </c>
    </row>
    <row r="3656" spans="1:11" x14ac:dyDescent="0.25">
      <c r="A3656" t="s">
        <v>350</v>
      </c>
      <c r="B3656" t="s">
        <v>1733</v>
      </c>
      <c r="C3656" s="1">
        <v>42305</v>
      </c>
      <c r="D3656" s="1">
        <v>42311</v>
      </c>
      <c r="E3656">
        <v>21</v>
      </c>
      <c r="F3656" t="s">
        <v>331</v>
      </c>
      <c r="G3656" t="s">
        <v>16</v>
      </c>
      <c r="H3656" t="s">
        <v>3124</v>
      </c>
      <c r="I3656">
        <v>3.9114</v>
      </c>
      <c r="J3656">
        <v>38535.24</v>
      </c>
      <c r="K3656">
        <v>9852.0325203252032</v>
      </c>
    </row>
    <row r="3657" spans="1:11" x14ac:dyDescent="0.25">
      <c r="A3657" t="s">
        <v>350</v>
      </c>
      <c r="B3657" t="s">
        <v>1733</v>
      </c>
      <c r="C3657" s="1">
        <v>42301</v>
      </c>
      <c r="D3657" s="1">
        <v>42311</v>
      </c>
      <c r="E3657">
        <v>21</v>
      </c>
      <c r="F3657" t="s">
        <v>331</v>
      </c>
      <c r="G3657" t="s">
        <v>16</v>
      </c>
      <c r="H3657" t="s">
        <v>3125</v>
      </c>
      <c r="I3657">
        <v>3.8988</v>
      </c>
      <c r="J3657">
        <v>94648.41</v>
      </c>
      <c r="K3657">
        <v>24276.292705447831</v>
      </c>
    </row>
    <row r="3658" spans="1:11" x14ac:dyDescent="0.25">
      <c r="A3658" t="s">
        <v>482</v>
      </c>
      <c r="B3658" t="s">
        <v>3102</v>
      </c>
      <c r="C3658" s="1">
        <v>42317</v>
      </c>
      <c r="D3658" s="1">
        <v>42326</v>
      </c>
      <c r="E3658">
        <v>2</v>
      </c>
      <c r="F3658" t="s">
        <v>301</v>
      </c>
      <c r="G3658" t="s">
        <v>16</v>
      </c>
      <c r="H3658" t="s">
        <v>3126</v>
      </c>
      <c r="I3658">
        <v>3.8058999999999998</v>
      </c>
      <c r="J3658">
        <v>80504.98</v>
      </c>
      <c r="K3658">
        <v>21152.678735647285</v>
      </c>
    </row>
    <row r="3659" spans="1:11" x14ac:dyDescent="0.25">
      <c r="A3659" t="s">
        <v>1220</v>
      </c>
      <c r="B3659" t="s">
        <v>1221</v>
      </c>
      <c r="C3659" s="1">
        <v>42334</v>
      </c>
      <c r="D3659" s="1">
        <v>42343</v>
      </c>
      <c r="E3659">
        <v>20</v>
      </c>
      <c r="F3659" t="s">
        <v>331</v>
      </c>
      <c r="G3659" t="s">
        <v>16</v>
      </c>
      <c r="H3659" t="s">
        <v>6410</v>
      </c>
      <c r="I3659">
        <v>3.7688000000000001</v>
      </c>
      <c r="J3659">
        <v>61148.27</v>
      </c>
      <c r="K3659">
        <v>16224.864678412227</v>
      </c>
    </row>
    <row r="3660" spans="1:11" x14ac:dyDescent="0.25">
      <c r="A3660" t="s">
        <v>1220</v>
      </c>
      <c r="B3660" t="s">
        <v>1221</v>
      </c>
      <c r="C3660" s="1">
        <v>42336</v>
      </c>
      <c r="D3660" s="1">
        <v>42343</v>
      </c>
      <c r="E3660">
        <v>20</v>
      </c>
      <c r="F3660" t="s">
        <v>331</v>
      </c>
      <c r="G3660" t="s">
        <v>16</v>
      </c>
      <c r="H3660" t="s">
        <v>3127</v>
      </c>
      <c r="I3660">
        <v>3.7399</v>
      </c>
      <c r="J3660">
        <v>60045.63</v>
      </c>
      <c r="K3660">
        <v>16055.410572475201</v>
      </c>
    </row>
    <row r="3661" spans="1:11" x14ac:dyDescent="0.25">
      <c r="A3661" t="s">
        <v>511</v>
      </c>
      <c r="B3661" t="s">
        <v>510</v>
      </c>
      <c r="C3661" s="1">
        <v>42305</v>
      </c>
      <c r="D3661" s="1">
        <v>42328</v>
      </c>
      <c r="E3661">
        <v>257</v>
      </c>
      <c r="F3661" t="s">
        <v>301</v>
      </c>
      <c r="G3661" t="s">
        <v>16</v>
      </c>
      <c r="H3661" t="s">
        <v>3128</v>
      </c>
      <c r="I3661">
        <v>3.9114</v>
      </c>
      <c r="J3661">
        <v>8542.81</v>
      </c>
      <c r="K3661">
        <v>2184.079869100578</v>
      </c>
    </row>
    <row r="3662" spans="1:11" x14ac:dyDescent="0.25">
      <c r="A3662" t="s">
        <v>387</v>
      </c>
      <c r="B3662" t="s">
        <v>2205</v>
      </c>
      <c r="C3662" s="1">
        <v>42306</v>
      </c>
      <c r="D3662" s="1">
        <v>42320</v>
      </c>
      <c r="E3662">
        <v>204</v>
      </c>
      <c r="F3662" t="s">
        <v>370</v>
      </c>
      <c r="G3662" t="s">
        <v>16</v>
      </c>
      <c r="H3662" t="s">
        <v>6411</v>
      </c>
      <c r="I3662">
        <v>3.8797000000000001</v>
      </c>
      <c r="J3662">
        <v>4810.83</v>
      </c>
      <c r="K3662">
        <v>1240.0005155037761</v>
      </c>
    </row>
    <row r="3663" spans="1:11" x14ac:dyDescent="0.25">
      <c r="A3663" t="s">
        <v>523</v>
      </c>
      <c r="B3663" t="s">
        <v>2249</v>
      </c>
      <c r="C3663" s="1">
        <v>42304</v>
      </c>
      <c r="D3663" s="1">
        <v>42333</v>
      </c>
      <c r="E3663">
        <v>9</v>
      </c>
      <c r="F3663" t="s">
        <v>311</v>
      </c>
      <c r="G3663" t="s">
        <v>16</v>
      </c>
      <c r="H3663" t="s">
        <v>3129</v>
      </c>
      <c r="I3663">
        <v>3.8582000000000001</v>
      </c>
      <c r="J3663">
        <v>9258</v>
      </c>
      <c r="K3663">
        <v>2399.5645637862217</v>
      </c>
    </row>
    <row r="3664" spans="1:11" x14ac:dyDescent="0.25">
      <c r="A3664" t="s">
        <v>429</v>
      </c>
      <c r="B3664" t="s">
        <v>1216</v>
      </c>
      <c r="C3664" s="1">
        <v>42307</v>
      </c>
      <c r="D3664" s="1">
        <v>42311</v>
      </c>
      <c r="E3664">
        <v>5</v>
      </c>
      <c r="F3664" t="s">
        <v>675</v>
      </c>
      <c r="G3664" t="s">
        <v>16</v>
      </c>
      <c r="H3664" t="s">
        <v>6412</v>
      </c>
      <c r="I3664">
        <v>3.9327999999999999</v>
      </c>
      <c r="J3664">
        <v>161990</v>
      </c>
      <c r="K3664">
        <v>41189.483319772175</v>
      </c>
    </row>
    <row r="3665" spans="1:11" x14ac:dyDescent="0.25">
      <c r="A3665" t="s">
        <v>429</v>
      </c>
      <c r="B3665" t="s">
        <v>1216</v>
      </c>
      <c r="C3665" s="1">
        <v>42306</v>
      </c>
      <c r="D3665" s="1">
        <v>42311</v>
      </c>
      <c r="E3665">
        <v>5</v>
      </c>
      <c r="F3665" t="s">
        <v>675</v>
      </c>
      <c r="G3665" t="s">
        <v>16</v>
      </c>
      <c r="H3665" t="s">
        <v>3130</v>
      </c>
      <c r="I3665">
        <v>3.8797000000000001</v>
      </c>
      <c r="J3665">
        <v>479940</v>
      </c>
      <c r="K3665">
        <v>123705.44114235637</v>
      </c>
    </row>
    <row r="3666" spans="1:11" x14ac:dyDescent="0.25">
      <c r="A3666" t="s">
        <v>429</v>
      </c>
      <c r="B3666" t="s">
        <v>1216</v>
      </c>
      <c r="C3666" s="1">
        <v>42306</v>
      </c>
      <c r="D3666" s="1">
        <v>42311</v>
      </c>
      <c r="E3666">
        <v>5</v>
      </c>
      <c r="F3666" t="s">
        <v>675</v>
      </c>
      <c r="G3666" t="s">
        <v>16</v>
      </c>
      <c r="H3666" t="s">
        <v>3131</v>
      </c>
      <c r="I3666">
        <v>3.8797000000000001</v>
      </c>
      <c r="J3666">
        <v>188171.98</v>
      </c>
      <c r="K3666">
        <v>48501.683119828849</v>
      </c>
    </row>
    <row r="3667" spans="1:11" x14ac:dyDescent="0.25">
      <c r="A3667" t="s">
        <v>527</v>
      </c>
      <c r="B3667" t="s">
        <v>3132</v>
      </c>
      <c r="C3667" s="1">
        <v>42257</v>
      </c>
      <c r="D3667" s="1">
        <v>42333</v>
      </c>
      <c r="E3667">
        <v>3</v>
      </c>
      <c r="F3667" t="s">
        <v>301</v>
      </c>
      <c r="G3667" t="s">
        <v>16</v>
      </c>
      <c r="H3667" t="s">
        <v>3133</v>
      </c>
      <c r="I3667">
        <v>3.7869999999999999</v>
      </c>
      <c r="J3667">
        <v>20370.009999999998</v>
      </c>
      <c r="K3667">
        <v>5378.9305518880383</v>
      </c>
    </row>
    <row r="3668" spans="1:11" x14ac:dyDescent="0.25">
      <c r="A3668" t="s">
        <v>3134</v>
      </c>
      <c r="B3668" t="s">
        <v>3135</v>
      </c>
      <c r="C3668" s="1">
        <v>42319</v>
      </c>
      <c r="D3668" s="1">
        <v>42331</v>
      </c>
      <c r="E3668">
        <v>1008</v>
      </c>
      <c r="F3668" t="s">
        <v>278</v>
      </c>
      <c r="G3668" t="s">
        <v>16</v>
      </c>
      <c r="H3668" t="s">
        <v>3136</v>
      </c>
      <c r="I3668">
        <v>3.7980999999999998</v>
      </c>
      <c r="J3668">
        <v>352600</v>
      </c>
      <c r="K3668">
        <v>92835.891630025537</v>
      </c>
    </row>
    <row r="3669" spans="1:11" x14ac:dyDescent="0.25">
      <c r="A3669" t="s">
        <v>1220</v>
      </c>
      <c r="B3669" t="s">
        <v>1221</v>
      </c>
      <c r="C3669" s="1">
        <v>42333</v>
      </c>
      <c r="D3669" s="1">
        <v>42339</v>
      </c>
      <c r="E3669">
        <v>20</v>
      </c>
      <c r="F3669" t="s">
        <v>331</v>
      </c>
      <c r="G3669" t="s">
        <v>16</v>
      </c>
      <c r="H3669" t="s">
        <v>6413</v>
      </c>
      <c r="I3669">
        <v>3.7081</v>
      </c>
      <c r="J3669">
        <v>59380.79</v>
      </c>
      <c r="K3669">
        <v>16013.804913567596</v>
      </c>
    </row>
    <row r="3670" spans="1:11" x14ac:dyDescent="0.25">
      <c r="A3670" t="s">
        <v>1220</v>
      </c>
      <c r="B3670" t="s">
        <v>1221</v>
      </c>
      <c r="C3670" s="1">
        <v>42334</v>
      </c>
      <c r="D3670" s="1">
        <v>42339</v>
      </c>
      <c r="E3670">
        <v>20</v>
      </c>
      <c r="F3670" t="s">
        <v>331</v>
      </c>
      <c r="G3670" t="s">
        <v>16</v>
      </c>
      <c r="H3670" t="s">
        <v>6414</v>
      </c>
      <c r="I3670">
        <v>3.7688000000000001</v>
      </c>
      <c r="J3670">
        <v>78287.95</v>
      </c>
      <c r="K3670">
        <v>20772.646465718532</v>
      </c>
    </row>
    <row r="3671" spans="1:11" x14ac:dyDescent="0.25">
      <c r="A3671" t="s">
        <v>1220</v>
      </c>
      <c r="B3671" t="s">
        <v>1221</v>
      </c>
      <c r="C3671" s="1">
        <v>42333</v>
      </c>
      <c r="D3671" s="1">
        <v>42341</v>
      </c>
      <c r="E3671">
        <v>20</v>
      </c>
      <c r="F3671" t="s">
        <v>331</v>
      </c>
      <c r="G3671" t="s">
        <v>16</v>
      </c>
      <c r="H3671" t="s">
        <v>6415</v>
      </c>
      <c r="I3671">
        <v>3.7081</v>
      </c>
      <c r="J3671">
        <v>59575.38</v>
      </c>
      <c r="K3671">
        <v>16066.281923356975</v>
      </c>
    </row>
    <row r="3672" spans="1:11" x14ac:dyDescent="0.25">
      <c r="A3672" t="s">
        <v>350</v>
      </c>
      <c r="B3672" t="s">
        <v>1733</v>
      </c>
      <c r="C3672" s="1">
        <v>42304</v>
      </c>
      <c r="D3672" s="1">
        <v>42318</v>
      </c>
      <c r="E3672">
        <v>21</v>
      </c>
      <c r="F3672" t="s">
        <v>331</v>
      </c>
      <c r="G3672" t="s">
        <v>16</v>
      </c>
      <c r="H3672" t="s">
        <v>6416</v>
      </c>
      <c r="I3672">
        <v>3.8582000000000001</v>
      </c>
      <c r="J3672">
        <v>122515.85</v>
      </c>
      <c r="K3672">
        <v>31754.665388004771</v>
      </c>
    </row>
    <row r="3673" spans="1:11" x14ac:dyDescent="0.25">
      <c r="A3673" t="s">
        <v>428</v>
      </c>
      <c r="B3673" t="s">
        <v>1231</v>
      </c>
      <c r="C3673" s="1">
        <v>42356</v>
      </c>
      <c r="D3673" s="1">
        <v>42360</v>
      </c>
      <c r="E3673">
        <v>22</v>
      </c>
      <c r="F3673" t="s">
        <v>331</v>
      </c>
      <c r="G3673" t="s">
        <v>16</v>
      </c>
      <c r="H3673" t="s">
        <v>6417</v>
      </c>
      <c r="I3673">
        <v>3.8929</v>
      </c>
      <c r="J3673">
        <v>40114.31</v>
      </c>
      <c r="K3673">
        <v>10304.479950679442</v>
      </c>
    </row>
    <row r="3674" spans="1:11" x14ac:dyDescent="0.25">
      <c r="A3674" t="s">
        <v>428</v>
      </c>
      <c r="B3674" t="s">
        <v>1231</v>
      </c>
      <c r="C3674" s="1">
        <v>42355</v>
      </c>
      <c r="D3674" s="1">
        <v>42360</v>
      </c>
      <c r="E3674">
        <v>22</v>
      </c>
      <c r="F3674" t="s">
        <v>331</v>
      </c>
      <c r="G3674" t="s">
        <v>16</v>
      </c>
      <c r="H3674" t="s">
        <v>6418</v>
      </c>
      <c r="I3674">
        <v>3.9357000000000002</v>
      </c>
      <c r="J3674">
        <v>48434.79</v>
      </c>
      <c r="K3674">
        <v>12306.52488756765</v>
      </c>
    </row>
    <row r="3675" spans="1:11" x14ac:dyDescent="0.25">
      <c r="A3675" t="s">
        <v>428</v>
      </c>
      <c r="B3675" t="s">
        <v>1231</v>
      </c>
      <c r="C3675" s="1">
        <v>42360</v>
      </c>
      <c r="D3675" s="1">
        <v>42366</v>
      </c>
      <c r="E3675">
        <v>22</v>
      </c>
      <c r="F3675" t="s">
        <v>331</v>
      </c>
      <c r="G3675" t="s">
        <v>16</v>
      </c>
      <c r="H3675" t="s">
        <v>6419</v>
      </c>
      <c r="I3675">
        <v>3.9830999999999999</v>
      </c>
      <c r="J3675">
        <v>16369.23</v>
      </c>
      <c r="K3675">
        <v>4109.6708593808844</v>
      </c>
    </row>
    <row r="3676" spans="1:11" x14ac:dyDescent="0.25">
      <c r="A3676" t="s">
        <v>3137</v>
      </c>
      <c r="B3676" t="s">
        <v>3138</v>
      </c>
      <c r="C3676" s="1">
        <v>42353</v>
      </c>
      <c r="D3676" s="1">
        <v>42359</v>
      </c>
      <c r="E3676">
        <v>203</v>
      </c>
      <c r="F3676" t="s">
        <v>368</v>
      </c>
      <c r="G3676" t="s">
        <v>16</v>
      </c>
      <c r="H3676" t="s">
        <v>3139</v>
      </c>
      <c r="I3676">
        <v>3.9022999999999999</v>
      </c>
      <c r="J3676">
        <v>76720.929999999993</v>
      </c>
      <c r="K3676">
        <v>19660.438715629243</v>
      </c>
    </row>
    <row r="3677" spans="1:11" x14ac:dyDescent="0.25">
      <c r="A3677" t="s">
        <v>374</v>
      </c>
      <c r="B3677" t="s">
        <v>1511</v>
      </c>
      <c r="C3677" s="1">
        <v>42366</v>
      </c>
      <c r="D3677" s="1">
        <v>42377</v>
      </c>
      <c r="E3677">
        <v>1770</v>
      </c>
      <c r="F3677" t="s">
        <v>311</v>
      </c>
      <c r="G3677" t="s">
        <v>16</v>
      </c>
      <c r="H3677" t="s">
        <v>3140</v>
      </c>
      <c r="I3677">
        <v>3.9523999999999999</v>
      </c>
      <c r="J3677">
        <v>567970.63</v>
      </c>
      <c r="K3677">
        <v>143702.71986641028</v>
      </c>
    </row>
    <row r="3678" spans="1:11" x14ac:dyDescent="0.25">
      <c r="A3678" t="s">
        <v>374</v>
      </c>
      <c r="B3678" t="s">
        <v>1511</v>
      </c>
      <c r="C3678" s="1">
        <v>42366</v>
      </c>
      <c r="D3678" s="1">
        <v>42377</v>
      </c>
      <c r="E3678">
        <v>1770</v>
      </c>
      <c r="F3678" t="s">
        <v>311</v>
      </c>
      <c r="G3678" t="s">
        <v>16</v>
      </c>
      <c r="H3678" t="s">
        <v>3141</v>
      </c>
      <c r="I3678">
        <v>3.9523999999999999</v>
      </c>
      <c r="J3678">
        <v>1022347.13</v>
      </c>
      <c r="K3678">
        <v>258664.89474749519</v>
      </c>
    </row>
    <row r="3679" spans="1:11" x14ac:dyDescent="0.25">
      <c r="A3679" t="s">
        <v>467</v>
      </c>
      <c r="B3679" t="s">
        <v>3122</v>
      </c>
      <c r="C3679" s="1">
        <v>42361</v>
      </c>
      <c r="D3679" s="1">
        <v>42374</v>
      </c>
      <c r="E3679">
        <v>5</v>
      </c>
      <c r="F3679" t="s">
        <v>675</v>
      </c>
      <c r="G3679" t="s">
        <v>16</v>
      </c>
      <c r="H3679" t="s">
        <v>6420</v>
      </c>
      <c r="I3679">
        <v>3.9769999999999999</v>
      </c>
      <c r="J3679">
        <v>54108</v>
      </c>
      <c r="K3679">
        <v>13605.230072919287</v>
      </c>
    </row>
    <row r="3680" spans="1:11" x14ac:dyDescent="0.25">
      <c r="A3680" t="s">
        <v>428</v>
      </c>
      <c r="B3680" t="s">
        <v>1231</v>
      </c>
      <c r="C3680" s="1">
        <v>42360</v>
      </c>
      <c r="D3680" s="1">
        <v>42383</v>
      </c>
      <c r="E3680">
        <v>22</v>
      </c>
      <c r="F3680" t="s">
        <v>331</v>
      </c>
      <c r="G3680" t="s">
        <v>16</v>
      </c>
      <c r="H3680" t="s">
        <v>3142</v>
      </c>
      <c r="I3680">
        <v>3.9830999999999999</v>
      </c>
      <c r="J3680">
        <v>48201.87</v>
      </c>
      <c r="K3680">
        <v>12101.596746252919</v>
      </c>
    </row>
    <row r="3681" spans="1:11" x14ac:dyDescent="0.25">
      <c r="A3681" t="s">
        <v>428</v>
      </c>
      <c r="B3681" t="s">
        <v>1231</v>
      </c>
      <c r="C3681" s="1">
        <v>42357</v>
      </c>
      <c r="D3681" s="1">
        <v>42383</v>
      </c>
      <c r="E3681">
        <v>22</v>
      </c>
      <c r="F3681" t="s">
        <v>331</v>
      </c>
      <c r="G3681" t="s">
        <v>16</v>
      </c>
      <c r="H3681" t="s">
        <v>3143</v>
      </c>
      <c r="I3681">
        <v>3.9062000000000001</v>
      </c>
      <c r="J3681">
        <v>47244.31</v>
      </c>
      <c r="K3681">
        <v>12094.698172136603</v>
      </c>
    </row>
    <row r="3682" spans="1:11" x14ac:dyDescent="0.25">
      <c r="A3682" t="s">
        <v>428</v>
      </c>
      <c r="B3682" t="s">
        <v>1231</v>
      </c>
      <c r="C3682" s="1">
        <v>42359</v>
      </c>
      <c r="D3682" s="1">
        <v>42367</v>
      </c>
      <c r="E3682">
        <v>22</v>
      </c>
      <c r="F3682" t="s">
        <v>331</v>
      </c>
      <c r="G3682" t="s">
        <v>16</v>
      </c>
      <c r="H3682" t="s">
        <v>6421</v>
      </c>
      <c r="I3682">
        <v>3.9062000000000001</v>
      </c>
      <c r="J3682">
        <v>47554.87</v>
      </c>
      <c r="K3682">
        <v>12174.202549792637</v>
      </c>
    </row>
    <row r="3683" spans="1:11" x14ac:dyDescent="0.25">
      <c r="A3683" t="s">
        <v>428</v>
      </c>
      <c r="B3683" t="s">
        <v>1231</v>
      </c>
      <c r="C3683" s="1">
        <v>42357</v>
      </c>
      <c r="D3683" s="1">
        <v>42367</v>
      </c>
      <c r="E3683">
        <v>22</v>
      </c>
      <c r="F3683" t="s">
        <v>331</v>
      </c>
      <c r="G3683" t="s">
        <v>16</v>
      </c>
      <c r="H3683" t="s">
        <v>3144</v>
      </c>
      <c r="I3683">
        <v>3.9062000000000001</v>
      </c>
      <c r="J3683">
        <v>41421.26</v>
      </c>
      <c r="K3683">
        <v>10603.978290922123</v>
      </c>
    </row>
    <row r="3684" spans="1:11" x14ac:dyDescent="0.25">
      <c r="A3684" t="s">
        <v>428</v>
      </c>
      <c r="B3684" t="s">
        <v>1231</v>
      </c>
      <c r="C3684" s="1">
        <v>42361</v>
      </c>
      <c r="D3684" s="1">
        <v>42367</v>
      </c>
      <c r="E3684">
        <v>22</v>
      </c>
      <c r="F3684" t="s">
        <v>331</v>
      </c>
      <c r="G3684" t="s">
        <v>16</v>
      </c>
      <c r="H3684" t="s">
        <v>6422</v>
      </c>
      <c r="I3684">
        <v>3.9769999999999999</v>
      </c>
      <c r="J3684">
        <v>40386.050000000003</v>
      </c>
      <c r="K3684">
        <v>10154.90319336183</v>
      </c>
    </row>
    <row r="3685" spans="1:11" x14ac:dyDescent="0.25">
      <c r="A3685" t="s">
        <v>351</v>
      </c>
      <c r="B3685" t="s">
        <v>1214</v>
      </c>
      <c r="C3685" s="1">
        <v>42356</v>
      </c>
      <c r="D3685" s="1">
        <v>42366</v>
      </c>
      <c r="E3685">
        <v>17</v>
      </c>
      <c r="F3685" t="s">
        <v>1255</v>
      </c>
      <c r="G3685" t="s">
        <v>16</v>
      </c>
      <c r="H3685" t="s">
        <v>6423</v>
      </c>
      <c r="I3685">
        <v>3.8929</v>
      </c>
      <c r="J3685">
        <v>766345.12</v>
      </c>
      <c r="K3685">
        <v>196857.12964627912</v>
      </c>
    </row>
    <row r="3686" spans="1:11" x14ac:dyDescent="0.25">
      <c r="A3686" t="s">
        <v>351</v>
      </c>
      <c r="B3686" t="s">
        <v>1214</v>
      </c>
      <c r="C3686" s="1">
        <v>42356</v>
      </c>
      <c r="D3686" s="1">
        <v>42367</v>
      </c>
      <c r="E3686">
        <v>17</v>
      </c>
      <c r="F3686" t="s">
        <v>1255</v>
      </c>
      <c r="G3686" t="s">
        <v>16</v>
      </c>
      <c r="H3686" t="s">
        <v>3145</v>
      </c>
      <c r="I3686">
        <v>3.8929</v>
      </c>
      <c r="J3686">
        <v>842373.92</v>
      </c>
      <c r="K3686">
        <v>216387.24858074958</v>
      </c>
    </row>
    <row r="3687" spans="1:11" x14ac:dyDescent="0.25">
      <c r="A3687" t="s">
        <v>428</v>
      </c>
      <c r="B3687" t="s">
        <v>1231</v>
      </c>
      <c r="C3687" s="1">
        <v>42361</v>
      </c>
      <c r="D3687" s="1">
        <v>42381</v>
      </c>
      <c r="E3687">
        <v>22</v>
      </c>
      <c r="F3687" t="s">
        <v>331</v>
      </c>
      <c r="G3687" t="s">
        <v>16</v>
      </c>
      <c r="H3687" t="s">
        <v>3146</v>
      </c>
      <c r="I3687">
        <v>3.9769999999999999</v>
      </c>
      <c r="J3687">
        <v>40398.99</v>
      </c>
      <c r="K3687">
        <v>10158.156902187578</v>
      </c>
    </row>
    <row r="3688" spans="1:11" x14ac:dyDescent="0.25">
      <c r="A3688" t="s">
        <v>429</v>
      </c>
      <c r="B3688" t="s">
        <v>1216</v>
      </c>
      <c r="C3688" s="1">
        <v>42391</v>
      </c>
      <c r="D3688" s="1">
        <v>42404</v>
      </c>
      <c r="E3688">
        <v>5</v>
      </c>
      <c r="F3688" t="s">
        <v>301</v>
      </c>
      <c r="G3688" t="s">
        <v>16</v>
      </c>
      <c r="H3688" t="s">
        <v>3147</v>
      </c>
      <c r="I3688">
        <v>4.1558000000000002</v>
      </c>
      <c r="J3688">
        <v>24974.61</v>
      </c>
      <c r="K3688">
        <v>6009.5793830309449</v>
      </c>
    </row>
    <row r="3689" spans="1:11" x14ac:dyDescent="0.25">
      <c r="A3689" t="s">
        <v>428</v>
      </c>
      <c r="B3689" t="s">
        <v>1231</v>
      </c>
      <c r="C3689" s="1">
        <v>42358</v>
      </c>
      <c r="D3689" s="1">
        <v>42375</v>
      </c>
      <c r="E3689">
        <v>22</v>
      </c>
      <c r="F3689" t="s">
        <v>331</v>
      </c>
      <c r="G3689" t="s">
        <v>16</v>
      </c>
      <c r="H3689" t="s">
        <v>3148</v>
      </c>
      <c r="I3689">
        <v>3.9062000000000001</v>
      </c>
      <c r="J3689">
        <v>32298.49</v>
      </c>
      <c r="K3689">
        <v>8268.5192770467456</v>
      </c>
    </row>
    <row r="3690" spans="1:11" x14ac:dyDescent="0.25">
      <c r="A3690" t="s">
        <v>428</v>
      </c>
      <c r="B3690" t="s">
        <v>1231</v>
      </c>
      <c r="C3690" s="1">
        <v>42359</v>
      </c>
      <c r="D3690" s="1">
        <v>42375</v>
      </c>
      <c r="E3690">
        <v>22</v>
      </c>
      <c r="F3690" t="s">
        <v>331</v>
      </c>
      <c r="G3690" t="s">
        <v>16</v>
      </c>
      <c r="H3690" t="s">
        <v>6424</v>
      </c>
      <c r="I3690">
        <v>3.9062000000000001</v>
      </c>
      <c r="J3690">
        <v>45290.35</v>
      </c>
      <c r="K3690">
        <v>11594.47800931852</v>
      </c>
    </row>
    <row r="3691" spans="1:11" x14ac:dyDescent="0.25">
      <c r="A3691" t="s">
        <v>543</v>
      </c>
      <c r="B3691" t="s">
        <v>3149</v>
      </c>
      <c r="C3691" s="1">
        <v>42395</v>
      </c>
      <c r="D3691" s="1">
        <v>42404</v>
      </c>
      <c r="E3691">
        <v>246</v>
      </c>
      <c r="F3691" t="s">
        <v>311</v>
      </c>
      <c r="G3691" t="s">
        <v>16</v>
      </c>
      <c r="H3691" t="s">
        <v>3150</v>
      </c>
      <c r="I3691">
        <v>4.1002000000000001</v>
      </c>
      <c r="J3691">
        <v>108216.24</v>
      </c>
      <c r="K3691">
        <v>26392.917418662506</v>
      </c>
    </row>
    <row r="3692" spans="1:11" x14ac:dyDescent="0.25">
      <c r="A3692" t="s">
        <v>428</v>
      </c>
      <c r="B3692" t="s">
        <v>1231</v>
      </c>
      <c r="C3692" s="1">
        <v>42423</v>
      </c>
      <c r="D3692" s="1">
        <v>42431</v>
      </c>
      <c r="E3692">
        <v>22</v>
      </c>
      <c r="F3692" t="s">
        <v>331</v>
      </c>
      <c r="G3692" t="s">
        <v>16</v>
      </c>
      <c r="H3692" t="s">
        <v>3151</v>
      </c>
      <c r="I3692">
        <v>3.9618000000000002</v>
      </c>
      <c r="J3692">
        <v>32518.47</v>
      </c>
      <c r="K3692">
        <v>8208.0039376041186</v>
      </c>
    </row>
    <row r="3693" spans="1:11" x14ac:dyDescent="0.25">
      <c r="A3693" t="s">
        <v>428</v>
      </c>
      <c r="B3693" t="s">
        <v>1231</v>
      </c>
      <c r="C3693" s="1">
        <v>42423</v>
      </c>
      <c r="D3693" s="1">
        <v>42431</v>
      </c>
      <c r="E3693">
        <v>22</v>
      </c>
      <c r="F3693" t="s">
        <v>331</v>
      </c>
      <c r="G3693" t="s">
        <v>16</v>
      </c>
      <c r="H3693" t="s">
        <v>6425</v>
      </c>
      <c r="I3693">
        <v>3.9618000000000002</v>
      </c>
      <c r="J3693">
        <v>30875.08</v>
      </c>
      <c r="K3693">
        <v>7793.1950123681154</v>
      </c>
    </row>
    <row r="3694" spans="1:11" x14ac:dyDescent="0.25">
      <c r="A3694" t="s">
        <v>410</v>
      </c>
      <c r="B3694" t="s">
        <v>1250</v>
      </c>
      <c r="C3694" s="1">
        <v>42426</v>
      </c>
      <c r="D3694" s="1">
        <v>42432</v>
      </c>
      <c r="E3694">
        <v>2108</v>
      </c>
      <c r="F3694" t="s">
        <v>409</v>
      </c>
      <c r="G3694" t="s">
        <v>16</v>
      </c>
      <c r="H3694" t="s">
        <v>6426</v>
      </c>
      <c r="I3694">
        <v>3.94</v>
      </c>
      <c r="J3694">
        <v>64572.69</v>
      </c>
      <c r="K3694">
        <v>16389.007614213198</v>
      </c>
    </row>
    <row r="3695" spans="1:11" x14ac:dyDescent="0.25">
      <c r="A3695" t="s">
        <v>410</v>
      </c>
      <c r="B3695" t="s">
        <v>1250</v>
      </c>
      <c r="C3695" s="1">
        <v>42429</v>
      </c>
      <c r="D3695" s="1">
        <v>42433</v>
      </c>
      <c r="E3695">
        <v>2108</v>
      </c>
      <c r="F3695" t="s">
        <v>409</v>
      </c>
      <c r="G3695" t="s">
        <v>16</v>
      </c>
      <c r="H3695" t="s">
        <v>3152</v>
      </c>
      <c r="I3695">
        <v>3.9578000000000002</v>
      </c>
      <c r="J3695">
        <v>42169.919999999998</v>
      </c>
      <c r="K3695">
        <v>10654.889079791803</v>
      </c>
    </row>
    <row r="3696" spans="1:11" x14ac:dyDescent="0.25">
      <c r="A3696" t="s">
        <v>467</v>
      </c>
      <c r="B3696" t="s">
        <v>3122</v>
      </c>
      <c r="C3696" s="1">
        <v>42408</v>
      </c>
      <c r="D3696" s="1">
        <v>42411</v>
      </c>
      <c r="E3696">
        <v>5</v>
      </c>
      <c r="F3696" t="s">
        <v>675</v>
      </c>
      <c r="G3696" t="s">
        <v>16</v>
      </c>
      <c r="H3696" t="s">
        <v>6427</v>
      </c>
      <c r="I3696">
        <v>3.8975</v>
      </c>
      <c r="J3696">
        <v>31731</v>
      </c>
      <c r="K3696">
        <v>8141.3726747915334</v>
      </c>
    </row>
    <row r="3697" spans="1:11" x14ac:dyDescent="0.25">
      <c r="A3697" t="s">
        <v>428</v>
      </c>
      <c r="B3697" t="s">
        <v>1231</v>
      </c>
      <c r="C3697" s="1">
        <v>42421</v>
      </c>
      <c r="D3697" s="1">
        <v>42425</v>
      </c>
      <c r="E3697">
        <v>22</v>
      </c>
      <c r="F3697" t="s">
        <v>331</v>
      </c>
      <c r="G3697" t="s">
        <v>16</v>
      </c>
      <c r="H3697" t="s">
        <v>3153</v>
      </c>
      <c r="I3697">
        <v>4.0491999999999999</v>
      </c>
      <c r="J3697">
        <v>46687.88</v>
      </c>
      <c r="K3697">
        <v>11530.149165267214</v>
      </c>
    </row>
    <row r="3698" spans="1:11" x14ac:dyDescent="0.25">
      <c r="A3698" t="s">
        <v>218</v>
      </c>
      <c r="B3698" t="s">
        <v>219</v>
      </c>
      <c r="C3698" s="1">
        <v>42423</v>
      </c>
      <c r="D3698" s="1">
        <v>42431</v>
      </c>
      <c r="E3698">
        <v>2</v>
      </c>
      <c r="F3698" t="s">
        <v>301</v>
      </c>
      <c r="G3698" t="s">
        <v>16</v>
      </c>
      <c r="H3698" t="s">
        <v>6428</v>
      </c>
      <c r="I3698">
        <v>3.9618000000000002</v>
      </c>
      <c r="J3698">
        <v>67230</v>
      </c>
      <c r="K3698">
        <v>16969.559291231257</v>
      </c>
    </row>
    <row r="3699" spans="1:11" x14ac:dyDescent="0.25">
      <c r="A3699" t="s">
        <v>218</v>
      </c>
      <c r="B3699" t="s">
        <v>219</v>
      </c>
      <c r="C3699" s="1">
        <v>42423</v>
      </c>
      <c r="D3699" s="1">
        <v>42431</v>
      </c>
      <c r="E3699">
        <v>2</v>
      </c>
      <c r="F3699" t="s">
        <v>301</v>
      </c>
      <c r="G3699" t="s">
        <v>16</v>
      </c>
      <c r="H3699" t="s">
        <v>6429</v>
      </c>
      <c r="I3699">
        <v>3.9618000000000002</v>
      </c>
      <c r="J3699">
        <v>67230</v>
      </c>
      <c r="K3699">
        <v>16969.559291231257</v>
      </c>
    </row>
    <row r="3700" spans="1:11" x14ac:dyDescent="0.25">
      <c r="A3700" t="s">
        <v>218</v>
      </c>
      <c r="B3700" t="s">
        <v>219</v>
      </c>
      <c r="C3700" s="1">
        <v>42423</v>
      </c>
      <c r="D3700" s="1">
        <v>42431</v>
      </c>
      <c r="E3700">
        <v>2</v>
      </c>
      <c r="F3700" t="s">
        <v>301</v>
      </c>
      <c r="G3700" t="s">
        <v>16</v>
      </c>
      <c r="H3700" t="s">
        <v>3154</v>
      </c>
      <c r="I3700">
        <v>3.9618000000000002</v>
      </c>
      <c r="J3700">
        <v>67229.960000000006</v>
      </c>
      <c r="K3700">
        <v>16969.549194810439</v>
      </c>
    </row>
    <row r="3701" spans="1:11" x14ac:dyDescent="0.25">
      <c r="A3701" t="s">
        <v>218</v>
      </c>
      <c r="B3701" t="s">
        <v>219</v>
      </c>
      <c r="C3701" s="1">
        <v>42423</v>
      </c>
      <c r="D3701" s="1">
        <v>42431</v>
      </c>
      <c r="E3701">
        <v>2</v>
      </c>
      <c r="F3701" t="s">
        <v>301</v>
      </c>
      <c r="G3701" t="s">
        <v>16</v>
      </c>
      <c r="H3701" t="s">
        <v>6430</v>
      </c>
      <c r="I3701">
        <v>3.9618000000000002</v>
      </c>
      <c r="J3701">
        <v>67230</v>
      </c>
      <c r="K3701">
        <v>16969.559291231257</v>
      </c>
    </row>
    <row r="3702" spans="1:11" x14ac:dyDescent="0.25">
      <c r="A3702" t="s">
        <v>2238</v>
      </c>
      <c r="B3702" t="s">
        <v>2239</v>
      </c>
      <c r="C3702" s="1">
        <v>42413</v>
      </c>
      <c r="D3702" s="1">
        <v>42417</v>
      </c>
      <c r="E3702">
        <v>724</v>
      </c>
      <c r="F3702" t="s">
        <v>368</v>
      </c>
      <c r="G3702" t="s">
        <v>16</v>
      </c>
      <c r="H3702" t="s">
        <v>6431</v>
      </c>
      <c r="I3702">
        <v>3.9891000000000001</v>
      </c>
      <c r="J3702">
        <v>41349.339999999997</v>
      </c>
      <c r="K3702">
        <v>10365.581208793963</v>
      </c>
    </row>
    <row r="3703" spans="1:11" x14ac:dyDescent="0.25">
      <c r="A3703" t="s">
        <v>429</v>
      </c>
      <c r="B3703" t="s">
        <v>1216</v>
      </c>
      <c r="C3703" s="1">
        <v>42408</v>
      </c>
      <c r="D3703" s="1">
        <v>42417</v>
      </c>
      <c r="E3703">
        <v>5</v>
      </c>
      <c r="F3703" t="s">
        <v>675</v>
      </c>
      <c r="G3703" t="s">
        <v>16</v>
      </c>
      <c r="H3703" t="s">
        <v>3155</v>
      </c>
      <c r="I3703">
        <v>3.8975</v>
      </c>
      <c r="J3703">
        <v>27795.17</v>
      </c>
      <c r="K3703">
        <v>7131.5381654906996</v>
      </c>
    </row>
    <row r="3704" spans="1:11" x14ac:dyDescent="0.25">
      <c r="A3704" t="s">
        <v>473</v>
      </c>
      <c r="B3704" t="s">
        <v>1248</v>
      </c>
      <c r="C3704" s="1">
        <v>42410</v>
      </c>
      <c r="D3704" s="1">
        <v>42417</v>
      </c>
      <c r="E3704">
        <v>641</v>
      </c>
      <c r="F3704" t="s">
        <v>409</v>
      </c>
      <c r="G3704" t="s">
        <v>16</v>
      </c>
      <c r="H3704" t="s">
        <v>6432</v>
      </c>
      <c r="I3704">
        <v>3.8975</v>
      </c>
      <c r="J3704">
        <v>49504.52</v>
      </c>
      <c r="K3704">
        <v>12701.60872354073</v>
      </c>
    </row>
    <row r="3705" spans="1:11" x14ac:dyDescent="0.25">
      <c r="A3705" t="s">
        <v>473</v>
      </c>
      <c r="B3705" t="s">
        <v>1248</v>
      </c>
      <c r="C3705" s="1">
        <v>42408</v>
      </c>
      <c r="D3705" s="1">
        <v>42417</v>
      </c>
      <c r="E3705">
        <v>641</v>
      </c>
      <c r="F3705" t="s">
        <v>409</v>
      </c>
      <c r="G3705" t="s">
        <v>16</v>
      </c>
      <c r="H3705" t="s">
        <v>6433</v>
      </c>
      <c r="I3705">
        <v>3.8975</v>
      </c>
      <c r="J3705">
        <v>64222.080000000002</v>
      </c>
      <c r="K3705">
        <v>16477.762668377163</v>
      </c>
    </row>
    <row r="3706" spans="1:11" x14ac:dyDescent="0.25">
      <c r="A3706" t="s">
        <v>473</v>
      </c>
      <c r="B3706" t="s">
        <v>1248</v>
      </c>
      <c r="C3706" s="1">
        <v>42409</v>
      </c>
      <c r="D3706" s="1">
        <v>42417</v>
      </c>
      <c r="E3706">
        <v>641</v>
      </c>
      <c r="F3706" t="s">
        <v>409</v>
      </c>
      <c r="G3706" t="s">
        <v>16</v>
      </c>
      <c r="H3706" t="s">
        <v>3156</v>
      </c>
      <c r="I3706">
        <v>3.8975</v>
      </c>
      <c r="J3706">
        <v>48166.559999999998</v>
      </c>
      <c r="K3706">
        <v>12358.322001282873</v>
      </c>
    </row>
    <row r="3707" spans="1:11" x14ac:dyDescent="0.25">
      <c r="A3707" t="s">
        <v>473</v>
      </c>
      <c r="B3707" t="s">
        <v>1248</v>
      </c>
      <c r="C3707" s="1">
        <v>42410</v>
      </c>
      <c r="D3707" s="1">
        <v>42418</v>
      </c>
      <c r="E3707">
        <v>641</v>
      </c>
      <c r="F3707" t="s">
        <v>409</v>
      </c>
      <c r="G3707" t="s">
        <v>16</v>
      </c>
      <c r="H3707" t="s">
        <v>6434</v>
      </c>
      <c r="I3707">
        <v>3.8975</v>
      </c>
      <c r="J3707">
        <v>49504.52</v>
      </c>
      <c r="K3707">
        <v>12701.60872354073</v>
      </c>
    </row>
    <row r="3708" spans="1:11" x14ac:dyDescent="0.25">
      <c r="A3708" t="s">
        <v>354</v>
      </c>
      <c r="B3708" t="s">
        <v>1246</v>
      </c>
      <c r="C3708" s="1">
        <v>42396</v>
      </c>
      <c r="D3708" s="1">
        <v>42408</v>
      </c>
      <c r="E3708">
        <v>1922</v>
      </c>
      <c r="F3708" t="s">
        <v>301</v>
      </c>
      <c r="G3708" t="s">
        <v>16</v>
      </c>
      <c r="H3708" t="s">
        <v>3157</v>
      </c>
      <c r="I3708">
        <v>4.0967000000000002</v>
      </c>
      <c r="J3708">
        <v>27652.52</v>
      </c>
      <c r="K3708">
        <v>6749.94995972368</v>
      </c>
    </row>
    <row r="3709" spans="1:11" x14ac:dyDescent="0.25">
      <c r="A3709" t="s">
        <v>179</v>
      </c>
      <c r="B3709" t="s">
        <v>180</v>
      </c>
      <c r="C3709" s="1">
        <v>42401</v>
      </c>
      <c r="D3709" s="1">
        <v>42404</v>
      </c>
      <c r="E3709">
        <v>1</v>
      </c>
      <c r="F3709" t="s">
        <v>368</v>
      </c>
      <c r="G3709" t="s">
        <v>16</v>
      </c>
      <c r="H3709" t="s">
        <v>3158</v>
      </c>
      <c r="I3709">
        <v>4.0427999999999997</v>
      </c>
      <c r="J3709">
        <v>44487.71</v>
      </c>
      <c r="K3709">
        <v>11004.182744632433</v>
      </c>
    </row>
    <row r="3710" spans="1:11" x14ac:dyDescent="0.25">
      <c r="A3710" t="s">
        <v>179</v>
      </c>
      <c r="B3710" t="s">
        <v>180</v>
      </c>
      <c r="C3710" s="1">
        <v>42404</v>
      </c>
      <c r="D3710" s="1">
        <v>42406</v>
      </c>
      <c r="E3710">
        <v>1</v>
      </c>
      <c r="F3710" t="s">
        <v>368</v>
      </c>
      <c r="G3710" t="s">
        <v>16</v>
      </c>
      <c r="H3710" t="s">
        <v>3159</v>
      </c>
      <c r="I3710">
        <v>3.9558</v>
      </c>
      <c r="J3710">
        <v>63750.79</v>
      </c>
      <c r="K3710">
        <v>16115.776834015875</v>
      </c>
    </row>
    <row r="3711" spans="1:11" x14ac:dyDescent="0.25">
      <c r="A3711" t="s">
        <v>410</v>
      </c>
      <c r="B3711" t="s">
        <v>1250</v>
      </c>
      <c r="C3711" s="1">
        <v>42423</v>
      </c>
      <c r="D3711" s="1">
        <v>42429</v>
      </c>
      <c r="E3711">
        <v>2108</v>
      </c>
      <c r="F3711" t="s">
        <v>409</v>
      </c>
      <c r="G3711" t="s">
        <v>16</v>
      </c>
      <c r="H3711" t="s">
        <v>6435</v>
      </c>
      <c r="I3711">
        <v>3.9618000000000002</v>
      </c>
      <c r="J3711">
        <v>40852.11</v>
      </c>
      <c r="K3711">
        <v>10311.50234741784</v>
      </c>
    </row>
    <row r="3712" spans="1:11" x14ac:dyDescent="0.25">
      <c r="A3712" t="s">
        <v>428</v>
      </c>
      <c r="B3712" t="s">
        <v>1231</v>
      </c>
      <c r="C3712" s="1">
        <v>42422</v>
      </c>
      <c r="D3712" s="1">
        <v>42429</v>
      </c>
      <c r="E3712">
        <v>22</v>
      </c>
      <c r="F3712" t="s">
        <v>331</v>
      </c>
      <c r="G3712" t="s">
        <v>16</v>
      </c>
      <c r="H3712" t="s">
        <v>3160</v>
      </c>
      <c r="I3712">
        <v>4.0491999999999999</v>
      </c>
      <c r="J3712">
        <v>43206.99</v>
      </c>
      <c r="K3712">
        <v>10670.500345747309</v>
      </c>
    </row>
    <row r="3713" spans="1:11" x14ac:dyDescent="0.25">
      <c r="A3713" t="s">
        <v>1243</v>
      </c>
      <c r="B3713" t="s">
        <v>1244</v>
      </c>
      <c r="C3713" s="1">
        <v>42443</v>
      </c>
      <c r="D3713" s="1">
        <v>42446</v>
      </c>
      <c r="E3713">
        <v>2461</v>
      </c>
      <c r="F3713" t="s">
        <v>368</v>
      </c>
      <c r="G3713" t="s">
        <v>16</v>
      </c>
      <c r="H3713" t="s">
        <v>3161</v>
      </c>
      <c r="I3713">
        <v>3.6271</v>
      </c>
      <c r="J3713">
        <v>40159.629999999997</v>
      </c>
      <c r="K3713">
        <v>11072.10443605084</v>
      </c>
    </row>
    <row r="3714" spans="1:11" x14ac:dyDescent="0.25">
      <c r="A3714" t="s">
        <v>1243</v>
      </c>
      <c r="B3714" t="s">
        <v>1244</v>
      </c>
      <c r="C3714" s="1">
        <v>42443</v>
      </c>
      <c r="D3714" s="1">
        <v>42446</v>
      </c>
      <c r="E3714">
        <v>2461</v>
      </c>
      <c r="F3714" t="s">
        <v>368</v>
      </c>
      <c r="G3714" t="s">
        <v>16</v>
      </c>
      <c r="H3714" t="s">
        <v>3162</v>
      </c>
      <c r="I3714">
        <v>3.6271</v>
      </c>
      <c r="J3714">
        <v>40498.519999999997</v>
      </c>
      <c r="K3714">
        <v>11165.537206032368</v>
      </c>
    </row>
    <row r="3715" spans="1:11" x14ac:dyDescent="0.25">
      <c r="A3715" t="s">
        <v>147</v>
      </c>
      <c r="B3715" t="s">
        <v>148</v>
      </c>
      <c r="C3715" s="1">
        <v>42453</v>
      </c>
      <c r="D3715" s="1">
        <v>42458</v>
      </c>
      <c r="E3715">
        <v>3</v>
      </c>
      <c r="F3715" t="s">
        <v>331</v>
      </c>
      <c r="G3715" t="s">
        <v>16</v>
      </c>
      <c r="H3715" t="s">
        <v>6436</v>
      </c>
      <c r="I3715">
        <v>3.6530999999999998</v>
      </c>
      <c r="J3715">
        <v>70863</v>
      </c>
      <c r="K3715">
        <v>19398.045495606471</v>
      </c>
    </row>
    <row r="3716" spans="1:11" x14ac:dyDescent="0.25">
      <c r="A3716" t="s">
        <v>224</v>
      </c>
      <c r="B3716" t="s">
        <v>225</v>
      </c>
      <c r="C3716" s="1">
        <v>42452</v>
      </c>
      <c r="D3716" s="1">
        <v>42459</v>
      </c>
      <c r="E3716">
        <v>2</v>
      </c>
      <c r="F3716" t="s">
        <v>331</v>
      </c>
      <c r="G3716" t="s">
        <v>16</v>
      </c>
      <c r="H3716" t="s">
        <v>3163</v>
      </c>
      <c r="I3716">
        <v>3.6073</v>
      </c>
      <c r="J3716">
        <v>76954.41</v>
      </c>
      <c r="K3716">
        <v>21332.966484628392</v>
      </c>
    </row>
    <row r="3717" spans="1:11" x14ac:dyDescent="0.25">
      <c r="A3717" t="s">
        <v>149</v>
      </c>
      <c r="B3717" t="s">
        <v>150</v>
      </c>
      <c r="C3717" s="1">
        <v>42453</v>
      </c>
      <c r="D3717" s="1">
        <v>42460</v>
      </c>
      <c r="E3717">
        <v>2</v>
      </c>
      <c r="F3717" t="s">
        <v>331</v>
      </c>
      <c r="G3717" t="s">
        <v>16</v>
      </c>
      <c r="H3717" t="s">
        <v>3164</v>
      </c>
      <c r="I3717">
        <v>3.6530999999999998</v>
      </c>
      <c r="J3717">
        <v>65585.91</v>
      </c>
      <c r="K3717">
        <v>17953.494292518684</v>
      </c>
    </row>
    <row r="3718" spans="1:11" x14ac:dyDescent="0.25">
      <c r="A3718" t="s">
        <v>104</v>
      </c>
      <c r="B3718" t="s">
        <v>105</v>
      </c>
      <c r="C3718" s="1">
        <v>42453</v>
      </c>
      <c r="D3718" s="1">
        <v>42458</v>
      </c>
      <c r="E3718">
        <v>3</v>
      </c>
      <c r="F3718" t="s">
        <v>331</v>
      </c>
      <c r="G3718" t="s">
        <v>16</v>
      </c>
      <c r="H3718" t="s">
        <v>6437</v>
      </c>
      <c r="I3718">
        <v>3.6530999999999998</v>
      </c>
      <c r="J3718">
        <v>92487.72</v>
      </c>
      <c r="K3718">
        <v>25317.598751745092</v>
      </c>
    </row>
    <row r="3719" spans="1:11" x14ac:dyDescent="0.25">
      <c r="A3719" t="s">
        <v>128</v>
      </c>
      <c r="B3719" t="s">
        <v>129</v>
      </c>
      <c r="C3719" s="1">
        <v>42452</v>
      </c>
      <c r="D3719" s="1">
        <v>42458</v>
      </c>
      <c r="E3719">
        <v>2</v>
      </c>
      <c r="F3719" t="s">
        <v>331</v>
      </c>
      <c r="G3719" t="s">
        <v>16</v>
      </c>
      <c r="H3719" t="s">
        <v>6438</v>
      </c>
      <c r="I3719">
        <v>3.6073</v>
      </c>
      <c r="J3719">
        <v>100910.94</v>
      </c>
      <c r="K3719">
        <v>27974.091425720067</v>
      </c>
    </row>
    <row r="3720" spans="1:11" x14ac:dyDescent="0.25">
      <c r="A3720" t="s">
        <v>104</v>
      </c>
      <c r="B3720" t="s">
        <v>105</v>
      </c>
      <c r="C3720" s="1">
        <v>42453</v>
      </c>
      <c r="D3720" s="1">
        <v>42459</v>
      </c>
      <c r="E3720">
        <v>3</v>
      </c>
      <c r="F3720" t="s">
        <v>331</v>
      </c>
      <c r="G3720" t="s">
        <v>16</v>
      </c>
      <c r="H3720" t="s">
        <v>6439</v>
      </c>
      <c r="I3720">
        <v>3.6530999999999998</v>
      </c>
      <c r="J3720">
        <v>71453.460000000006</v>
      </c>
      <c r="K3720">
        <v>19559.678081629299</v>
      </c>
    </row>
    <row r="3721" spans="1:11" x14ac:dyDescent="0.25">
      <c r="A3721" t="s">
        <v>1220</v>
      </c>
      <c r="B3721" t="s">
        <v>1221</v>
      </c>
      <c r="C3721" s="1">
        <v>42453</v>
      </c>
      <c r="D3721" s="1">
        <v>42459</v>
      </c>
      <c r="E3721">
        <v>20</v>
      </c>
      <c r="F3721" t="s">
        <v>331</v>
      </c>
      <c r="G3721" t="s">
        <v>16</v>
      </c>
      <c r="H3721" t="s">
        <v>3165</v>
      </c>
      <c r="I3721">
        <v>3.6530999999999998</v>
      </c>
      <c r="J3721">
        <v>52635.19</v>
      </c>
      <c r="K3721">
        <v>14408.362760395281</v>
      </c>
    </row>
    <row r="3722" spans="1:11" x14ac:dyDescent="0.25">
      <c r="A3722" t="s">
        <v>1243</v>
      </c>
      <c r="B3722" t="s">
        <v>1244</v>
      </c>
      <c r="C3722" s="1">
        <v>42439</v>
      </c>
      <c r="D3722" s="1">
        <v>42440</v>
      </c>
      <c r="E3722">
        <v>2461</v>
      </c>
      <c r="F3722" t="s">
        <v>368</v>
      </c>
      <c r="G3722" t="s">
        <v>16</v>
      </c>
      <c r="H3722" t="s">
        <v>6440</v>
      </c>
      <c r="I3722">
        <v>3.7037</v>
      </c>
      <c r="J3722">
        <v>41061.89</v>
      </c>
      <c r="K3722">
        <v>11086.721386721387</v>
      </c>
    </row>
    <row r="3723" spans="1:11" x14ac:dyDescent="0.25">
      <c r="A3723" t="s">
        <v>1265</v>
      </c>
      <c r="B3723" t="s">
        <v>1266</v>
      </c>
      <c r="C3723" s="1">
        <v>42467</v>
      </c>
      <c r="D3723" s="1">
        <v>42474</v>
      </c>
      <c r="E3723">
        <v>4070</v>
      </c>
      <c r="F3723" t="s">
        <v>331</v>
      </c>
      <c r="G3723" t="s">
        <v>16</v>
      </c>
      <c r="H3723" t="s">
        <v>6441</v>
      </c>
      <c r="I3723">
        <v>3.6749000000000001</v>
      </c>
      <c r="J3723">
        <v>42048.21</v>
      </c>
      <c r="K3723">
        <v>11442.001142888243</v>
      </c>
    </row>
    <row r="3724" spans="1:11" x14ac:dyDescent="0.25">
      <c r="A3724" t="s">
        <v>147</v>
      </c>
      <c r="B3724" t="s">
        <v>148</v>
      </c>
      <c r="C3724" s="1">
        <v>42454</v>
      </c>
      <c r="D3724" s="1">
        <v>42461</v>
      </c>
      <c r="E3724">
        <v>3</v>
      </c>
      <c r="F3724" t="s">
        <v>331</v>
      </c>
      <c r="G3724" t="s">
        <v>16</v>
      </c>
      <c r="H3724" t="s">
        <v>6442</v>
      </c>
      <c r="I3724">
        <v>3.6947999999999999</v>
      </c>
      <c r="J3724">
        <v>90636</v>
      </c>
      <c r="K3724">
        <v>24530.691783046444</v>
      </c>
    </row>
    <row r="3725" spans="1:11" x14ac:dyDescent="0.25">
      <c r="A3725" t="s">
        <v>147</v>
      </c>
      <c r="B3725" t="s">
        <v>148</v>
      </c>
      <c r="C3725" s="1">
        <v>42457</v>
      </c>
      <c r="D3725" s="1">
        <v>42461</v>
      </c>
      <c r="E3725">
        <v>3</v>
      </c>
      <c r="F3725" t="s">
        <v>331</v>
      </c>
      <c r="G3725" t="s">
        <v>16</v>
      </c>
      <c r="H3725" t="s">
        <v>6443</v>
      </c>
      <c r="I3725">
        <v>3.6947999999999999</v>
      </c>
      <c r="J3725">
        <v>94107</v>
      </c>
      <c r="K3725">
        <v>25470.120168886002</v>
      </c>
    </row>
    <row r="3726" spans="1:11" x14ac:dyDescent="0.25">
      <c r="A3726" t="s">
        <v>147</v>
      </c>
      <c r="B3726" t="s">
        <v>148</v>
      </c>
      <c r="C3726" s="1">
        <v>42451</v>
      </c>
      <c r="D3726" s="1">
        <v>42462</v>
      </c>
      <c r="E3726">
        <v>3</v>
      </c>
      <c r="F3726" t="s">
        <v>331</v>
      </c>
      <c r="G3726" t="s">
        <v>16</v>
      </c>
      <c r="H3726" t="s">
        <v>3166</v>
      </c>
      <c r="I3726">
        <v>3.6229</v>
      </c>
      <c r="J3726">
        <v>70161</v>
      </c>
      <c r="K3726">
        <v>19365.977531811532</v>
      </c>
    </row>
    <row r="3727" spans="1:11" x14ac:dyDescent="0.25">
      <c r="A3727" t="s">
        <v>147</v>
      </c>
      <c r="B3727" t="s">
        <v>148</v>
      </c>
      <c r="C3727" s="1">
        <v>42454</v>
      </c>
      <c r="D3727" s="1">
        <v>42462</v>
      </c>
      <c r="E3727">
        <v>3</v>
      </c>
      <c r="F3727" t="s">
        <v>331</v>
      </c>
      <c r="G3727" t="s">
        <v>16</v>
      </c>
      <c r="H3727" t="s">
        <v>3167</v>
      </c>
      <c r="I3727">
        <v>3.6947999999999999</v>
      </c>
      <c r="J3727">
        <v>61035</v>
      </c>
      <c r="K3727">
        <v>16519.162065605717</v>
      </c>
    </row>
    <row r="3728" spans="1:11" x14ac:dyDescent="0.25">
      <c r="A3728" t="s">
        <v>147</v>
      </c>
      <c r="B3728" t="s">
        <v>148</v>
      </c>
      <c r="C3728" s="1">
        <v>42458</v>
      </c>
      <c r="D3728" s="1">
        <v>42462</v>
      </c>
      <c r="E3728">
        <v>3</v>
      </c>
      <c r="F3728" t="s">
        <v>331</v>
      </c>
      <c r="G3728" t="s">
        <v>16</v>
      </c>
      <c r="H3728" t="s">
        <v>6444</v>
      </c>
      <c r="I3728">
        <v>3.6408</v>
      </c>
      <c r="J3728">
        <v>97929</v>
      </c>
      <c r="K3728">
        <v>26897.65985497693</v>
      </c>
    </row>
    <row r="3729" spans="1:11" x14ac:dyDescent="0.25">
      <c r="A3729" t="s">
        <v>488</v>
      </c>
      <c r="B3729" t="s">
        <v>1283</v>
      </c>
      <c r="C3729" s="1">
        <v>42430</v>
      </c>
      <c r="D3729" s="1">
        <v>42443</v>
      </c>
      <c r="E3729">
        <v>530</v>
      </c>
      <c r="F3729" t="s">
        <v>409</v>
      </c>
      <c r="G3729" t="s">
        <v>16</v>
      </c>
      <c r="H3729" t="s">
        <v>3168</v>
      </c>
      <c r="I3729">
        <v>3.9796</v>
      </c>
      <c r="J3729">
        <v>67704</v>
      </c>
      <c r="K3729">
        <v>17012.765102020305</v>
      </c>
    </row>
    <row r="3730" spans="1:11" x14ac:dyDescent="0.25">
      <c r="A3730" t="s">
        <v>147</v>
      </c>
      <c r="B3730" t="s">
        <v>148</v>
      </c>
      <c r="C3730" s="1">
        <v>42453</v>
      </c>
      <c r="D3730" s="1">
        <v>42464</v>
      </c>
      <c r="E3730">
        <v>3</v>
      </c>
      <c r="F3730" t="s">
        <v>331</v>
      </c>
      <c r="G3730" t="s">
        <v>16</v>
      </c>
      <c r="H3730" t="s">
        <v>3169</v>
      </c>
      <c r="I3730">
        <v>3.6530999999999998</v>
      </c>
      <c r="J3730">
        <v>95667</v>
      </c>
      <c r="K3730">
        <v>26187.895212285457</v>
      </c>
    </row>
    <row r="3731" spans="1:11" x14ac:dyDescent="0.25">
      <c r="A3731" t="s">
        <v>147</v>
      </c>
      <c r="B3731" t="s">
        <v>148</v>
      </c>
      <c r="C3731" s="1">
        <v>42458</v>
      </c>
      <c r="D3731" s="1">
        <v>42464</v>
      </c>
      <c r="E3731">
        <v>3</v>
      </c>
      <c r="F3731" t="s">
        <v>331</v>
      </c>
      <c r="G3731" t="s">
        <v>16</v>
      </c>
      <c r="H3731" t="s">
        <v>3170</v>
      </c>
      <c r="I3731">
        <v>3.6408</v>
      </c>
      <c r="J3731">
        <v>81055.649999999994</v>
      </c>
      <c r="K3731">
        <v>22263.142715886617</v>
      </c>
    </row>
    <row r="3732" spans="1:11" x14ac:dyDescent="0.25">
      <c r="A3732" t="s">
        <v>3171</v>
      </c>
      <c r="B3732" t="s">
        <v>3172</v>
      </c>
      <c r="C3732" s="1">
        <v>42432</v>
      </c>
      <c r="D3732" s="1">
        <v>42459</v>
      </c>
      <c r="E3732">
        <v>191</v>
      </c>
      <c r="F3732" t="s">
        <v>278</v>
      </c>
      <c r="G3732" t="s">
        <v>16</v>
      </c>
      <c r="H3732" t="s">
        <v>3173</v>
      </c>
      <c r="I3732">
        <v>3.9116</v>
      </c>
      <c r="J3732">
        <v>47917.1</v>
      </c>
      <c r="K3732">
        <v>12250</v>
      </c>
    </row>
    <row r="3733" spans="1:11" x14ac:dyDescent="0.25">
      <c r="A3733" t="s">
        <v>1243</v>
      </c>
      <c r="B3733" t="s">
        <v>1244</v>
      </c>
      <c r="C3733" s="1">
        <v>42443</v>
      </c>
      <c r="D3733" s="1">
        <v>42446</v>
      </c>
      <c r="E3733">
        <v>2461</v>
      </c>
      <c r="F3733" t="s">
        <v>368</v>
      </c>
      <c r="G3733" t="s">
        <v>16</v>
      </c>
      <c r="H3733" t="s">
        <v>6445</v>
      </c>
      <c r="I3733">
        <v>3.6271</v>
      </c>
      <c r="J3733">
        <v>39503</v>
      </c>
      <c r="K3733">
        <v>10891.070000827107</v>
      </c>
    </row>
    <row r="3734" spans="1:11" x14ac:dyDescent="0.25">
      <c r="A3734" t="s">
        <v>147</v>
      </c>
      <c r="B3734" t="s">
        <v>148</v>
      </c>
      <c r="C3734" s="1">
        <v>42454</v>
      </c>
      <c r="D3734" s="1">
        <v>42460</v>
      </c>
      <c r="E3734">
        <v>3</v>
      </c>
      <c r="F3734" t="s">
        <v>331</v>
      </c>
      <c r="G3734" t="s">
        <v>16</v>
      </c>
      <c r="H3734" t="s">
        <v>6446</v>
      </c>
      <c r="I3734">
        <v>3.6947999999999999</v>
      </c>
      <c r="J3734">
        <v>72072</v>
      </c>
      <c r="K3734">
        <v>19506.333225073075</v>
      </c>
    </row>
    <row r="3735" spans="1:11" x14ac:dyDescent="0.25">
      <c r="A3735" t="s">
        <v>147</v>
      </c>
      <c r="B3735" t="s">
        <v>148</v>
      </c>
      <c r="C3735" s="1">
        <v>42457</v>
      </c>
      <c r="D3735" s="1">
        <v>42460</v>
      </c>
      <c r="E3735">
        <v>3</v>
      </c>
      <c r="F3735" t="s">
        <v>331</v>
      </c>
      <c r="G3735" t="s">
        <v>16</v>
      </c>
      <c r="H3735" t="s">
        <v>6447</v>
      </c>
      <c r="I3735">
        <v>3.6947999999999999</v>
      </c>
      <c r="J3735">
        <v>70278</v>
      </c>
      <c r="K3735">
        <v>19020.785969470606</v>
      </c>
    </row>
    <row r="3736" spans="1:11" x14ac:dyDescent="0.25">
      <c r="A3736" t="s">
        <v>1265</v>
      </c>
      <c r="B3736" t="s">
        <v>1266</v>
      </c>
      <c r="C3736" s="1">
        <v>42468</v>
      </c>
      <c r="D3736" s="1">
        <v>42473</v>
      </c>
      <c r="E3736">
        <v>4070</v>
      </c>
      <c r="F3736" t="s">
        <v>331</v>
      </c>
      <c r="G3736" t="s">
        <v>16</v>
      </c>
      <c r="H3736" t="s">
        <v>3174</v>
      </c>
      <c r="I3736">
        <v>3.6920999999999999</v>
      </c>
      <c r="J3736">
        <v>40926.93</v>
      </c>
      <c r="K3736">
        <v>11085.000406272853</v>
      </c>
    </row>
    <row r="3737" spans="1:11" x14ac:dyDescent="0.25">
      <c r="A3737" t="s">
        <v>431</v>
      </c>
      <c r="B3737" t="s">
        <v>6071</v>
      </c>
      <c r="C3737" s="1">
        <v>42471</v>
      </c>
      <c r="D3737" s="1">
        <v>42473</v>
      </c>
      <c r="E3737">
        <v>4071</v>
      </c>
      <c r="F3737" t="s">
        <v>368</v>
      </c>
      <c r="G3737" t="s">
        <v>16</v>
      </c>
      <c r="H3737" t="s">
        <v>4891</v>
      </c>
      <c r="I3737">
        <v>3.6385000000000001</v>
      </c>
      <c r="J3737">
        <v>49115.7</v>
      </c>
      <c r="K3737">
        <v>13498.886903943932</v>
      </c>
    </row>
    <row r="3738" spans="1:11" x14ac:dyDescent="0.25">
      <c r="A3738" t="s">
        <v>552</v>
      </c>
      <c r="B3738" t="s">
        <v>3976</v>
      </c>
      <c r="C3738" s="1">
        <v>42457</v>
      </c>
      <c r="D3738" s="1">
        <v>42464</v>
      </c>
      <c r="E3738">
        <v>2</v>
      </c>
      <c r="F3738" t="s">
        <v>301</v>
      </c>
      <c r="G3738" t="s">
        <v>16</v>
      </c>
      <c r="H3738" t="s">
        <v>6448</v>
      </c>
      <c r="I3738">
        <v>3.6947999999999999</v>
      </c>
      <c r="J3738">
        <v>14890.01</v>
      </c>
      <c r="K3738">
        <v>4029.9907978780989</v>
      </c>
    </row>
    <row r="3739" spans="1:11" x14ac:dyDescent="0.25">
      <c r="A3739" t="s">
        <v>270</v>
      </c>
      <c r="B3739" t="s">
        <v>271</v>
      </c>
      <c r="C3739" s="1">
        <v>42514</v>
      </c>
      <c r="D3739" s="1">
        <v>42516</v>
      </c>
      <c r="E3739">
        <v>3</v>
      </c>
      <c r="F3739" t="s">
        <v>368</v>
      </c>
      <c r="G3739" t="s">
        <v>16</v>
      </c>
      <c r="H3739" t="s">
        <v>6449</v>
      </c>
      <c r="I3739">
        <v>3.5659999999999998</v>
      </c>
      <c r="J3739">
        <v>35027.83</v>
      </c>
      <c r="K3739">
        <v>9822.7229388670785</v>
      </c>
    </row>
    <row r="3740" spans="1:11" x14ac:dyDescent="0.25">
      <c r="A3740" t="s">
        <v>270</v>
      </c>
      <c r="B3740" t="s">
        <v>271</v>
      </c>
      <c r="C3740" s="1">
        <v>42513</v>
      </c>
      <c r="D3740" s="1">
        <v>42516</v>
      </c>
      <c r="E3740">
        <v>3</v>
      </c>
      <c r="F3740" t="s">
        <v>368</v>
      </c>
      <c r="G3740" t="s">
        <v>16</v>
      </c>
      <c r="H3740" t="s">
        <v>5981</v>
      </c>
      <c r="I3740">
        <v>3.5419</v>
      </c>
      <c r="J3740">
        <v>35354.199999999997</v>
      </c>
      <c r="K3740">
        <v>9981.704734746887</v>
      </c>
    </row>
    <row r="3741" spans="1:11" x14ac:dyDescent="0.25">
      <c r="A3741" t="s">
        <v>270</v>
      </c>
      <c r="B3741" t="s">
        <v>271</v>
      </c>
      <c r="C3741" s="1">
        <v>42517</v>
      </c>
      <c r="D3741" s="1">
        <v>42517</v>
      </c>
      <c r="E3741">
        <v>3</v>
      </c>
      <c r="F3741" t="s">
        <v>368</v>
      </c>
      <c r="G3741" t="s">
        <v>16</v>
      </c>
      <c r="H3741" t="s">
        <v>3175</v>
      </c>
      <c r="I3741">
        <v>3.5804</v>
      </c>
      <c r="J3741">
        <v>35520.32</v>
      </c>
      <c r="K3741">
        <v>9920.7686292034414</v>
      </c>
    </row>
    <row r="3742" spans="1:11" x14ac:dyDescent="0.25">
      <c r="A3742" t="s">
        <v>270</v>
      </c>
      <c r="B3742" t="s">
        <v>271</v>
      </c>
      <c r="C3742" s="1">
        <v>42519</v>
      </c>
      <c r="D3742" s="1">
        <v>42521</v>
      </c>
      <c r="E3742">
        <v>3</v>
      </c>
      <c r="F3742" t="s">
        <v>368</v>
      </c>
      <c r="G3742" t="s">
        <v>16</v>
      </c>
      <c r="H3742" t="s">
        <v>6450</v>
      </c>
      <c r="I3742">
        <v>3.6168</v>
      </c>
      <c r="J3742">
        <v>35881.47</v>
      </c>
      <c r="K3742">
        <v>9920.77803583278</v>
      </c>
    </row>
    <row r="3743" spans="1:11" x14ac:dyDescent="0.25">
      <c r="A3743" t="s">
        <v>270</v>
      </c>
      <c r="B3743" t="s">
        <v>271</v>
      </c>
      <c r="C3743" s="1">
        <v>42520</v>
      </c>
      <c r="D3743" s="1">
        <v>42522</v>
      </c>
      <c r="E3743">
        <v>3</v>
      </c>
      <c r="F3743" t="s">
        <v>368</v>
      </c>
      <c r="G3743" t="s">
        <v>16</v>
      </c>
      <c r="H3743" t="s">
        <v>3176</v>
      </c>
      <c r="I3743">
        <v>3.6168</v>
      </c>
      <c r="J3743">
        <v>35948.550000000003</v>
      </c>
      <c r="K3743">
        <v>9939.3248175182489</v>
      </c>
    </row>
    <row r="3744" spans="1:11" x14ac:dyDescent="0.25">
      <c r="A3744" t="s">
        <v>270</v>
      </c>
      <c r="B3744" t="s">
        <v>271</v>
      </c>
      <c r="C3744" s="1">
        <v>42520</v>
      </c>
      <c r="D3744" s="1">
        <v>42522</v>
      </c>
      <c r="E3744">
        <v>3</v>
      </c>
      <c r="F3744" t="s">
        <v>368</v>
      </c>
      <c r="G3744" t="s">
        <v>16</v>
      </c>
      <c r="H3744" t="s">
        <v>3177</v>
      </c>
      <c r="I3744">
        <v>3.6168</v>
      </c>
      <c r="J3744">
        <v>48004.88</v>
      </c>
      <c r="K3744">
        <v>13272.749391727493</v>
      </c>
    </row>
    <row r="3745" spans="1:11" x14ac:dyDescent="0.25">
      <c r="A3745" t="s">
        <v>90</v>
      </c>
      <c r="B3745" t="s">
        <v>91</v>
      </c>
      <c r="C3745" s="1">
        <v>42535</v>
      </c>
      <c r="D3745" s="1">
        <v>42541</v>
      </c>
      <c r="E3745">
        <v>11</v>
      </c>
      <c r="F3745" t="s">
        <v>331</v>
      </c>
      <c r="G3745" t="s">
        <v>16</v>
      </c>
      <c r="H3745" t="s">
        <v>3178</v>
      </c>
      <c r="I3745">
        <v>3.4533</v>
      </c>
      <c r="J3745">
        <v>45954.75</v>
      </c>
      <c r="K3745">
        <v>13307.488489271132</v>
      </c>
    </row>
    <row r="3746" spans="1:11" x14ac:dyDescent="0.25">
      <c r="A3746" t="s">
        <v>270</v>
      </c>
      <c r="B3746" t="s">
        <v>271</v>
      </c>
      <c r="C3746" s="1">
        <v>42521</v>
      </c>
      <c r="D3746" s="1">
        <v>42527</v>
      </c>
      <c r="E3746">
        <v>3</v>
      </c>
      <c r="F3746" t="s">
        <v>368</v>
      </c>
      <c r="G3746" t="s">
        <v>16</v>
      </c>
      <c r="H3746" t="s">
        <v>3179</v>
      </c>
      <c r="I3746">
        <v>3.5996999999999999</v>
      </c>
      <c r="J3746">
        <v>48893.89</v>
      </c>
      <c r="K3746">
        <v>13582.768008445148</v>
      </c>
    </row>
    <row r="3747" spans="1:11" x14ac:dyDescent="0.25">
      <c r="A3747" t="s">
        <v>90</v>
      </c>
      <c r="B3747" t="s">
        <v>91</v>
      </c>
      <c r="C3747" s="1">
        <v>42536</v>
      </c>
      <c r="D3747" s="1">
        <v>42542</v>
      </c>
      <c r="E3747">
        <v>11</v>
      </c>
      <c r="F3747" t="s">
        <v>331</v>
      </c>
      <c r="G3747" t="s">
        <v>16</v>
      </c>
      <c r="H3747" t="s">
        <v>3180</v>
      </c>
      <c r="I3747">
        <v>3.4839000000000002</v>
      </c>
      <c r="J3747">
        <v>62411.03</v>
      </c>
      <c r="K3747">
        <v>17914.12784523092</v>
      </c>
    </row>
    <row r="3748" spans="1:11" x14ac:dyDescent="0.25">
      <c r="A3748" t="s">
        <v>90</v>
      </c>
      <c r="B3748" t="s">
        <v>91</v>
      </c>
      <c r="C3748" s="1">
        <v>42537</v>
      </c>
      <c r="D3748" s="1">
        <v>42542</v>
      </c>
      <c r="E3748">
        <v>11</v>
      </c>
      <c r="F3748" t="s">
        <v>331</v>
      </c>
      <c r="G3748" t="s">
        <v>16</v>
      </c>
      <c r="H3748" t="s">
        <v>6451</v>
      </c>
      <c r="I3748">
        <v>3.4767999999999999</v>
      </c>
      <c r="J3748">
        <v>45303.87</v>
      </c>
      <c r="K3748">
        <v>13030.335365853658</v>
      </c>
    </row>
    <row r="3749" spans="1:11" x14ac:dyDescent="0.25">
      <c r="A3749" t="s">
        <v>90</v>
      </c>
      <c r="B3749" t="s">
        <v>91</v>
      </c>
      <c r="C3749" s="1">
        <v>42536</v>
      </c>
      <c r="D3749" s="1">
        <v>42542</v>
      </c>
      <c r="E3749">
        <v>11</v>
      </c>
      <c r="F3749" t="s">
        <v>331</v>
      </c>
      <c r="G3749" t="s">
        <v>16</v>
      </c>
      <c r="H3749" t="s">
        <v>6452</v>
      </c>
      <c r="I3749">
        <v>3.4839000000000002</v>
      </c>
      <c r="J3749">
        <v>45193.34</v>
      </c>
      <c r="K3749">
        <v>12972.054306954849</v>
      </c>
    </row>
    <row r="3750" spans="1:11" x14ac:dyDescent="0.25">
      <c r="A3750" t="s">
        <v>90</v>
      </c>
      <c r="B3750" t="s">
        <v>91</v>
      </c>
      <c r="C3750" s="1">
        <v>42537</v>
      </c>
      <c r="D3750" s="1">
        <v>42542</v>
      </c>
      <c r="E3750">
        <v>11</v>
      </c>
      <c r="F3750" t="s">
        <v>331</v>
      </c>
      <c r="G3750" t="s">
        <v>16</v>
      </c>
      <c r="H3750" t="s">
        <v>3048</v>
      </c>
      <c r="I3750">
        <v>3.4767999999999999</v>
      </c>
      <c r="J3750">
        <v>45205.62</v>
      </c>
      <c r="K3750">
        <v>13002.076622181316</v>
      </c>
    </row>
    <row r="3751" spans="1:11" x14ac:dyDescent="0.25">
      <c r="A3751" t="s">
        <v>170</v>
      </c>
      <c r="B3751" t="s">
        <v>171</v>
      </c>
      <c r="C3751" s="1">
        <v>42553</v>
      </c>
      <c r="D3751" s="1">
        <v>42557</v>
      </c>
      <c r="E3751">
        <v>8</v>
      </c>
      <c r="F3751" t="s">
        <v>331</v>
      </c>
      <c r="G3751" t="s">
        <v>16</v>
      </c>
      <c r="H3751" t="s">
        <v>6453</v>
      </c>
      <c r="I3751">
        <v>3.2298</v>
      </c>
      <c r="J3751">
        <v>38073.919999999998</v>
      </c>
      <c r="K3751">
        <v>11788.321258282247</v>
      </c>
    </row>
    <row r="3752" spans="1:11" x14ac:dyDescent="0.25">
      <c r="A3752" t="s">
        <v>212</v>
      </c>
      <c r="B3752" t="s">
        <v>213</v>
      </c>
      <c r="C3752" s="1">
        <v>42553</v>
      </c>
      <c r="D3752" s="1">
        <v>42557</v>
      </c>
      <c r="E3752">
        <v>1</v>
      </c>
      <c r="F3752" t="s">
        <v>368</v>
      </c>
      <c r="G3752" t="s">
        <v>16</v>
      </c>
      <c r="H3752" t="s">
        <v>6454</v>
      </c>
      <c r="I3752">
        <v>3.2298</v>
      </c>
      <c r="J3752">
        <v>57856.62</v>
      </c>
      <c r="K3752">
        <v>17913.375441203789</v>
      </c>
    </row>
    <row r="3753" spans="1:11" x14ac:dyDescent="0.25">
      <c r="A3753" t="s">
        <v>160</v>
      </c>
      <c r="B3753" t="s">
        <v>161</v>
      </c>
      <c r="C3753" s="1">
        <v>42570</v>
      </c>
      <c r="D3753" s="1">
        <v>42572</v>
      </c>
      <c r="E3753">
        <v>9</v>
      </c>
      <c r="F3753" t="s">
        <v>368</v>
      </c>
      <c r="G3753" t="s">
        <v>16</v>
      </c>
      <c r="H3753" t="s">
        <v>3181</v>
      </c>
      <c r="I3753">
        <v>3.2633999999999999</v>
      </c>
      <c r="J3753">
        <v>33461.120000000003</v>
      </c>
      <c r="K3753">
        <v>10253.453453453454</v>
      </c>
    </row>
    <row r="3754" spans="1:11" x14ac:dyDescent="0.25">
      <c r="A3754" t="s">
        <v>90</v>
      </c>
      <c r="B3754" t="s">
        <v>91</v>
      </c>
      <c r="C3754" s="1">
        <v>42536</v>
      </c>
      <c r="D3754" s="1">
        <v>42544</v>
      </c>
      <c r="E3754">
        <v>11</v>
      </c>
      <c r="F3754" t="s">
        <v>331</v>
      </c>
      <c r="G3754" t="s">
        <v>16</v>
      </c>
      <c r="H3754" t="s">
        <v>6455</v>
      </c>
      <c r="I3754">
        <v>3.4839000000000002</v>
      </c>
      <c r="J3754">
        <v>45991.6</v>
      </c>
      <c r="K3754">
        <v>13201.182582737736</v>
      </c>
    </row>
    <row r="3755" spans="1:11" x14ac:dyDescent="0.25">
      <c r="A3755" t="s">
        <v>90</v>
      </c>
      <c r="B3755" t="s">
        <v>91</v>
      </c>
      <c r="C3755" s="1">
        <v>42537</v>
      </c>
      <c r="D3755" s="1">
        <v>42544</v>
      </c>
      <c r="E3755">
        <v>11</v>
      </c>
      <c r="F3755" t="s">
        <v>331</v>
      </c>
      <c r="G3755" t="s">
        <v>16</v>
      </c>
      <c r="H3755" t="s">
        <v>3182</v>
      </c>
      <c r="I3755">
        <v>3.4767999999999999</v>
      </c>
      <c r="J3755">
        <v>45414.400000000001</v>
      </c>
      <c r="K3755">
        <v>13062.126092959043</v>
      </c>
    </row>
    <row r="3756" spans="1:11" x14ac:dyDescent="0.25">
      <c r="A3756" t="s">
        <v>90</v>
      </c>
      <c r="B3756" t="s">
        <v>91</v>
      </c>
      <c r="C3756" s="1">
        <v>42536</v>
      </c>
      <c r="D3756" s="1">
        <v>42548</v>
      </c>
      <c r="E3756">
        <v>11</v>
      </c>
      <c r="F3756" t="s">
        <v>331</v>
      </c>
      <c r="G3756" t="s">
        <v>16</v>
      </c>
      <c r="H3756" t="s">
        <v>6456</v>
      </c>
      <c r="I3756">
        <v>3.4839000000000002</v>
      </c>
      <c r="J3756">
        <v>44984.57</v>
      </c>
      <c r="K3756">
        <v>12912.130084101151</v>
      </c>
    </row>
    <row r="3757" spans="1:11" x14ac:dyDescent="0.25">
      <c r="A3757" t="s">
        <v>90</v>
      </c>
      <c r="B3757" t="s">
        <v>91</v>
      </c>
      <c r="C3757" s="1">
        <v>42537</v>
      </c>
      <c r="D3757" s="1">
        <v>42543</v>
      </c>
      <c r="E3757">
        <v>11</v>
      </c>
      <c r="F3757" t="s">
        <v>331</v>
      </c>
      <c r="G3757" t="s">
        <v>16</v>
      </c>
      <c r="H3757" t="s">
        <v>3183</v>
      </c>
      <c r="I3757">
        <v>3.4767999999999999</v>
      </c>
      <c r="J3757">
        <v>44874.04</v>
      </c>
      <c r="K3757">
        <v>12906.707317073171</v>
      </c>
    </row>
    <row r="3758" spans="1:11" x14ac:dyDescent="0.25">
      <c r="A3758" t="s">
        <v>90</v>
      </c>
      <c r="B3758" t="s">
        <v>91</v>
      </c>
      <c r="C3758" s="1">
        <v>42535</v>
      </c>
      <c r="D3758" s="1">
        <v>42543</v>
      </c>
      <c r="E3758">
        <v>11</v>
      </c>
      <c r="F3758" t="s">
        <v>331</v>
      </c>
      <c r="G3758" t="s">
        <v>16</v>
      </c>
      <c r="H3758" t="s">
        <v>6457</v>
      </c>
      <c r="I3758">
        <v>3.4533</v>
      </c>
      <c r="J3758">
        <v>63884.72</v>
      </c>
      <c r="K3758">
        <v>18499.614861147307</v>
      </c>
    </row>
    <row r="3759" spans="1:11" x14ac:dyDescent="0.25">
      <c r="A3759" t="s">
        <v>90</v>
      </c>
      <c r="B3759" t="s">
        <v>91</v>
      </c>
      <c r="C3759" s="1">
        <v>42536</v>
      </c>
      <c r="D3759" s="1">
        <v>42543</v>
      </c>
      <c r="E3759">
        <v>11</v>
      </c>
      <c r="F3759" t="s">
        <v>331</v>
      </c>
      <c r="G3759" t="s">
        <v>16</v>
      </c>
      <c r="H3759" t="s">
        <v>3184</v>
      </c>
      <c r="I3759">
        <v>3.4839000000000002</v>
      </c>
      <c r="J3759">
        <v>44591.58</v>
      </c>
      <c r="K3759">
        <v>12799.328338930509</v>
      </c>
    </row>
    <row r="3760" spans="1:11" x14ac:dyDescent="0.25">
      <c r="A3760" t="s">
        <v>151</v>
      </c>
      <c r="B3760" t="s">
        <v>152</v>
      </c>
      <c r="C3760" s="1">
        <v>42541</v>
      </c>
      <c r="D3760" s="1">
        <v>42557</v>
      </c>
      <c r="E3760">
        <v>9</v>
      </c>
      <c r="F3760" t="s">
        <v>331</v>
      </c>
      <c r="G3760" t="s">
        <v>16</v>
      </c>
      <c r="H3760" t="s">
        <v>3185</v>
      </c>
      <c r="I3760">
        <v>3.4371999999999998</v>
      </c>
      <c r="J3760">
        <v>72887.5</v>
      </c>
      <c r="K3760">
        <v>21205.487024322123</v>
      </c>
    </row>
    <row r="3761" spans="1:11" x14ac:dyDescent="0.25">
      <c r="A3761" t="s">
        <v>236</v>
      </c>
      <c r="B3761" t="s">
        <v>237</v>
      </c>
      <c r="C3761" s="1">
        <v>42577</v>
      </c>
      <c r="D3761" s="1">
        <v>42597</v>
      </c>
      <c r="E3761">
        <v>3</v>
      </c>
      <c r="F3761" t="s">
        <v>301</v>
      </c>
      <c r="G3761" t="s">
        <v>16</v>
      </c>
      <c r="H3761" t="s">
        <v>3186</v>
      </c>
      <c r="I3761">
        <v>3.2818999999999998</v>
      </c>
      <c r="J3761">
        <v>51475.39</v>
      </c>
      <c r="K3761">
        <v>15684.63085407843</v>
      </c>
    </row>
    <row r="3762" spans="1:11" x14ac:dyDescent="0.25">
      <c r="A3762" t="s">
        <v>181</v>
      </c>
      <c r="B3762" t="s">
        <v>182</v>
      </c>
      <c r="C3762" s="1">
        <v>42591</v>
      </c>
      <c r="D3762" s="1">
        <v>42592</v>
      </c>
      <c r="E3762">
        <v>1</v>
      </c>
      <c r="F3762" t="s">
        <v>368</v>
      </c>
      <c r="G3762" t="s">
        <v>16</v>
      </c>
      <c r="H3762" t="s">
        <v>6458</v>
      </c>
      <c r="I3762">
        <v>3.1770999999999998</v>
      </c>
      <c r="J3762">
        <v>55665.64</v>
      </c>
      <c r="K3762">
        <v>17520.896414969626</v>
      </c>
    </row>
    <row r="3763" spans="1:11" x14ac:dyDescent="0.25">
      <c r="A3763" t="s">
        <v>256</v>
      </c>
      <c r="B3763" t="s">
        <v>257</v>
      </c>
      <c r="C3763" s="1">
        <v>42577</v>
      </c>
      <c r="D3763" s="1">
        <v>42598</v>
      </c>
      <c r="E3763">
        <v>4</v>
      </c>
      <c r="F3763" t="s">
        <v>301</v>
      </c>
      <c r="G3763" t="s">
        <v>16</v>
      </c>
      <c r="H3763" t="s">
        <v>3187</v>
      </c>
      <c r="I3763">
        <v>3.2818999999999998</v>
      </c>
      <c r="J3763">
        <v>20723.98</v>
      </c>
      <c r="K3763">
        <v>6314.6287211676163</v>
      </c>
    </row>
    <row r="3764" spans="1:11" x14ac:dyDescent="0.25">
      <c r="A3764" t="s">
        <v>256</v>
      </c>
      <c r="B3764" t="s">
        <v>257</v>
      </c>
      <c r="C3764" s="1">
        <v>42576</v>
      </c>
      <c r="D3764" s="1">
        <v>42593</v>
      </c>
      <c r="E3764">
        <v>4</v>
      </c>
      <c r="F3764" t="s">
        <v>301</v>
      </c>
      <c r="G3764" t="s">
        <v>16</v>
      </c>
      <c r="H3764" t="s">
        <v>6459</v>
      </c>
      <c r="I3764">
        <v>3.2854000000000001</v>
      </c>
      <c r="J3764">
        <v>3294.6</v>
      </c>
      <c r="K3764">
        <v>1002.8002678517075</v>
      </c>
    </row>
    <row r="3765" spans="1:11" x14ac:dyDescent="0.25">
      <c r="A3765" t="s">
        <v>258</v>
      </c>
      <c r="B3765" t="s">
        <v>259</v>
      </c>
      <c r="C3765" s="1">
        <v>42576</v>
      </c>
      <c r="D3765" s="1">
        <v>42593</v>
      </c>
      <c r="E3765">
        <v>3</v>
      </c>
      <c r="F3765" t="s">
        <v>301</v>
      </c>
      <c r="G3765" t="s">
        <v>16</v>
      </c>
      <c r="H3765" t="s">
        <v>6460</v>
      </c>
      <c r="I3765">
        <v>3.2854000000000001</v>
      </c>
      <c r="J3765">
        <v>3843</v>
      </c>
      <c r="K3765">
        <v>1169.7205819687101</v>
      </c>
    </row>
    <row r="3766" spans="1:11" x14ac:dyDescent="0.25">
      <c r="A3766" t="s">
        <v>181</v>
      </c>
      <c r="B3766" t="s">
        <v>182</v>
      </c>
      <c r="C3766" s="1">
        <v>42584</v>
      </c>
      <c r="D3766" s="1">
        <v>42594</v>
      </c>
      <c r="E3766">
        <v>1</v>
      </c>
      <c r="F3766" t="s">
        <v>368</v>
      </c>
      <c r="G3766" t="s">
        <v>16</v>
      </c>
      <c r="H3766" t="s">
        <v>593</v>
      </c>
      <c r="I3766">
        <v>3.2662</v>
      </c>
      <c r="J3766">
        <v>56640.99</v>
      </c>
      <c r="K3766">
        <v>17341.555936562367</v>
      </c>
    </row>
    <row r="3767" spans="1:11" x14ac:dyDescent="0.25">
      <c r="A3767" t="s">
        <v>264</v>
      </c>
      <c r="B3767" t="s">
        <v>265</v>
      </c>
      <c r="C3767" s="1">
        <v>42577</v>
      </c>
      <c r="D3767" s="1">
        <v>42598</v>
      </c>
      <c r="E3767">
        <v>8</v>
      </c>
      <c r="F3767" t="s">
        <v>301</v>
      </c>
      <c r="G3767" t="s">
        <v>16</v>
      </c>
      <c r="H3767" t="s">
        <v>6461</v>
      </c>
      <c r="I3767">
        <v>3.2818999999999998</v>
      </c>
      <c r="J3767">
        <v>62126.99</v>
      </c>
      <c r="K3767">
        <v>18930.189829062434</v>
      </c>
    </row>
    <row r="3768" spans="1:11" x14ac:dyDescent="0.25">
      <c r="A3768" t="s">
        <v>62</v>
      </c>
      <c r="B3768" t="s">
        <v>63</v>
      </c>
      <c r="C3768" s="1">
        <v>42595</v>
      </c>
      <c r="D3768" s="1">
        <v>42599</v>
      </c>
      <c r="E3768">
        <v>1</v>
      </c>
      <c r="F3768" t="s">
        <v>368</v>
      </c>
      <c r="G3768" t="s">
        <v>16</v>
      </c>
      <c r="H3768" t="s">
        <v>3188</v>
      </c>
      <c r="I3768">
        <v>3.1602000000000001</v>
      </c>
      <c r="J3768">
        <v>55766.8</v>
      </c>
      <c r="K3768">
        <v>17646.604645275616</v>
      </c>
    </row>
    <row r="3769" spans="1:11" x14ac:dyDescent="0.25">
      <c r="A3769" t="s">
        <v>1309</v>
      </c>
      <c r="B3769" t="s">
        <v>1310</v>
      </c>
      <c r="C3769" s="1">
        <v>40772</v>
      </c>
      <c r="D3769" s="1">
        <v>40774</v>
      </c>
      <c r="E3769">
        <v>84</v>
      </c>
      <c r="F3769" t="s">
        <v>1311</v>
      </c>
      <c r="G3769" t="s">
        <v>16</v>
      </c>
      <c r="H3769" t="s">
        <v>6462</v>
      </c>
      <c r="I3769">
        <v>1.583</v>
      </c>
      <c r="J3769">
        <v>95345.64</v>
      </c>
      <c r="K3769">
        <v>60230.979153505999</v>
      </c>
    </row>
    <row r="3770" spans="1:11" x14ac:dyDescent="0.25">
      <c r="A3770" t="s">
        <v>640</v>
      </c>
      <c r="B3770" t="s">
        <v>641</v>
      </c>
      <c r="C3770" s="1">
        <v>40795</v>
      </c>
      <c r="D3770" s="1">
        <v>40799</v>
      </c>
      <c r="E3770">
        <v>115</v>
      </c>
      <c r="F3770" t="s">
        <v>642</v>
      </c>
      <c r="G3770" t="s">
        <v>16</v>
      </c>
      <c r="H3770" t="s">
        <v>6463</v>
      </c>
      <c r="I3770">
        <v>1.6566000000000001</v>
      </c>
      <c r="J3770">
        <v>82280.070000000007</v>
      </c>
      <c r="K3770">
        <v>49668.036943136547</v>
      </c>
    </row>
    <row r="3771" spans="1:11" x14ac:dyDescent="0.25">
      <c r="A3771" t="s">
        <v>3205</v>
      </c>
      <c r="B3771" t="s">
        <v>3206</v>
      </c>
      <c r="C3771" s="1">
        <v>40784</v>
      </c>
      <c r="D3771" s="1">
        <v>40787</v>
      </c>
      <c r="E3771">
        <v>111</v>
      </c>
      <c r="F3771" t="s">
        <v>311</v>
      </c>
      <c r="G3771" t="s">
        <v>16</v>
      </c>
      <c r="H3771" t="s">
        <v>6464</v>
      </c>
      <c r="I3771">
        <v>1.5973999999999999</v>
      </c>
      <c r="J3771">
        <v>452916.82</v>
      </c>
      <c r="K3771">
        <v>283533.75485163392</v>
      </c>
    </row>
    <row r="3772" spans="1:11" x14ac:dyDescent="0.25">
      <c r="A3772" t="s">
        <v>648</v>
      </c>
      <c r="B3772" t="s">
        <v>649</v>
      </c>
      <c r="C3772" s="1">
        <v>40789</v>
      </c>
      <c r="D3772" s="1">
        <v>40803</v>
      </c>
      <c r="E3772">
        <v>1</v>
      </c>
      <c r="F3772" t="s">
        <v>642</v>
      </c>
      <c r="G3772" t="s">
        <v>16</v>
      </c>
      <c r="H3772" t="s">
        <v>6465</v>
      </c>
      <c r="I3772">
        <v>1.6343000000000001</v>
      </c>
      <c r="J3772">
        <v>23712.06</v>
      </c>
      <c r="K3772">
        <v>14509.000795447591</v>
      </c>
    </row>
    <row r="3773" spans="1:11" x14ac:dyDescent="0.25">
      <c r="A3773" t="s">
        <v>3189</v>
      </c>
      <c r="B3773" t="s">
        <v>3190</v>
      </c>
      <c r="C3773" s="1">
        <v>40801</v>
      </c>
      <c r="D3773" s="1">
        <v>40801</v>
      </c>
      <c r="E3773">
        <v>198</v>
      </c>
      <c r="F3773" t="s">
        <v>280</v>
      </c>
      <c r="G3773" t="s">
        <v>16</v>
      </c>
      <c r="H3773" t="s">
        <v>3191</v>
      </c>
      <c r="I3773">
        <v>1.7287999999999999</v>
      </c>
      <c r="J3773">
        <v>5419.79</v>
      </c>
      <c r="K3773">
        <v>3135.0011568718187</v>
      </c>
    </row>
    <row r="3774" spans="1:11" x14ac:dyDescent="0.25">
      <c r="A3774" t="s">
        <v>3192</v>
      </c>
      <c r="C3774" s="1">
        <v>40831</v>
      </c>
      <c r="D3774" s="1">
        <v>40834</v>
      </c>
      <c r="E3774">
        <v>1541</v>
      </c>
      <c r="F3774" t="s">
        <v>293</v>
      </c>
      <c r="G3774" t="s">
        <v>16</v>
      </c>
      <c r="H3774" t="s">
        <v>3193</v>
      </c>
      <c r="I3774">
        <v>1.7376</v>
      </c>
      <c r="J3774">
        <v>309.37</v>
      </c>
      <c r="K3774">
        <v>178.0444290976059</v>
      </c>
    </row>
    <row r="3775" spans="1:11" x14ac:dyDescent="0.25">
      <c r="A3775" t="s">
        <v>6466</v>
      </c>
      <c r="C3775" s="1">
        <v>40831</v>
      </c>
      <c r="D3775" s="1">
        <v>40834</v>
      </c>
      <c r="E3775">
        <v>1531</v>
      </c>
      <c r="F3775" t="s">
        <v>288</v>
      </c>
      <c r="G3775" t="s">
        <v>16</v>
      </c>
      <c r="H3775" t="s">
        <v>6467</v>
      </c>
      <c r="I3775">
        <v>1.7376</v>
      </c>
      <c r="J3775">
        <v>1262.93</v>
      </c>
      <c r="K3775">
        <v>726.82435543278086</v>
      </c>
    </row>
    <row r="3776" spans="1:11" x14ac:dyDescent="0.25">
      <c r="A3776" t="s">
        <v>6468</v>
      </c>
      <c r="C3776" s="1">
        <v>40833</v>
      </c>
      <c r="D3776" s="1">
        <v>40835</v>
      </c>
      <c r="E3776">
        <v>1532</v>
      </c>
      <c r="F3776" t="s">
        <v>290</v>
      </c>
      <c r="G3776" t="s">
        <v>16</v>
      </c>
      <c r="H3776" t="s">
        <v>6469</v>
      </c>
      <c r="I3776">
        <v>1.7376</v>
      </c>
      <c r="J3776">
        <v>136.80000000000001</v>
      </c>
      <c r="K3776">
        <v>78.729281767955797</v>
      </c>
    </row>
    <row r="3777" spans="1:11" x14ac:dyDescent="0.25">
      <c r="A3777" t="s">
        <v>668</v>
      </c>
      <c r="B3777" t="s">
        <v>476</v>
      </c>
      <c r="C3777" s="1">
        <v>40875</v>
      </c>
      <c r="D3777" s="1">
        <v>40882</v>
      </c>
      <c r="E3777">
        <v>1687</v>
      </c>
      <c r="F3777" t="s">
        <v>311</v>
      </c>
      <c r="G3777" t="s">
        <v>16</v>
      </c>
      <c r="H3777" t="s">
        <v>3194</v>
      </c>
      <c r="I3777">
        <v>1.8936999999999999</v>
      </c>
      <c r="J3777">
        <v>116451.3</v>
      </c>
      <c r="K3777">
        <v>61494.059249089085</v>
      </c>
    </row>
    <row r="3778" spans="1:11" x14ac:dyDescent="0.25">
      <c r="A3778" t="s">
        <v>3195</v>
      </c>
      <c r="C3778" s="1">
        <v>40819</v>
      </c>
      <c r="D3778" s="1">
        <v>40820</v>
      </c>
      <c r="E3778">
        <v>1238</v>
      </c>
      <c r="F3778" t="s">
        <v>660</v>
      </c>
      <c r="G3778" t="s">
        <v>16</v>
      </c>
      <c r="H3778" t="s">
        <v>3196</v>
      </c>
      <c r="I3778">
        <v>1.8544</v>
      </c>
      <c r="J3778">
        <v>396</v>
      </c>
      <c r="K3778">
        <v>213.54616048317516</v>
      </c>
    </row>
    <row r="3779" spans="1:11" x14ac:dyDescent="0.25">
      <c r="A3779" t="s">
        <v>3197</v>
      </c>
      <c r="C3779" s="1">
        <v>40819</v>
      </c>
      <c r="D3779" s="1">
        <v>40820</v>
      </c>
      <c r="E3779">
        <v>1234</v>
      </c>
      <c r="F3779" t="s">
        <v>660</v>
      </c>
      <c r="G3779" t="s">
        <v>16</v>
      </c>
      <c r="H3779" t="s">
        <v>3198</v>
      </c>
      <c r="I3779">
        <v>1.8544</v>
      </c>
      <c r="J3779">
        <v>250</v>
      </c>
      <c r="K3779">
        <v>134.81449525452976</v>
      </c>
    </row>
    <row r="3780" spans="1:11" x14ac:dyDescent="0.25">
      <c r="A3780" t="s">
        <v>654</v>
      </c>
      <c r="B3780" t="s">
        <v>655</v>
      </c>
      <c r="C3780" s="1">
        <v>40841</v>
      </c>
      <c r="D3780" s="1">
        <v>40844</v>
      </c>
      <c r="E3780">
        <v>116</v>
      </c>
      <c r="F3780" t="s">
        <v>301</v>
      </c>
      <c r="G3780" t="s">
        <v>16</v>
      </c>
      <c r="H3780" t="s">
        <v>3199</v>
      </c>
      <c r="I3780">
        <v>1.7767999999999999</v>
      </c>
      <c r="J3780">
        <v>37080</v>
      </c>
      <c r="K3780">
        <v>20868.977937865828</v>
      </c>
    </row>
    <row r="3781" spans="1:11" x14ac:dyDescent="0.25">
      <c r="A3781" t="s">
        <v>654</v>
      </c>
      <c r="B3781" t="s">
        <v>655</v>
      </c>
      <c r="C3781" s="1">
        <v>40841</v>
      </c>
      <c r="D3781" s="1">
        <v>40845</v>
      </c>
      <c r="E3781">
        <v>116</v>
      </c>
      <c r="F3781" t="s">
        <v>301</v>
      </c>
      <c r="G3781" t="s">
        <v>16</v>
      </c>
      <c r="H3781" t="s">
        <v>3200</v>
      </c>
      <c r="I3781">
        <v>1.7767999999999999</v>
      </c>
      <c r="J3781">
        <v>37080</v>
      </c>
      <c r="K3781">
        <v>20868.977937865828</v>
      </c>
    </row>
    <row r="3782" spans="1:11" x14ac:dyDescent="0.25">
      <c r="A3782" t="s">
        <v>654</v>
      </c>
      <c r="B3782" t="s">
        <v>655</v>
      </c>
      <c r="C3782" s="1">
        <v>40845</v>
      </c>
      <c r="D3782" s="1">
        <v>40847</v>
      </c>
      <c r="E3782">
        <v>116</v>
      </c>
      <c r="F3782" t="s">
        <v>301</v>
      </c>
      <c r="G3782" t="s">
        <v>16</v>
      </c>
      <c r="H3782" t="s">
        <v>3201</v>
      </c>
      <c r="I3782">
        <v>1.6986000000000001</v>
      </c>
      <c r="J3782">
        <v>35521.19</v>
      </c>
      <c r="K3782">
        <v>20912.039326504178</v>
      </c>
    </row>
    <row r="3783" spans="1:11" x14ac:dyDescent="0.25">
      <c r="A3783" t="s">
        <v>654</v>
      </c>
      <c r="B3783" t="s">
        <v>655</v>
      </c>
      <c r="C3783" s="1">
        <v>40845</v>
      </c>
      <c r="D3783" s="1">
        <v>40847</v>
      </c>
      <c r="E3783">
        <v>116</v>
      </c>
      <c r="F3783" t="s">
        <v>301</v>
      </c>
      <c r="G3783" t="s">
        <v>16</v>
      </c>
      <c r="H3783" t="s">
        <v>3202</v>
      </c>
      <c r="I3783">
        <v>1.6986000000000001</v>
      </c>
      <c r="J3783">
        <v>35521.19</v>
      </c>
      <c r="K3783">
        <v>20912.039326504178</v>
      </c>
    </row>
    <row r="3784" spans="1:11" x14ac:dyDescent="0.25">
      <c r="A3784" t="s">
        <v>654</v>
      </c>
      <c r="B3784" t="s">
        <v>655</v>
      </c>
      <c r="C3784" s="1">
        <v>40844</v>
      </c>
      <c r="D3784" s="1">
        <v>40847</v>
      </c>
      <c r="E3784">
        <v>116</v>
      </c>
      <c r="F3784" t="s">
        <v>301</v>
      </c>
      <c r="G3784" t="s">
        <v>16</v>
      </c>
      <c r="H3784" t="s">
        <v>6470</v>
      </c>
      <c r="I3784">
        <v>1.7323</v>
      </c>
      <c r="J3784">
        <v>21382.400000000001</v>
      </c>
      <c r="K3784">
        <v>12343.358540668476</v>
      </c>
    </row>
    <row r="3785" spans="1:11" x14ac:dyDescent="0.25">
      <c r="A3785" t="s">
        <v>654</v>
      </c>
      <c r="B3785" t="s">
        <v>655</v>
      </c>
      <c r="C3785" s="1">
        <v>40841</v>
      </c>
      <c r="D3785" s="1">
        <v>40844</v>
      </c>
      <c r="E3785">
        <v>116</v>
      </c>
      <c r="F3785" t="s">
        <v>301</v>
      </c>
      <c r="G3785" t="s">
        <v>16</v>
      </c>
      <c r="H3785" t="s">
        <v>3203</v>
      </c>
      <c r="I3785">
        <v>1.7767999999999999</v>
      </c>
      <c r="J3785">
        <v>37080</v>
      </c>
      <c r="K3785">
        <v>20868.977937865828</v>
      </c>
    </row>
    <row r="3786" spans="1:11" x14ac:dyDescent="0.25">
      <c r="A3786" t="s">
        <v>654</v>
      </c>
      <c r="B3786" t="s">
        <v>655</v>
      </c>
      <c r="C3786" s="1">
        <v>40841</v>
      </c>
      <c r="D3786" s="1">
        <v>40844</v>
      </c>
      <c r="E3786">
        <v>116</v>
      </c>
      <c r="F3786" t="s">
        <v>301</v>
      </c>
      <c r="G3786" t="s">
        <v>16</v>
      </c>
      <c r="H3786" t="s">
        <v>3204</v>
      </c>
      <c r="I3786">
        <v>1.7767999999999999</v>
      </c>
      <c r="J3786">
        <v>37080</v>
      </c>
      <c r="K3786">
        <v>20868.977937865828</v>
      </c>
    </row>
    <row r="3787" spans="1:11" x14ac:dyDescent="0.25">
      <c r="A3787" t="s">
        <v>654</v>
      </c>
      <c r="B3787" t="s">
        <v>655</v>
      </c>
      <c r="C3787" s="1">
        <v>40841</v>
      </c>
      <c r="D3787" s="1">
        <v>40845</v>
      </c>
      <c r="E3787">
        <v>116</v>
      </c>
      <c r="F3787" t="s">
        <v>301</v>
      </c>
      <c r="G3787" t="s">
        <v>16</v>
      </c>
      <c r="H3787" t="s">
        <v>6471</v>
      </c>
      <c r="I3787">
        <v>1.7767999999999999</v>
      </c>
      <c r="J3787">
        <v>37080</v>
      </c>
      <c r="K3787">
        <v>20868.977937865828</v>
      </c>
    </row>
    <row r="3788" spans="1:11" x14ac:dyDescent="0.25">
      <c r="A3788" t="s">
        <v>654</v>
      </c>
      <c r="B3788" t="s">
        <v>655</v>
      </c>
      <c r="C3788" s="1">
        <v>40841</v>
      </c>
      <c r="D3788" s="1">
        <v>40845</v>
      </c>
      <c r="E3788">
        <v>116</v>
      </c>
      <c r="F3788" t="s">
        <v>301</v>
      </c>
      <c r="G3788" t="s">
        <v>16</v>
      </c>
      <c r="H3788" t="s">
        <v>6472</v>
      </c>
      <c r="I3788">
        <v>1.7767999999999999</v>
      </c>
      <c r="J3788">
        <v>37080</v>
      </c>
      <c r="K3788">
        <v>20868.977937865828</v>
      </c>
    </row>
    <row r="3789" spans="1:11" x14ac:dyDescent="0.25">
      <c r="A3789" t="s">
        <v>6473</v>
      </c>
      <c r="B3789" t="s">
        <v>6474</v>
      </c>
      <c r="C3789" s="1">
        <v>40813</v>
      </c>
      <c r="D3789" s="1">
        <v>40821</v>
      </c>
      <c r="E3789">
        <v>103</v>
      </c>
      <c r="F3789" t="s">
        <v>368</v>
      </c>
      <c r="G3789" t="s">
        <v>16</v>
      </c>
      <c r="H3789" t="s">
        <v>6475</v>
      </c>
      <c r="I3789">
        <v>1.8445</v>
      </c>
      <c r="J3789">
        <v>65972.679999999993</v>
      </c>
      <c r="K3789">
        <v>35767.243155326643</v>
      </c>
    </row>
    <row r="3790" spans="1:11" x14ac:dyDescent="0.25">
      <c r="A3790" t="s">
        <v>654</v>
      </c>
      <c r="B3790" t="s">
        <v>655</v>
      </c>
      <c r="C3790" s="1">
        <v>40841</v>
      </c>
      <c r="D3790" s="1">
        <v>40844</v>
      </c>
      <c r="E3790">
        <v>116</v>
      </c>
      <c r="F3790" t="s">
        <v>301</v>
      </c>
      <c r="G3790" t="s">
        <v>16</v>
      </c>
      <c r="H3790" t="s">
        <v>6476</v>
      </c>
      <c r="I3790">
        <v>1.7767999999999999</v>
      </c>
      <c r="J3790">
        <v>37080</v>
      </c>
      <c r="K3790">
        <v>20868.977937865828</v>
      </c>
    </row>
    <row r="3791" spans="1:11" x14ac:dyDescent="0.25">
      <c r="A3791" t="s">
        <v>3205</v>
      </c>
      <c r="B3791" t="s">
        <v>3206</v>
      </c>
      <c r="C3791" s="1">
        <v>40823</v>
      </c>
      <c r="D3791" s="1">
        <v>40827</v>
      </c>
      <c r="E3791">
        <v>111</v>
      </c>
      <c r="F3791" t="s">
        <v>311</v>
      </c>
      <c r="G3791" t="s">
        <v>16</v>
      </c>
      <c r="H3791" t="s">
        <v>3207</v>
      </c>
      <c r="I3791">
        <v>1.8116000000000001</v>
      </c>
      <c r="J3791">
        <v>21177.06</v>
      </c>
      <c r="K3791">
        <v>11689.699712960919</v>
      </c>
    </row>
    <row r="3792" spans="1:11" x14ac:dyDescent="0.25">
      <c r="A3792" t="s">
        <v>3205</v>
      </c>
      <c r="B3792" t="s">
        <v>3206</v>
      </c>
      <c r="C3792" s="1">
        <v>40815</v>
      </c>
      <c r="D3792" s="1">
        <v>40827</v>
      </c>
      <c r="E3792">
        <v>111</v>
      </c>
      <c r="F3792" t="s">
        <v>311</v>
      </c>
      <c r="G3792" t="s">
        <v>16</v>
      </c>
      <c r="H3792" t="s">
        <v>6477</v>
      </c>
      <c r="I3792">
        <v>1.8123</v>
      </c>
      <c r="J3792">
        <v>673338.31</v>
      </c>
      <c r="K3792">
        <v>371537.99591679079</v>
      </c>
    </row>
    <row r="3793" spans="1:11" x14ac:dyDescent="0.25">
      <c r="A3793" t="s">
        <v>1339</v>
      </c>
      <c r="B3793" t="s">
        <v>1340</v>
      </c>
      <c r="C3793" s="1">
        <v>40855</v>
      </c>
      <c r="D3793" s="1">
        <v>40857</v>
      </c>
      <c r="E3793">
        <v>1843</v>
      </c>
      <c r="F3793" t="s">
        <v>373</v>
      </c>
      <c r="G3793" t="s">
        <v>16</v>
      </c>
      <c r="H3793" t="s">
        <v>1866</v>
      </c>
      <c r="I3793">
        <v>1.7503</v>
      </c>
      <c r="J3793">
        <v>102866.4</v>
      </c>
      <c r="K3793">
        <v>58770.725018568242</v>
      </c>
    </row>
    <row r="3794" spans="1:11" x14ac:dyDescent="0.25">
      <c r="A3794" t="s">
        <v>670</v>
      </c>
      <c r="C3794" s="1">
        <v>40852</v>
      </c>
      <c r="D3794" s="1">
        <v>40871</v>
      </c>
      <c r="E3794">
        <v>352</v>
      </c>
      <c r="F3794" t="s">
        <v>478</v>
      </c>
      <c r="G3794" t="s">
        <v>16</v>
      </c>
      <c r="H3794" t="s">
        <v>6478</v>
      </c>
      <c r="I3794">
        <v>1.7415</v>
      </c>
      <c r="J3794">
        <v>161.49</v>
      </c>
      <c r="K3794">
        <v>92.730404823428074</v>
      </c>
    </row>
    <row r="3795" spans="1:11" x14ac:dyDescent="0.25">
      <c r="A3795" t="s">
        <v>670</v>
      </c>
      <c r="C3795" s="1">
        <v>40854</v>
      </c>
      <c r="D3795" s="1">
        <v>40871</v>
      </c>
      <c r="E3795">
        <v>352</v>
      </c>
      <c r="F3795" t="s">
        <v>478</v>
      </c>
      <c r="G3795" t="s">
        <v>16</v>
      </c>
      <c r="H3795" t="s">
        <v>3208</v>
      </c>
      <c r="I3795">
        <v>1.7415</v>
      </c>
      <c r="J3795">
        <v>104.18</v>
      </c>
      <c r="K3795">
        <v>59.821992535170828</v>
      </c>
    </row>
    <row r="3796" spans="1:11" x14ac:dyDescent="0.25">
      <c r="A3796" t="s">
        <v>654</v>
      </c>
      <c r="B3796" t="s">
        <v>655</v>
      </c>
      <c r="C3796" s="1">
        <v>40841</v>
      </c>
      <c r="D3796" s="1">
        <v>40878</v>
      </c>
      <c r="E3796">
        <v>116</v>
      </c>
      <c r="F3796" t="s">
        <v>301</v>
      </c>
      <c r="G3796" t="s">
        <v>16</v>
      </c>
      <c r="H3796" t="s">
        <v>3209</v>
      </c>
      <c r="I3796">
        <v>1.7767999999999999</v>
      </c>
      <c r="J3796">
        <v>9374.01</v>
      </c>
      <c r="K3796">
        <v>5275.7823052678978</v>
      </c>
    </row>
    <row r="3797" spans="1:11" x14ac:dyDescent="0.25">
      <c r="A3797" t="s">
        <v>6479</v>
      </c>
      <c r="B3797" t="s">
        <v>144</v>
      </c>
      <c r="C3797" s="1">
        <v>40851</v>
      </c>
      <c r="D3797" s="1">
        <v>40878</v>
      </c>
      <c r="E3797">
        <v>2425</v>
      </c>
      <c r="F3797" t="s">
        <v>3636</v>
      </c>
      <c r="G3797" t="s">
        <v>16</v>
      </c>
      <c r="H3797" t="s">
        <v>6480</v>
      </c>
      <c r="I3797">
        <v>1.7270000000000001</v>
      </c>
      <c r="J3797">
        <v>15755.4</v>
      </c>
      <c r="K3797">
        <v>9122.987840185293</v>
      </c>
    </row>
    <row r="3798" spans="1:11" x14ac:dyDescent="0.25">
      <c r="A3798" t="s">
        <v>3210</v>
      </c>
      <c r="B3798" t="s">
        <v>3211</v>
      </c>
      <c r="C3798" s="1">
        <v>40802</v>
      </c>
      <c r="D3798" s="1">
        <v>40815</v>
      </c>
      <c r="E3798">
        <v>223</v>
      </c>
      <c r="F3798" t="s">
        <v>278</v>
      </c>
      <c r="G3798" t="s">
        <v>16</v>
      </c>
      <c r="H3798" t="s">
        <v>3212</v>
      </c>
      <c r="I3798">
        <v>1.7105999999999999</v>
      </c>
      <c r="J3798">
        <v>103600</v>
      </c>
      <c r="K3798">
        <v>60563.544954986552</v>
      </c>
    </row>
    <row r="3799" spans="1:11" x14ac:dyDescent="0.25">
      <c r="A3799" t="s">
        <v>736</v>
      </c>
      <c r="B3799" t="s">
        <v>737</v>
      </c>
      <c r="C3799" s="1">
        <v>40934</v>
      </c>
      <c r="D3799" s="1">
        <v>40936</v>
      </c>
      <c r="E3799">
        <v>3415</v>
      </c>
      <c r="F3799" t="s">
        <v>689</v>
      </c>
      <c r="G3799" t="s">
        <v>16</v>
      </c>
      <c r="H3799" t="s">
        <v>3213</v>
      </c>
      <c r="I3799">
        <v>1.7632000000000001</v>
      </c>
      <c r="J3799">
        <v>62879.08</v>
      </c>
      <c r="K3799">
        <v>35661.91016333938</v>
      </c>
    </row>
    <row r="3800" spans="1:11" x14ac:dyDescent="0.25">
      <c r="A3800" t="s">
        <v>677</v>
      </c>
      <c r="B3800" t="s">
        <v>678</v>
      </c>
      <c r="C3800" s="1">
        <v>40894</v>
      </c>
      <c r="D3800" s="1">
        <v>40896</v>
      </c>
      <c r="E3800">
        <v>2629</v>
      </c>
      <c r="F3800" t="s">
        <v>331</v>
      </c>
      <c r="G3800" t="s">
        <v>16</v>
      </c>
      <c r="H3800" t="s">
        <v>3214</v>
      </c>
      <c r="I3800">
        <v>1.8465</v>
      </c>
      <c r="J3800">
        <v>79065.33</v>
      </c>
      <c r="K3800">
        <v>42819.025182778227</v>
      </c>
    </row>
    <row r="3801" spans="1:11" x14ac:dyDescent="0.25">
      <c r="A3801" t="s">
        <v>6481</v>
      </c>
      <c r="C3801" s="1">
        <v>40880</v>
      </c>
      <c r="D3801" s="1">
        <v>40907</v>
      </c>
      <c r="E3801">
        <v>3133</v>
      </c>
      <c r="F3801" t="s">
        <v>307</v>
      </c>
      <c r="G3801" t="s">
        <v>16</v>
      </c>
      <c r="H3801" t="s">
        <v>6482</v>
      </c>
      <c r="I3801">
        <v>1.7829999999999999</v>
      </c>
      <c r="J3801">
        <v>3370</v>
      </c>
      <c r="K3801">
        <v>1890.0729108244532</v>
      </c>
    </row>
    <row r="3802" spans="1:11" x14ac:dyDescent="0.25">
      <c r="A3802" t="s">
        <v>677</v>
      </c>
      <c r="B3802" t="s">
        <v>678</v>
      </c>
      <c r="C3802" s="1">
        <v>40906</v>
      </c>
      <c r="D3802" s="1">
        <v>40910</v>
      </c>
      <c r="E3802">
        <v>2629</v>
      </c>
      <c r="F3802" t="s">
        <v>331</v>
      </c>
      <c r="G3802" t="s">
        <v>16</v>
      </c>
      <c r="H3802" t="s">
        <v>3215</v>
      </c>
      <c r="I3802">
        <v>1.8633999999999999</v>
      </c>
      <c r="J3802">
        <v>57897.74</v>
      </c>
      <c r="K3802">
        <v>31071.020714822367</v>
      </c>
    </row>
    <row r="3803" spans="1:11" x14ac:dyDescent="0.25">
      <c r="A3803" t="s">
        <v>677</v>
      </c>
      <c r="B3803" t="s">
        <v>678</v>
      </c>
      <c r="C3803" s="1">
        <v>40910</v>
      </c>
      <c r="D3803" s="1">
        <v>40912</v>
      </c>
      <c r="E3803">
        <v>2629</v>
      </c>
      <c r="F3803" t="s">
        <v>331</v>
      </c>
      <c r="G3803" t="s">
        <v>16</v>
      </c>
      <c r="H3803" t="s">
        <v>6483</v>
      </c>
      <c r="I3803">
        <v>1.8757999999999999</v>
      </c>
      <c r="J3803">
        <v>56488.65</v>
      </c>
      <c r="K3803">
        <v>30114.431176031561</v>
      </c>
    </row>
    <row r="3804" spans="1:11" x14ac:dyDescent="0.25">
      <c r="A3804" t="s">
        <v>3216</v>
      </c>
      <c r="C3804" s="1">
        <v>40900</v>
      </c>
      <c r="D3804" s="1">
        <v>40907</v>
      </c>
      <c r="E3804">
        <v>3118</v>
      </c>
      <c r="F3804" t="s">
        <v>319</v>
      </c>
      <c r="G3804" t="s">
        <v>16</v>
      </c>
      <c r="H3804" t="s">
        <v>3217</v>
      </c>
      <c r="I3804">
        <v>1.8577999999999999</v>
      </c>
      <c r="J3804">
        <v>1801.47</v>
      </c>
      <c r="K3804">
        <v>969.67919044030577</v>
      </c>
    </row>
    <row r="3805" spans="1:11" x14ac:dyDescent="0.25">
      <c r="A3805" t="s">
        <v>672</v>
      </c>
      <c r="B3805" t="s">
        <v>673</v>
      </c>
      <c r="C3805" s="1">
        <v>40896</v>
      </c>
      <c r="D3805" s="1">
        <v>40904</v>
      </c>
      <c r="E3805">
        <v>118</v>
      </c>
      <c r="F3805" t="s">
        <v>370</v>
      </c>
      <c r="G3805" t="s">
        <v>16</v>
      </c>
      <c r="H3805" t="s">
        <v>6484</v>
      </c>
      <c r="I3805">
        <v>1.8465</v>
      </c>
      <c r="J3805">
        <v>171257.34</v>
      </c>
      <c r="K3805">
        <v>92747.002437043047</v>
      </c>
    </row>
    <row r="3806" spans="1:11" x14ac:dyDescent="0.25">
      <c r="A3806" t="s">
        <v>709</v>
      </c>
      <c r="B3806" t="s">
        <v>710</v>
      </c>
      <c r="C3806" s="1">
        <v>40900</v>
      </c>
      <c r="D3806" s="1">
        <v>40903</v>
      </c>
      <c r="E3806">
        <v>4</v>
      </c>
      <c r="F3806" t="s">
        <v>278</v>
      </c>
      <c r="G3806" t="s">
        <v>16</v>
      </c>
      <c r="H3806" t="s">
        <v>6485</v>
      </c>
      <c r="I3806">
        <v>1.8577999999999999</v>
      </c>
      <c r="J3806">
        <v>230218.15</v>
      </c>
      <c r="K3806">
        <v>123919.77069652277</v>
      </c>
    </row>
    <row r="3807" spans="1:11" x14ac:dyDescent="0.25">
      <c r="A3807" t="s">
        <v>1836</v>
      </c>
      <c r="B3807" t="s">
        <v>1837</v>
      </c>
      <c r="C3807" s="1">
        <v>40907</v>
      </c>
      <c r="D3807" s="1">
        <v>40921</v>
      </c>
      <c r="E3807">
        <v>1533</v>
      </c>
      <c r="F3807" t="s">
        <v>331</v>
      </c>
      <c r="G3807" t="s">
        <v>16</v>
      </c>
      <c r="H3807" t="s">
        <v>3218</v>
      </c>
      <c r="I3807">
        <v>1.8757999999999999</v>
      </c>
      <c r="J3807">
        <v>57929.05</v>
      </c>
      <c r="K3807">
        <v>30882.316878131998</v>
      </c>
    </row>
    <row r="3808" spans="1:11" x14ac:dyDescent="0.25">
      <c r="A3808" t="s">
        <v>1368</v>
      </c>
      <c r="B3808" t="s">
        <v>1369</v>
      </c>
      <c r="C3808" s="1">
        <v>40933</v>
      </c>
      <c r="D3808" s="1">
        <v>40935</v>
      </c>
      <c r="E3808">
        <v>3413</v>
      </c>
      <c r="F3808" t="s">
        <v>689</v>
      </c>
      <c r="G3808" t="s">
        <v>16</v>
      </c>
      <c r="H3808" t="s">
        <v>3219</v>
      </c>
      <c r="I3808">
        <v>1.7648999999999999</v>
      </c>
      <c r="J3808">
        <v>50753.69</v>
      </c>
      <c r="K3808">
        <v>28757.261034619525</v>
      </c>
    </row>
    <row r="3809" spans="1:11" x14ac:dyDescent="0.25">
      <c r="A3809" t="s">
        <v>672</v>
      </c>
      <c r="B3809" t="s">
        <v>673</v>
      </c>
      <c r="C3809" s="1">
        <v>40891</v>
      </c>
      <c r="D3809" s="1">
        <v>40896</v>
      </c>
      <c r="E3809">
        <v>118</v>
      </c>
      <c r="F3809" t="s">
        <v>370</v>
      </c>
      <c r="G3809" t="s">
        <v>16</v>
      </c>
      <c r="H3809" t="s">
        <v>3220</v>
      </c>
      <c r="I3809">
        <v>1.8409</v>
      </c>
      <c r="J3809">
        <v>66793.37</v>
      </c>
      <c r="K3809">
        <v>36282.997446900976</v>
      </c>
    </row>
    <row r="3810" spans="1:11" x14ac:dyDescent="0.25">
      <c r="A3810" t="s">
        <v>1828</v>
      </c>
      <c r="B3810" t="s">
        <v>549</v>
      </c>
      <c r="C3810" s="1">
        <v>40885</v>
      </c>
      <c r="D3810" s="1">
        <v>40893</v>
      </c>
      <c r="E3810">
        <v>1685</v>
      </c>
      <c r="F3810" t="s">
        <v>311</v>
      </c>
      <c r="G3810" t="s">
        <v>16</v>
      </c>
      <c r="H3810" t="s">
        <v>6486</v>
      </c>
      <c r="I3810">
        <v>1.7974000000000001</v>
      </c>
      <c r="J3810">
        <v>177000.76</v>
      </c>
      <c r="K3810">
        <v>98475.998664737956</v>
      </c>
    </row>
    <row r="3811" spans="1:11" x14ac:dyDescent="0.25">
      <c r="A3811" t="s">
        <v>6487</v>
      </c>
      <c r="C3811" s="1">
        <v>40899</v>
      </c>
      <c r="D3811" s="1">
        <v>40907</v>
      </c>
      <c r="E3811">
        <v>3139</v>
      </c>
      <c r="F3811" t="s">
        <v>6488</v>
      </c>
      <c r="G3811" t="s">
        <v>16</v>
      </c>
      <c r="H3811" t="s">
        <v>6489</v>
      </c>
      <c r="I3811">
        <v>1.8555999999999999</v>
      </c>
      <c r="J3811">
        <v>1578.29</v>
      </c>
      <c r="K3811">
        <v>850.55507652511312</v>
      </c>
    </row>
    <row r="3812" spans="1:11" x14ac:dyDescent="0.25">
      <c r="A3812" t="s">
        <v>6490</v>
      </c>
      <c r="C3812" s="1">
        <v>40924</v>
      </c>
      <c r="D3812" s="1">
        <v>40931</v>
      </c>
      <c r="E3812">
        <v>3627</v>
      </c>
      <c r="F3812" t="s">
        <v>292</v>
      </c>
      <c r="G3812" t="s">
        <v>16</v>
      </c>
      <c r="H3812" t="s">
        <v>6491</v>
      </c>
      <c r="I3812">
        <v>1.7853000000000001</v>
      </c>
      <c r="J3812">
        <v>350</v>
      </c>
      <c r="K3812">
        <v>196.04548255195206</v>
      </c>
    </row>
    <row r="3813" spans="1:11" x14ac:dyDescent="0.25">
      <c r="A3813" t="s">
        <v>3221</v>
      </c>
      <c r="C3813" s="1">
        <v>40879</v>
      </c>
      <c r="D3813" s="1">
        <v>40907</v>
      </c>
      <c r="E3813">
        <v>3142</v>
      </c>
      <c r="F3813" t="s">
        <v>325</v>
      </c>
      <c r="G3813" t="s">
        <v>16</v>
      </c>
      <c r="H3813" t="s">
        <v>3222</v>
      </c>
      <c r="I3813">
        <v>1.7928999999999999</v>
      </c>
      <c r="J3813">
        <v>550</v>
      </c>
      <c r="K3813">
        <v>306.76557532489261</v>
      </c>
    </row>
    <row r="3814" spans="1:11" x14ac:dyDescent="0.25">
      <c r="A3814" t="s">
        <v>684</v>
      </c>
      <c r="B3814" t="s">
        <v>685</v>
      </c>
      <c r="C3814" s="1">
        <v>40925</v>
      </c>
      <c r="D3814" s="1">
        <v>40931</v>
      </c>
      <c r="E3814">
        <v>3636</v>
      </c>
      <c r="F3814" t="s">
        <v>309</v>
      </c>
      <c r="G3814" t="s">
        <v>16</v>
      </c>
      <c r="H3814" t="s">
        <v>6492</v>
      </c>
      <c r="I3814">
        <v>1.7836000000000001</v>
      </c>
      <c r="J3814">
        <v>28703.87</v>
      </c>
      <c r="K3814">
        <v>16093.221574344023</v>
      </c>
    </row>
    <row r="3815" spans="1:11" x14ac:dyDescent="0.25">
      <c r="A3815" t="s">
        <v>704</v>
      </c>
      <c r="B3815" t="s">
        <v>705</v>
      </c>
      <c r="C3815" s="1">
        <v>40929</v>
      </c>
      <c r="D3815" s="1">
        <v>40932</v>
      </c>
      <c r="E3815">
        <v>3416</v>
      </c>
      <c r="F3815" t="s">
        <v>689</v>
      </c>
      <c r="G3815" t="s">
        <v>16</v>
      </c>
      <c r="H3815" t="s">
        <v>3223</v>
      </c>
      <c r="I3815">
        <v>1.7669999999999999</v>
      </c>
      <c r="J3815">
        <v>40258.589999999997</v>
      </c>
      <c r="K3815">
        <v>22783.58234295416</v>
      </c>
    </row>
    <row r="3816" spans="1:11" x14ac:dyDescent="0.25">
      <c r="A3816" t="s">
        <v>3224</v>
      </c>
      <c r="B3816" t="s">
        <v>2856</v>
      </c>
      <c r="C3816" s="1">
        <v>40892</v>
      </c>
      <c r="D3816" s="1">
        <v>40898</v>
      </c>
      <c r="E3816">
        <v>2717</v>
      </c>
      <c r="F3816" t="s">
        <v>311</v>
      </c>
      <c r="G3816" t="s">
        <v>16</v>
      </c>
      <c r="H3816" t="s">
        <v>3225</v>
      </c>
      <c r="I3816">
        <v>1.8728</v>
      </c>
      <c r="J3816">
        <v>92153.37</v>
      </c>
      <c r="K3816">
        <v>49206.199273814607</v>
      </c>
    </row>
    <row r="3817" spans="1:11" x14ac:dyDescent="0.25">
      <c r="A3817" t="s">
        <v>672</v>
      </c>
      <c r="B3817" t="s">
        <v>673</v>
      </c>
      <c r="C3817" s="1">
        <v>40931</v>
      </c>
      <c r="D3817" s="1">
        <v>40933</v>
      </c>
      <c r="E3817">
        <v>118</v>
      </c>
      <c r="F3817" t="s">
        <v>370</v>
      </c>
      <c r="G3817" t="s">
        <v>16</v>
      </c>
      <c r="H3817" t="s">
        <v>6493</v>
      </c>
      <c r="I3817">
        <v>1.7669999999999999</v>
      </c>
      <c r="J3817">
        <v>175949.03</v>
      </c>
      <c r="K3817">
        <v>99575.002829654783</v>
      </c>
    </row>
    <row r="3818" spans="1:11" x14ac:dyDescent="0.25">
      <c r="A3818" t="s">
        <v>1309</v>
      </c>
      <c r="B3818" t="s">
        <v>1310</v>
      </c>
      <c r="C3818" s="1">
        <v>40933</v>
      </c>
      <c r="D3818" s="1">
        <v>40936</v>
      </c>
      <c r="E3818">
        <v>84</v>
      </c>
      <c r="F3818" t="s">
        <v>1311</v>
      </c>
      <c r="G3818" t="s">
        <v>16</v>
      </c>
      <c r="H3818" t="s">
        <v>6494</v>
      </c>
      <c r="I3818">
        <v>1.7648999999999999</v>
      </c>
      <c r="J3818">
        <v>237304.68</v>
      </c>
      <c r="K3818">
        <v>134457.86163522012</v>
      </c>
    </row>
    <row r="3819" spans="1:11" x14ac:dyDescent="0.25">
      <c r="A3819" t="s">
        <v>713</v>
      </c>
      <c r="B3819" t="s">
        <v>714</v>
      </c>
      <c r="C3819" s="1">
        <v>40942</v>
      </c>
      <c r="D3819" s="1">
        <v>40944</v>
      </c>
      <c r="E3819">
        <v>3412</v>
      </c>
      <c r="F3819" t="s">
        <v>689</v>
      </c>
      <c r="G3819" t="s">
        <v>16</v>
      </c>
      <c r="H3819" t="s">
        <v>3226</v>
      </c>
      <c r="I3819">
        <v>1.7325999999999999</v>
      </c>
      <c r="J3819">
        <v>27051.32</v>
      </c>
      <c r="K3819">
        <v>15613.136326907537</v>
      </c>
    </row>
    <row r="3820" spans="1:11" x14ac:dyDescent="0.25">
      <c r="A3820" t="s">
        <v>3227</v>
      </c>
      <c r="B3820" t="s">
        <v>3228</v>
      </c>
      <c r="C3820" s="1">
        <v>40891</v>
      </c>
      <c r="D3820" s="1">
        <v>40897</v>
      </c>
      <c r="E3820">
        <v>2628</v>
      </c>
      <c r="F3820" t="s">
        <v>1311</v>
      </c>
      <c r="G3820" t="s">
        <v>16</v>
      </c>
      <c r="H3820" t="s">
        <v>3229</v>
      </c>
      <c r="I3820">
        <v>1.8409</v>
      </c>
      <c r="J3820">
        <v>6194.63</v>
      </c>
      <c r="K3820">
        <v>3365.0008148188385</v>
      </c>
    </row>
    <row r="3821" spans="1:11" x14ac:dyDescent="0.25">
      <c r="A3821" t="s">
        <v>2313</v>
      </c>
      <c r="B3821" t="s">
        <v>2314</v>
      </c>
      <c r="C3821" s="1">
        <v>40927</v>
      </c>
      <c r="D3821" s="1">
        <v>40934</v>
      </c>
      <c r="E3821">
        <v>1747</v>
      </c>
      <c r="F3821" t="s">
        <v>309</v>
      </c>
      <c r="G3821" t="s">
        <v>16</v>
      </c>
      <c r="H3821" t="s">
        <v>6495</v>
      </c>
      <c r="I3821">
        <v>1.7790999999999999</v>
      </c>
      <c r="J3821">
        <v>69673.5</v>
      </c>
      <c r="K3821">
        <v>39162.216851216908</v>
      </c>
    </row>
    <row r="3822" spans="1:11" x14ac:dyDescent="0.25">
      <c r="A3822" t="s">
        <v>654</v>
      </c>
      <c r="B3822" t="s">
        <v>655</v>
      </c>
      <c r="C3822" s="1">
        <v>40939</v>
      </c>
      <c r="D3822" s="1">
        <v>40942</v>
      </c>
      <c r="E3822">
        <v>116</v>
      </c>
      <c r="F3822" t="s">
        <v>675</v>
      </c>
      <c r="G3822" t="s">
        <v>16</v>
      </c>
      <c r="H3822" t="s">
        <v>3230</v>
      </c>
      <c r="I3822">
        <v>1.7508999999999999</v>
      </c>
      <c r="J3822">
        <v>59351.59</v>
      </c>
      <c r="K3822">
        <v>33897.761151407845</v>
      </c>
    </row>
    <row r="3823" spans="1:11" x14ac:dyDescent="0.25">
      <c r="A3823" t="s">
        <v>731</v>
      </c>
      <c r="B3823" t="s">
        <v>732</v>
      </c>
      <c r="C3823" s="1">
        <v>40966</v>
      </c>
      <c r="D3823" s="1">
        <v>40976</v>
      </c>
      <c r="E3823">
        <v>1716</v>
      </c>
      <c r="F3823" t="s">
        <v>689</v>
      </c>
      <c r="G3823" t="s">
        <v>16</v>
      </c>
      <c r="H3823" t="s">
        <v>3231</v>
      </c>
      <c r="I3823">
        <v>1.7098</v>
      </c>
      <c r="J3823">
        <v>51329.96</v>
      </c>
      <c r="K3823">
        <v>30021.031699613988</v>
      </c>
    </row>
    <row r="3824" spans="1:11" x14ac:dyDescent="0.25">
      <c r="A3824" t="s">
        <v>1851</v>
      </c>
      <c r="B3824" t="s">
        <v>144</v>
      </c>
      <c r="C3824" s="1">
        <v>41012</v>
      </c>
      <c r="D3824" s="1">
        <v>41013</v>
      </c>
      <c r="E3824">
        <v>3513</v>
      </c>
      <c r="F3824" t="s">
        <v>689</v>
      </c>
      <c r="G3824" t="s">
        <v>16</v>
      </c>
      <c r="H3824" t="s">
        <v>3232</v>
      </c>
      <c r="I3824">
        <v>1.827</v>
      </c>
      <c r="J3824">
        <v>22266</v>
      </c>
      <c r="K3824">
        <v>12187.192118226601</v>
      </c>
    </row>
    <row r="3825" spans="1:11" x14ac:dyDescent="0.25">
      <c r="A3825" t="s">
        <v>736</v>
      </c>
      <c r="B3825" t="s">
        <v>737</v>
      </c>
      <c r="C3825" s="1">
        <v>40969</v>
      </c>
      <c r="D3825" s="1">
        <v>40971</v>
      </c>
      <c r="E3825">
        <v>3415</v>
      </c>
      <c r="F3825" t="s">
        <v>689</v>
      </c>
      <c r="G3825" t="s">
        <v>16</v>
      </c>
      <c r="H3825" t="s">
        <v>3233</v>
      </c>
      <c r="I3825">
        <v>1.7092000000000001</v>
      </c>
      <c r="J3825">
        <v>48345.34</v>
      </c>
      <c r="K3825">
        <v>28285.361572665573</v>
      </c>
    </row>
    <row r="3826" spans="1:11" x14ac:dyDescent="0.25">
      <c r="A3826" t="s">
        <v>736</v>
      </c>
      <c r="B3826" t="s">
        <v>737</v>
      </c>
      <c r="C3826" s="1">
        <v>40969</v>
      </c>
      <c r="D3826" s="1">
        <v>40971</v>
      </c>
      <c r="E3826">
        <v>3415</v>
      </c>
      <c r="F3826" t="s">
        <v>689</v>
      </c>
      <c r="G3826" t="s">
        <v>16</v>
      </c>
      <c r="H3826" t="s">
        <v>6496</v>
      </c>
      <c r="I3826">
        <v>1.7092000000000001</v>
      </c>
      <c r="J3826">
        <v>64666.6</v>
      </c>
      <c r="K3826">
        <v>37834.425462204541</v>
      </c>
    </row>
    <row r="3827" spans="1:11" x14ac:dyDescent="0.25">
      <c r="A3827" t="s">
        <v>704</v>
      </c>
      <c r="B3827" t="s">
        <v>705</v>
      </c>
      <c r="C3827" s="1">
        <v>40981</v>
      </c>
      <c r="D3827" s="1">
        <v>40985</v>
      </c>
      <c r="E3827">
        <v>3416</v>
      </c>
      <c r="F3827" t="s">
        <v>689</v>
      </c>
      <c r="G3827" t="s">
        <v>16</v>
      </c>
      <c r="H3827" t="s">
        <v>6497</v>
      </c>
      <c r="I3827">
        <v>1.8157000000000001</v>
      </c>
      <c r="J3827">
        <v>40258.589999999997</v>
      </c>
      <c r="K3827">
        <v>22172.489948780083</v>
      </c>
    </row>
    <row r="3828" spans="1:11" x14ac:dyDescent="0.25">
      <c r="A3828" t="s">
        <v>704</v>
      </c>
      <c r="B3828" t="s">
        <v>705</v>
      </c>
      <c r="C3828" s="1">
        <v>40968</v>
      </c>
      <c r="D3828" s="1">
        <v>40970</v>
      </c>
      <c r="E3828">
        <v>3416</v>
      </c>
      <c r="F3828" t="s">
        <v>689</v>
      </c>
      <c r="G3828" t="s">
        <v>16</v>
      </c>
      <c r="H3828" t="s">
        <v>3234</v>
      </c>
      <c r="I3828">
        <v>1.7023999999999999</v>
      </c>
      <c r="J3828">
        <v>40258.589999999997</v>
      </c>
      <c r="K3828">
        <v>23648.137922932332</v>
      </c>
    </row>
    <row r="3829" spans="1:11" x14ac:dyDescent="0.25">
      <c r="A3829" t="s">
        <v>736</v>
      </c>
      <c r="B3829" t="s">
        <v>737</v>
      </c>
      <c r="C3829" s="1">
        <v>40969</v>
      </c>
      <c r="D3829" s="1">
        <v>40970</v>
      </c>
      <c r="E3829">
        <v>3415</v>
      </c>
      <c r="F3829" t="s">
        <v>689</v>
      </c>
      <c r="G3829" t="s">
        <v>16</v>
      </c>
      <c r="H3829" t="s">
        <v>3235</v>
      </c>
      <c r="I3829">
        <v>1.7092000000000001</v>
      </c>
      <c r="J3829">
        <v>48345.34</v>
      </c>
      <c r="K3829">
        <v>28285.361572665573</v>
      </c>
    </row>
    <row r="3830" spans="1:11" x14ac:dyDescent="0.25">
      <c r="A3830" t="s">
        <v>720</v>
      </c>
      <c r="B3830" t="s">
        <v>721</v>
      </c>
      <c r="C3830" s="1">
        <v>41078</v>
      </c>
      <c r="D3830" s="1">
        <v>41080</v>
      </c>
      <c r="E3830">
        <v>4819</v>
      </c>
      <c r="F3830" t="s">
        <v>689</v>
      </c>
      <c r="G3830" t="s">
        <v>16</v>
      </c>
      <c r="H3830" t="s">
        <v>3236</v>
      </c>
      <c r="I3830">
        <v>2.0442999999999998</v>
      </c>
      <c r="J3830">
        <v>43346.28</v>
      </c>
      <c r="K3830">
        <v>21203.482854766913</v>
      </c>
    </row>
    <row r="3831" spans="1:11" x14ac:dyDescent="0.25">
      <c r="A3831" t="s">
        <v>1851</v>
      </c>
      <c r="B3831" t="s">
        <v>144</v>
      </c>
      <c r="C3831" s="1">
        <v>41003</v>
      </c>
      <c r="D3831" s="1">
        <v>41008</v>
      </c>
      <c r="E3831">
        <v>3513</v>
      </c>
      <c r="F3831" t="s">
        <v>689</v>
      </c>
      <c r="G3831" t="s">
        <v>16</v>
      </c>
      <c r="H3831" t="s">
        <v>6498</v>
      </c>
      <c r="I3831">
        <v>1.8255999999999999</v>
      </c>
      <c r="J3831">
        <v>21870</v>
      </c>
      <c r="K3831">
        <v>11979.623137598597</v>
      </c>
    </row>
    <row r="3832" spans="1:11" x14ac:dyDescent="0.25">
      <c r="A3832" t="s">
        <v>1851</v>
      </c>
      <c r="B3832" t="s">
        <v>144</v>
      </c>
      <c r="C3832" s="1">
        <v>41003</v>
      </c>
      <c r="D3832" s="1">
        <v>41008</v>
      </c>
      <c r="E3832">
        <v>3513</v>
      </c>
      <c r="F3832" t="s">
        <v>689</v>
      </c>
      <c r="G3832" t="s">
        <v>16</v>
      </c>
      <c r="H3832" t="s">
        <v>6499</v>
      </c>
      <c r="I3832">
        <v>1.8255999999999999</v>
      </c>
      <c r="J3832">
        <v>21954</v>
      </c>
      <c r="K3832">
        <v>12025.635407537247</v>
      </c>
    </row>
    <row r="3833" spans="1:11" x14ac:dyDescent="0.25">
      <c r="A3833" t="s">
        <v>1851</v>
      </c>
      <c r="B3833" t="s">
        <v>144</v>
      </c>
      <c r="C3833" s="1">
        <v>41003</v>
      </c>
      <c r="D3833" s="1">
        <v>41004</v>
      </c>
      <c r="E3833">
        <v>3513</v>
      </c>
      <c r="F3833" t="s">
        <v>689</v>
      </c>
      <c r="G3833" t="s">
        <v>16</v>
      </c>
      <c r="H3833" t="s">
        <v>6500</v>
      </c>
      <c r="I3833">
        <v>1.8255999999999999</v>
      </c>
      <c r="J3833">
        <v>21876</v>
      </c>
      <c r="K3833">
        <v>11982.909728308501</v>
      </c>
    </row>
    <row r="3834" spans="1:11" x14ac:dyDescent="0.25">
      <c r="A3834" t="s">
        <v>687</v>
      </c>
      <c r="B3834" t="s">
        <v>688</v>
      </c>
      <c r="C3834" s="1">
        <v>40964</v>
      </c>
      <c r="D3834" s="1">
        <v>40966</v>
      </c>
      <c r="E3834">
        <v>3414</v>
      </c>
      <c r="F3834" t="s">
        <v>689</v>
      </c>
      <c r="G3834" t="s">
        <v>16</v>
      </c>
      <c r="H3834" t="s">
        <v>6501</v>
      </c>
      <c r="I3834">
        <v>1.7098</v>
      </c>
      <c r="J3834">
        <v>61051.49</v>
      </c>
      <c r="K3834">
        <v>35706.80196514212</v>
      </c>
    </row>
    <row r="3835" spans="1:11" x14ac:dyDescent="0.25">
      <c r="A3835" t="s">
        <v>687</v>
      </c>
      <c r="B3835" t="s">
        <v>688</v>
      </c>
      <c r="C3835" s="1">
        <v>40963</v>
      </c>
      <c r="D3835" s="1">
        <v>40967</v>
      </c>
      <c r="E3835">
        <v>3414</v>
      </c>
      <c r="F3835" t="s">
        <v>689</v>
      </c>
      <c r="G3835" t="s">
        <v>16</v>
      </c>
      <c r="H3835" t="s">
        <v>3237</v>
      </c>
      <c r="I3835">
        <v>1.704</v>
      </c>
      <c r="J3835">
        <v>44794.95</v>
      </c>
      <c r="K3835">
        <v>26288.116197183099</v>
      </c>
    </row>
    <row r="3836" spans="1:11" x14ac:dyDescent="0.25">
      <c r="A3836" t="s">
        <v>704</v>
      </c>
      <c r="B3836" t="s">
        <v>705</v>
      </c>
      <c r="C3836" s="1">
        <v>40978</v>
      </c>
      <c r="D3836" s="1">
        <v>40981</v>
      </c>
      <c r="E3836">
        <v>3416</v>
      </c>
      <c r="F3836" t="s">
        <v>689</v>
      </c>
      <c r="G3836" t="s">
        <v>16</v>
      </c>
      <c r="H3836" t="s">
        <v>3238</v>
      </c>
      <c r="I3836">
        <v>1.7766999999999999</v>
      </c>
      <c r="J3836">
        <v>35906.31</v>
      </c>
      <c r="K3836">
        <v>20209.551415545673</v>
      </c>
    </row>
    <row r="3837" spans="1:11" x14ac:dyDescent="0.25">
      <c r="A3837" t="s">
        <v>704</v>
      </c>
      <c r="B3837" t="s">
        <v>705</v>
      </c>
      <c r="C3837" s="1">
        <v>40983</v>
      </c>
      <c r="D3837" s="1">
        <v>40988</v>
      </c>
      <c r="E3837">
        <v>3416</v>
      </c>
      <c r="F3837" t="s">
        <v>689</v>
      </c>
      <c r="G3837" t="s">
        <v>16</v>
      </c>
      <c r="H3837" t="s">
        <v>3239</v>
      </c>
      <c r="I3837">
        <v>1.8146</v>
      </c>
      <c r="J3837">
        <v>39170.519999999997</v>
      </c>
      <c r="K3837">
        <v>21586.311032734488</v>
      </c>
    </row>
    <row r="3838" spans="1:11" x14ac:dyDescent="0.25">
      <c r="A3838" t="s">
        <v>687</v>
      </c>
      <c r="B3838" t="s">
        <v>688</v>
      </c>
      <c r="C3838" s="1">
        <v>40963</v>
      </c>
      <c r="D3838" s="1">
        <v>40964</v>
      </c>
      <c r="E3838">
        <v>3414</v>
      </c>
      <c r="F3838" t="s">
        <v>689</v>
      </c>
      <c r="G3838" t="s">
        <v>16</v>
      </c>
      <c r="H3838" t="s">
        <v>6502</v>
      </c>
      <c r="I3838">
        <v>1.704</v>
      </c>
      <c r="J3838">
        <v>46034.64</v>
      </c>
      <c r="K3838">
        <v>27015.633802816901</v>
      </c>
    </row>
    <row r="3839" spans="1:11" x14ac:dyDescent="0.25">
      <c r="A3839" t="s">
        <v>736</v>
      </c>
      <c r="B3839" t="s">
        <v>737</v>
      </c>
      <c r="C3839" s="1">
        <v>40967</v>
      </c>
      <c r="D3839" s="1">
        <v>40969</v>
      </c>
      <c r="E3839">
        <v>3415</v>
      </c>
      <c r="F3839" t="s">
        <v>689</v>
      </c>
      <c r="G3839" t="s">
        <v>16</v>
      </c>
      <c r="H3839" t="s">
        <v>3240</v>
      </c>
      <c r="I3839">
        <v>1.7088000000000001</v>
      </c>
      <c r="J3839">
        <v>49824.21</v>
      </c>
      <c r="K3839">
        <v>29157.426264044945</v>
      </c>
    </row>
    <row r="3840" spans="1:11" x14ac:dyDescent="0.25">
      <c r="A3840" t="s">
        <v>736</v>
      </c>
      <c r="B3840" t="s">
        <v>737</v>
      </c>
      <c r="C3840" s="1">
        <v>40967</v>
      </c>
      <c r="D3840" s="1">
        <v>40969</v>
      </c>
      <c r="E3840">
        <v>3415</v>
      </c>
      <c r="F3840" t="s">
        <v>689</v>
      </c>
      <c r="G3840" t="s">
        <v>16</v>
      </c>
      <c r="H3840" t="s">
        <v>3241</v>
      </c>
      <c r="I3840">
        <v>1.7088000000000001</v>
      </c>
      <c r="J3840">
        <v>49810.76</v>
      </c>
      <c r="K3840">
        <v>29149.555243445691</v>
      </c>
    </row>
    <row r="3841" spans="1:11" x14ac:dyDescent="0.25">
      <c r="A3841" t="s">
        <v>736</v>
      </c>
      <c r="B3841" t="s">
        <v>737</v>
      </c>
      <c r="C3841" s="1">
        <v>40967</v>
      </c>
      <c r="D3841" s="1">
        <v>40969</v>
      </c>
      <c r="E3841">
        <v>3415</v>
      </c>
      <c r="F3841" t="s">
        <v>689</v>
      </c>
      <c r="G3841" t="s">
        <v>16</v>
      </c>
      <c r="H3841" t="s">
        <v>3242</v>
      </c>
      <c r="I3841">
        <v>1.7088000000000001</v>
      </c>
      <c r="J3841">
        <v>49824.21</v>
      </c>
      <c r="K3841">
        <v>29157.426264044945</v>
      </c>
    </row>
    <row r="3842" spans="1:11" x14ac:dyDescent="0.25">
      <c r="A3842" t="s">
        <v>704</v>
      </c>
      <c r="B3842" t="s">
        <v>705</v>
      </c>
      <c r="C3842" s="1">
        <v>40975</v>
      </c>
      <c r="D3842" s="1">
        <v>40977</v>
      </c>
      <c r="E3842">
        <v>3416</v>
      </c>
      <c r="F3842" t="s">
        <v>689</v>
      </c>
      <c r="G3842" t="s">
        <v>16</v>
      </c>
      <c r="H3842" t="s">
        <v>3243</v>
      </c>
      <c r="I3842">
        <v>1.7556</v>
      </c>
      <c r="J3842">
        <v>40258.589999999997</v>
      </c>
      <c r="K3842">
        <v>22931.527682843473</v>
      </c>
    </row>
    <row r="3843" spans="1:11" x14ac:dyDescent="0.25">
      <c r="A3843" t="s">
        <v>704</v>
      </c>
      <c r="B3843" t="s">
        <v>705</v>
      </c>
      <c r="C3843" s="1">
        <v>40981</v>
      </c>
      <c r="D3843" s="1">
        <v>40987</v>
      </c>
      <c r="E3843">
        <v>3416</v>
      </c>
      <c r="F3843" t="s">
        <v>689</v>
      </c>
      <c r="G3843" t="s">
        <v>16</v>
      </c>
      <c r="H3843" t="s">
        <v>6503</v>
      </c>
      <c r="I3843">
        <v>1.8157000000000001</v>
      </c>
      <c r="J3843">
        <v>40258.589999999997</v>
      </c>
      <c r="K3843">
        <v>22172.489948780083</v>
      </c>
    </row>
    <row r="3844" spans="1:11" x14ac:dyDescent="0.25">
      <c r="A3844" t="s">
        <v>727</v>
      </c>
      <c r="B3844" t="s">
        <v>728</v>
      </c>
      <c r="C3844" s="1">
        <v>40970</v>
      </c>
      <c r="D3844" s="1">
        <v>40976</v>
      </c>
      <c r="E3844">
        <v>1715</v>
      </c>
      <c r="F3844" t="s">
        <v>689</v>
      </c>
      <c r="G3844" t="s">
        <v>16</v>
      </c>
      <c r="H3844" t="s">
        <v>3244</v>
      </c>
      <c r="I3844">
        <v>1.7152000000000001</v>
      </c>
      <c r="J3844">
        <v>39170.519999999997</v>
      </c>
      <c r="K3844">
        <v>22837.2901119403</v>
      </c>
    </row>
    <row r="3845" spans="1:11" x14ac:dyDescent="0.25">
      <c r="A3845" t="s">
        <v>727</v>
      </c>
      <c r="B3845" t="s">
        <v>728</v>
      </c>
      <c r="C3845" s="1">
        <v>40967</v>
      </c>
      <c r="D3845" s="1">
        <v>40976</v>
      </c>
      <c r="E3845">
        <v>1715</v>
      </c>
      <c r="F3845" t="s">
        <v>689</v>
      </c>
      <c r="G3845" t="s">
        <v>16</v>
      </c>
      <c r="H3845" t="s">
        <v>3073</v>
      </c>
      <c r="I3845">
        <v>1.7088000000000001</v>
      </c>
      <c r="J3845">
        <v>39170.519999999997</v>
      </c>
      <c r="K3845">
        <v>22922.823033707864</v>
      </c>
    </row>
    <row r="3846" spans="1:11" x14ac:dyDescent="0.25">
      <c r="A3846" t="s">
        <v>727</v>
      </c>
      <c r="B3846" t="s">
        <v>728</v>
      </c>
      <c r="C3846" s="1">
        <v>40968</v>
      </c>
      <c r="D3846" s="1">
        <v>40976</v>
      </c>
      <c r="E3846">
        <v>1715</v>
      </c>
      <c r="F3846" t="s">
        <v>689</v>
      </c>
      <c r="G3846" t="s">
        <v>16</v>
      </c>
      <c r="H3846" t="s">
        <v>6504</v>
      </c>
      <c r="I3846">
        <v>1.7023999999999999</v>
      </c>
      <c r="J3846">
        <v>39170.519999999997</v>
      </c>
      <c r="K3846">
        <v>23008.999060150374</v>
      </c>
    </row>
    <row r="3847" spans="1:11" x14ac:dyDescent="0.25">
      <c r="A3847" t="s">
        <v>704</v>
      </c>
      <c r="B3847" t="s">
        <v>705</v>
      </c>
      <c r="C3847" s="1">
        <v>40970</v>
      </c>
      <c r="D3847" s="1">
        <v>40971</v>
      </c>
      <c r="E3847">
        <v>3416</v>
      </c>
      <c r="F3847" t="s">
        <v>689</v>
      </c>
      <c r="G3847" t="s">
        <v>16</v>
      </c>
      <c r="H3847" t="s">
        <v>1161</v>
      </c>
      <c r="I3847">
        <v>1.7152000000000001</v>
      </c>
      <c r="J3847">
        <v>40258.589999999997</v>
      </c>
      <c r="K3847">
        <v>23471.659281716416</v>
      </c>
    </row>
    <row r="3848" spans="1:11" x14ac:dyDescent="0.25">
      <c r="A3848" t="s">
        <v>704</v>
      </c>
      <c r="B3848" t="s">
        <v>705</v>
      </c>
      <c r="C3848" s="1">
        <v>40971</v>
      </c>
      <c r="D3848" s="1">
        <v>40973</v>
      </c>
      <c r="E3848">
        <v>3416</v>
      </c>
      <c r="F3848" t="s">
        <v>689</v>
      </c>
      <c r="G3848" t="s">
        <v>16</v>
      </c>
      <c r="H3848" t="s">
        <v>6505</v>
      </c>
      <c r="I3848">
        <v>1.7244999999999999</v>
      </c>
      <c r="J3848">
        <v>40258.589999999997</v>
      </c>
      <c r="K3848">
        <v>23345.079733256018</v>
      </c>
    </row>
    <row r="3849" spans="1:11" x14ac:dyDescent="0.25">
      <c r="A3849" t="s">
        <v>717</v>
      </c>
      <c r="B3849" t="s">
        <v>718</v>
      </c>
      <c r="C3849" s="1">
        <v>40992</v>
      </c>
      <c r="D3849" s="1">
        <v>40999</v>
      </c>
      <c r="E3849">
        <v>3</v>
      </c>
      <c r="F3849" t="s">
        <v>309</v>
      </c>
      <c r="G3849" t="s">
        <v>16</v>
      </c>
      <c r="H3849" t="s">
        <v>6506</v>
      </c>
      <c r="I3849">
        <v>1.8193999999999999</v>
      </c>
      <c r="J3849">
        <v>57166.84</v>
      </c>
      <c r="K3849">
        <v>31420.710124216774</v>
      </c>
    </row>
    <row r="3850" spans="1:11" x14ac:dyDescent="0.25">
      <c r="A3850" t="s">
        <v>736</v>
      </c>
      <c r="B3850" t="s">
        <v>737</v>
      </c>
      <c r="C3850" s="1">
        <v>40967</v>
      </c>
      <c r="D3850" s="1">
        <v>40968</v>
      </c>
      <c r="E3850">
        <v>3415</v>
      </c>
      <c r="F3850" t="s">
        <v>689</v>
      </c>
      <c r="G3850" t="s">
        <v>16</v>
      </c>
      <c r="H3850" t="s">
        <v>3245</v>
      </c>
      <c r="I3850">
        <v>1.7088000000000001</v>
      </c>
      <c r="J3850">
        <v>49635.99</v>
      </c>
      <c r="K3850">
        <v>29047.278792134832</v>
      </c>
    </row>
    <row r="3851" spans="1:11" x14ac:dyDescent="0.25">
      <c r="A3851" t="s">
        <v>687</v>
      </c>
      <c r="B3851" t="s">
        <v>688</v>
      </c>
      <c r="C3851" s="1">
        <v>40969</v>
      </c>
      <c r="D3851" s="1">
        <v>40976</v>
      </c>
      <c r="E3851">
        <v>3414</v>
      </c>
      <c r="F3851" t="s">
        <v>689</v>
      </c>
      <c r="G3851" t="s">
        <v>16</v>
      </c>
      <c r="H3851" t="s">
        <v>3683</v>
      </c>
      <c r="I3851">
        <v>1.7092000000000001</v>
      </c>
      <c r="J3851">
        <v>48412.56</v>
      </c>
      <c r="K3851">
        <v>28324.689913409784</v>
      </c>
    </row>
    <row r="3852" spans="1:11" x14ac:dyDescent="0.25">
      <c r="A3852" t="s">
        <v>704</v>
      </c>
      <c r="B3852" t="s">
        <v>705</v>
      </c>
      <c r="C3852" s="1">
        <v>40976</v>
      </c>
      <c r="D3852" s="1">
        <v>40979</v>
      </c>
      <c r="E3852">
        <v>3416</v>
      </c>
      <c r="F3852" t="s">
        <v>689</v>
      </c>
      <c r="G3852" t="s">
        <v>16</v>
      </c>
      <c r="H3852" t="s">
        <v>3246</v>
      </c>
      <c r="I3852">
        <v>1.7692000000000001</v>
      </c>
      <c r="J3852">
        <v>39170.519999999997</v>
      </c>
      <c r="K3852">
        <v>22140.244178159621</v>
      </c>
    </row>
    <row r="3853" spans="1:11" x14ac:dyDescent="0.25">
      <c r="A3853" t="s">
        <v>2313</v>
      </c>
      <c r="B3853" t="s">
        <v>2314</v>
      </c>
      <c r="C3853" s="1">
        <v>40928</v>
      </c>
      <c r="D3853" s="1">
        <v>40951</v>
      </c>
      <c r="E3853">
        <v>1747</v>
      </c>
      <c r="F3853" t="s">
        <v>309</v>
      </c>
      <c r="G3853" t="s">
        <v>16</v>
      </c>
      <c r="H3853" t="s">
        <v>3247</v>
      </c>
      <c r="I3853">
        <v>1.7647999999999999</v>
      </c>
      <c r="J3853">
        <v>20902.05</v>
      </c>
      <c r="K3853">
        <v>11843.863327289211</v>
      </c>
    </row>
    <row r="3854" spans="1:11" x14ac:dyDescent="0.25">
      <c r="A3854" t="s">
        <v>704</v>
      </c>
      <c r="B3854" t="s">
        <v>705</v>
      </c>
      <c r="C3854" s="1">
        <v>40968</v>
      </c>
      <c r="D3854" s="1">
        <v>40969</v>
      </c>
      <c r="E3854">
        <v>3416</v>
      </c>
      <c r="F3854" t="s">
        <v>689</v>
      </c>
      <c r="G3854" t="s">
        <v>16</v>
      </c>
      <c r="H3854" t="s">
        <v>6507</v>
      </c>
      <c r="I3854">
        <v>1.7023999999999999</v>
      </c>
      <c r="J3854">
        <v>40258.589999999997</v>
      </c>
      <c r="K3854">
        <v>23648.137922932332</v>
      </c>
    </row>
    <row r="3855" spans="1:11" x14ac:dyDescent="0.25">
      <c r="A3855" t="s">
        <v>704</v>
      </c>
      <c r="B3855" t="s">
        <v>705</v>
      </c>
      <c r="C3855" s="1">
        <v>40980</v>
      </c>
      <c r="D3855" s="1">
        <v>40982</v>
      </c>
      <c r="E3855">
        <v>3416</v>
      </c>
      <c r="F3855" t="s">
        <v>689</v>
      </c>
      <c r="G3855" t="s">
        <v>16</v>
      </c>
      <c r="H3855" t="s">
        <v>3248</v>
      </c>
      <c r="I3855">
        <v>1.7766999999999999</v>
      </c>
      <c r="J3855">
        <v>40258.589999999997</v>
      </c>
      <c r="K3855">
        <v>22659.194011369393</v>
      </c>
    </row>
    <row r="3856" spans="1:11" x14ac:dyDescent="0.25">
      <c r="A3856" t="s">
        <v>687</v>
      </c>
      <c r="B3856" t="s">
        <v>688</v>
      </c>
      <c r="C3856" s="1">
        <v>40957</v>
      </c>
      <c r="D3856" s="1">
        <v>40959</v>
      </c>
      <c r="E3856">
        <v>3414</v>
      </c>
      <c r="F3856" t="s">
        <v>689</v>
      </c>
      <c r="G3856" t="s">
        <v>16</v>
      </c>
      <c r="H3856" t="s">
        <v>6508</v>
      </c>
      <c r="I3856">
        <v>1.7136</v>
      </c>
      <c r="J3856">
        <v>47568.28</v>
      </c>
      <c r="K3856">
        <v>27759.267040149392</v>
      </c>
    </row>
    <row r="3857" spans="1:11" x14ac:dyDescent="0.25">
      <c r="A3857" t="s">
        <v>704</v>
      </c>
      <c r="B3857" t="s">
        <v>705</v>
      </c>
      <c r="C3857" s="1">
        <v>40971</v>
      </c>
      <c r="D3857" s="1">
        <v>40973</v>
      </c>
      <c r="E3857">
        <v>3416</v>
      </c>
      <c r="F3857" t="s">
        <v>689</v>
      </c>
      <c r="G3857" t="s">
        <v>16</v>
      </c>
      <c r="H3857" t="s">
        <v>3249</v>
      </c>
      <c r="I3857">
        <v>1.7244999999999999</v>
      </c>
      <c r="J3857">
        <v>40258.589999999997</v>
      </c>
      <c r="K3857">
        <v>23345.079733256018</v>
      </c>
    </row>
    <row r="3858" spans="1:11" x14ac:dyDescent="0.25">
      <c r="A3858" t="s">
        <v>1368</v>
      </c>
      <c r="B3858" t="s">
        <v>1369</v>
      </c>
      <c r="C3858" s="1">
        <v>40948</v>
      </c>
      <c r="D3858" s="1">
        <v>40950</v>
      </c>
      <c r="E3858">
        <v>3413</v>
      </c>
      <c r="F3858" t="s">
        <v>689</v>
      </c>
      <c r="G3858" t="s">
        <v>16</v>
      </c>
      <c r="H3858" t="s">
        <v>6509</v>
      </c>
      <c r="I3858">
        <v>1.7195</v>
      </c>
      <c r="J3858">
        <v>47014.89</v>
      </c>
      <c r="K3858">
        <v>27342.186682175052</v>
      </c>
    </row>
    <row r="3859" spans="1:11" x14ac:dyDescent="0.25">
      <c r="A3859" t="s">
        <v>1368</v>
      </c>
      <c r="B3859" t="s">
        <v>1369</v>
      </c>
      <c r="C3859" s="1">
        <v>40948</v>
      </c>
      <c r="D3859" s="1">
        <v>40950</v>
      </c>
      <c r="E3859">
        <v>3413</v>
      </c>
      <c r="F3859" t="s">
        <v>689</v>
      </c>
      <c r="G3859" t="s">
        <v>16</v>
      </c>
      <c r="H3859" t="s">
        <v>3250</v>
      </c>
      <c r="I3859">
        <v>1.7195</v>
      </c>
      <c r="J3859">
        <v>47509.23</v>
      </c>
      <c r="K3859">
        <v>27629.677231753416</v>
      </c>
    </row>
    <row r="3860" spans="1:11" x14ac:dyDescent="0.25">
      <c r="A3860" t="s">
        <v>717</v>
      </c>
      <c r="B3860" t="s">
        <v>718</v>
      </c>
      <c r="C3860" s="1">
        <v>40991</v>
      </c>
      <c r="D3860" s="1">
        <v>40995</v>
      </c>
      <c r="E3860">
        <v>3</v>
      </c>
      <c r="F3860" t="s">
        <v>309</v>
      </c>
      <c r="G3860" t="s">
        <v>16</v>
      </c>
      <c r="H3860" t="s">
        <v>3251</v>
      </c>
      <c r="I3860">
        <v>1.825</v>
      </c>
      <c r="J3860">
        <v>40366.239999999998</v>
      </c>
      <c r="K3860">
        <v>22118.487671232877</v>
      </c>
    </row>
    <row r="3861" spans="1:11" x14ac:dyDescent="0.25">
      <c r="A3861" t="s">
        <v>5290</v>
      </c>
      <c r="B3861" t="s">
        <v>5291</v>
      </c>
      <c r="C3861" s="1">
        <v>40991</v>
      </c>
      <c r="D3861" s="1">
        <v>40996</v>
      </c>
      <c r="E3861">
        <v>4290</v>
      </c>
      <c r="F3861" t="s">
        <v>642</v>
      </c>
      <c r="G3861" t="s">
        <v>16</v>
      </c>
      <c r="H3861" t="s">
        <v>6510</v>
      </c>
      <c r="I3861">
        <v>1.825</v>
      </c>
      <c r="J3861">
        <v>105201.60000000001</v>
      </c>
      <c r="K3861">
        <v>57644.71232876712</v>
      </c>
    </row>
    <row r="3862" spans="1:11" x14ac:dyDescent="0.25">
      <c r="A3862" t="s">
        <v>3252</v>
      </c>
      <c r="B3862" t="s">
        <v>3253</v>
      </c>
      <c r="C3862" s="1">
        <v>40991</v>
      </c>
      <c r="D3862" s="1">
        <v>40993</v>
      </c>
      <c r="E3862">
        <v>4646</v>
      </c>
      <c r="F3862" t="s">
        <v>378</v>
      </c>
      <c r="G3862" t="s">
        <v>16</v>
      </c>
      <c r="H3862" t="s">
        <v>3254</v>
      </c>
      <c r="I3862">
        <v>1.825</v>
      </c>
      <c r="J3862">
        <v>223562.5</v>
      </c>
      <c r="K3862">
        <v>122500</v>
      </c>
    </row>
    <row r="3863" spans="1:11" x14ac:dyDescent="0.25">
      <c r="A3863" t="s">
        <v>736</v>
      </c>
      <c r="B3863" t="s">
        <v>737</v>
      </c>
      <c r="C3863" s="1">
        <v>40964</v>
      </c>
      <c r="D3863" s="1">
        <v>40966</v>
      </c>
      <c r="E3863">
        <v>3415</v>
      </c>
      <c r="F3863" t="s">
        <v>689</v>
      </c>
      <c r="G3863" t="s">
        <v>16</v>
      </c>
      <c r="H3863" t="s">
        <v>2633</v>
      </c>
      <c r="I3863">
        <v>1.7098</v>
      </c>
      <c r="J3863">
        <v>50012.42</v>
      </c>
      <c r="K3863">
        <v>29250.450345069599</v>
      </c>
    </row>
    <row r="3864" spans="1:11" x14ac:dyDescent="0.25">
      <c r="A3864" t="s">
        <v>704</v>
      </c>
      <c r="B3864" t="s">
        <v>705</v>
      </c>
      <c r="C3864" s="1">
        <v>40974</v>
      </c>
      <c r="D3864" s="1">
        <v>40976</v>
      </c>
      <c r="E3864">
        <v>3416</v>
      </c>
      <c r="F3864" t="s">
        <v>689</v>
      </c>
      <c r="G3864" t="s">
        <v>16</v>
      </c>
      <c r="H3864" t="s">
        <v>3255</v>
      </c>
      <c r="I3864">
        <v>1.7314000000000001</v>
      </c>
      <c r="J3864">
        <v>40258.589999999997</v>
      </c>
      <c r="K3864">
        <v>23252.044588194523</v>
      </c>
    </row>
    <row r="3865" spans="1:11" x14ac:dyDescent="0.25">
      <c r="A3865" t="s">
        <v>704</v>
      </c>
      <c r="B3865" t="s">
        <v>705</v>
      </c>
      <c r="C3865" s="1">
        <v>40981</v>
      </c>
      <c r="D3865" s="1">
        <v>40983</v>
      </c>
      <c r="E3865">
        <v>3416</v>
      </c>
      <c r="F3865" t="s">
        <v>689</v>
      </c>
      <c r="G3865" t="s">
        <v>16</v>
      </c>
      <c r="H3865" t="s">
        <v>6511</v>
      </c>
      <c r="I3865">
        <v>1.8157000000000001</v>
      </c>
      <c r="J3865">
        <v>41346.660000000003</v>
      </c>
      <c r="K3865">
        <v>22771.74643388225</v>
      </c>
    </row>
    <row r="3866" spans="1:11" x14ac:dyDescent="0.25">
      <c r="A3866" t="s">
        <v>736</v>
      </c>
      <c r="B3866" t="s">
        <v>737</v>
      </c>
      <c r="C3866" s="1">
        <v>40967</v>
      </c>
      <c r="D3866" s="1">
        <v>40968</v>
      </c>
      <c r="E3866">
        <v>3415</v>
      </c>
      <c r="F3866" t="s">
        <v>689</v>
      </c>
      <c r="G3866" t="s">
        <v>16</v>
      </c>
      <c r="H3866" t="s">
        <v>3256</v>
      </c>
      <c r="I3866">
        <v>1.7088000000000001</v>
      </c>
      <c r="J3866">
        <v>49958.65</v>
      </c>
      <c r="K3866">
        <v>29236.101357677904</v>
      </c>
    </row>
    <row r="3867" spans="1:11" x14ac:dyDescent="0.25">
      <c r="A3867" t="s">
        <v>720</v>
      </c>
      <c r="B3867" t="s">
        <v>721</v>
      </c>
      <c r="C3867" s="1">
        <v>41080</v>
      </c>
      <c r="D3867" s="1">
        <v>41083</v>
      </c>
      <c r="E3867">
        <v>4819</v>
      </c>
      <c r="F3867" t="s">
        <v>689</v>
      </c>
      <c r="G3867" t="s">
        <v>16</v>
      </c>
      <c r="H3867" t="s">
        <v>3257</v>
      </c>
      <c r="I3867">
        <v>2.044</v>
      </c>
      <c r="J3867">
        <v>43484.69</v>
      </c>
      <c r="K3867">
        <v>21274.310176125244</v>
      </c>
    </row>
    <row r="3868" spans="1:11" x14ac:dyDescent="0.25">
      <c r="A3868" t="s">
        <v>720</v>
      </c>
      <c r="B3868" t="s">
        <v>721</v>
      </c>
      <c r="C3868" s="1">
        <v>41076</v>
      </c>
      <c r="D3868" s="1">
        <v>41078</v>
      </c>
      <c r="E3868">
        <v>4819</v>
      </c>
      <c r="F3868" t="s">
        <v>689</v>
      </c>
      <c r="G3868" t="s">
        <v>16</v>
      </c>
      <c r="H3868" t="s">
        <v>3258</v>
      </c>
      <c r="I3868">
        <v>2.0442999999999998</v>
      </c>
      <c r="J3868">
        <v>42723.42</v>
      </c>
      <c r="K3868">
        <v>20898.801545761384</v>
      </c>
    </row>
    <row r="3869" spans="1:11" x14ac:dyDescent="0.25">
      <c r="A3869" t="s">
        <v>720</v>
      </c>
      <c r="B3869" t="s">
        <v>721</v>
      </c>
      <c r="C3869" s="1">
        <v>41082</v>
      </c>
      <c r="D3869" s="1">
        <v>41086</v>
      </c>
      <c r="E3869">
        <v>4819</v>
      </c>
      <c r="F3869" t="s">
        <v>689</v>
      </c>
      <c r="G3869" t="s">
        <v>16</v>
      </c>
      <c r="H3869" t="s">
        <v>3259</v>
      </c>
      <c r="I3869">
        <v>2.0363000000000002</v>
      </c>
      <c r="J3869">
        <v>42308.18</v>
      </c>
      <c r="K3869">
        <v>20776.987673721946</v>
      </c>
    </row>
    <row r="3870" spans="1:11" x14ac:dyDescent="0.25">
      <c r="A3870" t="s">
        <v>720</v>
      </c>
      <c r="B3870" t="s">
        <v>721</v>
      </c>
      <c r="C3870" s="1">
        <v>41070</v>
      </c>
      <c r="D3870" s="1">
        <v>41072</v>
      </c>
      <c r="E3870">
        <v>4819</v>
      </c>
      <c r="F3870" t="s">
        <v>689</v>
      </c>
      <c r="G3870" t="s">
        <v>16</v>
      </c>
      <c r="H3870" t="s">
        <v>3260</v>
      </c>
      <c r="I3870">
        <v>2.0352999999999999</v>
      </c>
      <c r="J3870">
        <v>44760.77</v>
      </c>
      <c r="K3870">
        <v>21992.222276814227</v>
      </c>
    </row>
    <row r="3871" spans="1:11" x14ac:dyDescent="0.25">
      <c r="A3871" t="s">
        <v>720</v>
      </c>
      <c r="B3871" t="s">
        <v>721</v>
      </c>
      <c r="C3871" s="1">
        <v>41082</v>
      </c>
      <c r="D3871" s="1">
        <v>41084</v>
      </c>
      <c r="E3871">
        <v>4819</v>
      </c>
      <c r="F3871" t="s">
        <v>689</v>
      </c>
      <c r="G3871" t="s">
        <v>16</v>
      </c>
      <c r="H3871" t="s">
        <v>3261</v>
      </c>
      <c r="I3871">
        <v>2.0363000000000002</v>
      </c>
      <c r="J3871">
        <v>43392.21</v>
      </c>
      <c r="K3871">
        <v>21309.340470461131</v>
      </c>
    </row>
    <row r="3872" spans="1:11" x14ac:dyDescent="0.25">
      <c r="A3872" t="s">
        <v>720</v>
      </c>
      <c r="B3872" t="s">
        <v>721</v>
      </c>
      <c r="C3872" s="1">
        <v>41069</v>
      </c>
      <c r="D3872" s="1">
        <v>41073</v>
      </c>
      <c r="E3872">
        <v>4819</v>
      </c>
      <c r="F3872" t="s">
        <v>689</v>
      </c>
      <c r="G3872" t="s">
        <v>16</v>
      </c>
      <c r="H3872" t="s">
        <v>6512</v>
      </c>
      <c r="I3872">
        <v>2.0352999999999999</v>
      </c>
      <c r="J3872">
        <v>44310.080000000002</v>
      </c>
      <c r="K3872">
        <v>21770.785633567531</v>
      </c>
    </row>
    <row r="3873" spans="1:11" x14ac:dyDescent="0.25">
      <c r="A3873" t="s">
        <v>3262</v>
      </c>
      <c r="C3873" s="1">
        <v>41029</v>
      </c>
      <c r="D3873" s="1">
        <v>41034</v>
      </c>
      <c r="E3873">
        <v>5675</v>
      </c>
      <c r="F3873" t="s">
        <v>323</v>
      </c>
      <c r="G3873" t="s">
        <v>16</v>
      </c>
      <c r="H3873" t="s">
        <v>3263</v>
      </c>
      <c r="I3873">
        <v>1.8852</v>
      </c>
      <c r="J3873">
        <v>154.13</v>
      </c>
      <c r="K3873">
        <v>81.75790367069807</v>
      </c>
    </row>
    <row r="3874" spans="1:11" x14ac:dyDescent="0.25">
      <c r="A3874" t="s">
        <v>720</v>
      </c>
      <c r="B3874" t="s">
        <v>721</v>
      </c>
      <c r="C3874" s="1">
        <v>41116</v>
      </c>
      <c r="D3874" s="1">
        <v>41121</v>
      </c>
      <c r="E3874">
        <v>4819</v>
      </c>
      <c r="F3874" t="s">
        <v>689</v>
      </c>
      <c r="G3874" t="s">
        <v>16</v>
      </c>
      <c r="H3874" t="s">
        <v>3264</v>
      </c>
      <c r="I3874">
        <v>1</v>
      </c>
      <c r="J3874">
        <v>42642.68</v>
      </c>
      <c r="K3874">
        <v>42642.68</v>
      </c>
    </row>
    <row r="3875" spans="1:11" x14ac:dyDescent="0.25">
      <c r="A3875" t="s">
        <v>751</v>
      </c>
      <c r="B3875" t="s">
        <v>752</v>
      </c>
      <c r="C3875" s="1">
        <v>41112</v>
      </c>
      <c r="D3875" s="1">
        <v>41113</v>
      </c>
      <c r="E3875">
        <v>4250</v>
      </c>
      <c r="F3875" t="s">
        <v>689</v>
      </c>
      <c r="G3875" t="s">
        <v>16</v>
      </c>
      <c r="H3875" t="s">
        <v>3265</v>
      </c>
      <c r="I3875">
        <v>2.0226999999999999</v>
      </c>
      <c r="J3875">
        <v>24308.37</v>
      </c>
      <c r="K3875">
        <v>12017.783161121273</v>
      </c>
    </row>
    <row r="3876" spans="1:11" x14ac:dyDescent="0.25">
      <c r="A3876" t="s">
        <v>751</v>
      </c>
      <c r="B3876" t="s">
        <v>752</v>
      </c>
      <c r="C3876" s="1">
        <v>41111</v>
      </c>
      <c r="D3876" s="1">
        <v>41113</v>
      </c>
      <c r="E3876">
        <v>4250</v>
      </c>
      <c r="F3876" t="s">
        <v>689</v>
      </c>
      <c r="G3876" t="s">
        <v>16</v>
      </c>
      <c r="H3876" t="s">
        <v>6513</v>
      </c>
      <c r="I3876">
        <v>2.0226999999999999</v>
      </c>
      <c r="J3876">
        <v>24630.31</v>
      </c>
      <c r="K3876">
        <v>12176.946655460522</v>
      </c>
    </row>
    <row r="3877" spans="1:11" x14ac:dyDescent="0.25">
      <c r="A3877" t="s">
        <v>751</v>
      </c>
      <c r="B3877" t="s">
        <v>752</v>
      </c>
      <c r="C3877" s="1">
        <v>41113</v>
      </c>
      <c r="D3877" s="1">
        <v>41115</v>
      </c>
      <c r="E3877">
        <v>4250</v>
      </c>
      <c r="F3877" t="s">
        <v>689</v>
      </c>
      <c r="G3877" t="s">
        <v>16</v>
      </c>
      <c r="H3877" t="s">
        <v>6514</v>
      </c>
      <c r="I3877">
        <v>2.0226999999999999</v>
      </c>
      <c r="J3877">
        <v>25025.64</v>
      </c>
      <c r="K3877">
        <v>12372.393335640481</v>
      </c>
    </row>
    <row r="3878" spans="1:11" x14ac:dyDescent="0.25">
      <c r="A3878" t="s">
        <v>751</v>
      </c>
      <c r="B3878" t="s">
        <v>752</v>
      </c>
      <c r="C3878" s="1">
        <v>41116</v>
      </c>
      <c r="D3878" s="1">
        <v>41118</v>
      </c>
      <c r="E3878">
        <v>4250</v>
      </c>
      <c r="F3878" t="s">
        <v>689</v>
      </c>
      <c r="G3878" t="s">
        <v>16</v>
      </c>
      <c r="H3878" t="s">
        <v>6515</v>
      </c>
      <c r="I3878">
        <v>1</v>
      </c>
      <c r="J3878">
        <v>33060.43</v>
      </c>
      <c r="K3878">
        <v>33060.43</v>
      </c>
    </row>
    <row r="3879" spans="1:11" x14ac:dyDescent="0.25">
      <c r="A3879" t="s">
        <v>751</v>
      </c>
      <c r="B3879" t="s">
        <v>752</v>
      </c>
      <c r="C3879" s="1">
        <v>41113</v>
      </c>
      <c r="D3879" s="1">
        <v>41118</v>
      </c>
      <c r="E3879">
        <v>4250</v>
      </c>
      <c r="F3879" t="s">
        <v>689</v>
      </c>
      <c r="G3879" t="s">
        <v>16</v>
      </c>
      <c r="H3879" t="s">
        <v>3266</v>
      </c>
      <c r="I3879">
        <v>2.0226999999999999</v>
      </c>
      <c r="J3879">
        <v>24532.1</v>
      </c>
      <c r="K3879">
        <v>12128.392742374055</v>
      </c>
    </row>
    <row r="3880" spans="1:11" x14ac:dyDescent="0.25">
      <c r="A3880" t="s">
        <v>751</v>
      </c>
      <c r="B3880" t="s">
        <v>752</v>
      </c>
      <c r="C3880" s="1">
        <v>41110</v>
      </c>
      <c r="D3880" s="1">
        <v>41113</v>
      </c>
      <c r="E3880">
        <v>4250</v>
      </c>
      <c r="F3880" t="s">
        <v>689</v>
      </c>
      <c r="G3880" t="s">
        <v>16</v>
      </c>
      <c r="H3880" t="s">
        <v>6516</v>
      </c>
      <c r="I3880">
        <v>2.0238999999999998</v>
      </c>
      <c r="J3880">
        <v>33336.81</v>
      </c>
      <c r="K3880">
        <v>16471.569741588024</v>
      </c>
    </row>
    <row r="3881" spans="1:11" x14ac:dyDescent="0.25">
      <c r="A3881" t="s">
        <v>751</v>
      </c>
      <c r="B3881" t="s">
        <v>752</v>
      </c>
      <c r="C3881" s="1">
        <v>41110</v>
      </c>
      <c r="D3881" s="1">
        <v>41113</v>
      </c>
      <c r="E3881">
        <v>4250</v>
      </c>
      <c r="F3881" t="s">
        <v>689</v>
      </c>
      <c r="G3881" t="s">
        <v>16</v>
      </c>
      <c r="H3881" t="s">
        <v>3267</v>
      </c>
      <c r="I3881">
        <v>2.0238999999999998</v>
      </c>
      <c r="J3881">
        <v>24532.1</v>
      </c>
      <c r="K3881">
        <v>12121.201640397252</v>
      </c>
    </row>
    <row r="3882" spans="1:11" x14ac:dyDescent="0.25">
      <c r="A3882" t="s">
        <v>751</v>
      </c>
      <c r="B3882" t="s">
        <v>752</v>
      </c>
      <c r="C3882" s="1">
        <v>41111</v>
      </c>
      <c r="D3882" s="1">
        <v>41113</v>
      </c>
      <c r="E3882">
        <v>4250</v>
      </c>
      <c r="F3882" t="s">
        <v>689</v>
      </c>
      <c r="G3882" t="s">
        <v>16</v>
      </c>
      <c r="H3882" t="s">
        <v>3268</v>
      </c>
      <c r="I3882">
        <v>2.0226999999999999</v>
      </c>
      <c r="J3882">
        <v>32994.629999999997</v>
      </c>
      <c r="K3882">
        <v>16312.171849508084</v>
      </c>
    </row>
    <row r="3883" spans="1:11" x14ac:dyDescent="0.25">
      <c r="A3883" t="s">
        <v>751</v>
      </c>
      <c r="B3883" t="s">
        <v>752</v>
      </c>
      <c r="C3883" s="1">
        <v>41118</v>
      </c>
      <c r="D3883" s="1">
        <v>41125</v>
      </c>
      <c r="E3883">
        <v>4250</v>
      </c>
      <c r="F3883" t="s">
        <v>689</v>
      </c>
      <c r="G3883" t="s">
        <v>16</v>
      </c>
      <c r="H3883" t="s">
        <v>3269</v>
      </c>
      <c r="I3883">
        <v>2.0173000000000001</v>
      </c>
      <c r="J3883">
        <v>32941.980000000003</v>
      </c>
      <c r="K3883">
        <v>16329.737768304169</v>
      </c>
    </row>
    <row r="3884" spans="1:11" x14ac:dyDescent="0.25">
      <c r="A3884" t="s">
        <v>751</v>
      </c>
      <c r="B3884" t="s">
        <v>752</v>
      </c>
      <c r="C3884" s="1">
        <v>41121</v>
      </c>
      <c r="D3884" s="1">
        <v>41123</v>
      </c>
      <c r="E3884">
        <v>4250</v>
      </c>
      <c r="F3884" t="s">
        <v>689</v>
      </c>
      <c r="G3884" t="s">
        <v>16</v>
      </c>
      <c r="H3884" t="s">
        <v>3270</v>
      </c>
      <c r="I3884">
        <v>2.0312999999999999</v>
      </c>
      <c r="J3884">
        <v>24367.59</v>
      </c>
      <c r="K3884">
        <v>11996.056712450156</v>
      </c>
    </row>
    <row r="3885" spans="1:11" x14ac:dyDescent="0.25">
      <c r="A3885" t="s">
        <v>751</v>
      </c>
      <c r="B3885" t="s">
        <v>752</v>
      </c>
      <c r="C3885" s="1">
        <v>41111</v>
      </c>
      <c r="D3885" s="1">
        <v>41114</v>
      </c>
      <c r="E3885">
        <v>4250</v>
      </c>
      <c r="F3885" t="s">
        <v>689</v>
      </c>
      <c r="G3885" t="s">
        <v>16</v>
      </c>
      <c r="H3885" t="s">
        <v>6517</v>
      </c>
      <c r="I3885">
        <v>2.0226999999999999</v>
      </c>
      <c r="J3885">
        <v>24650.55</v>
      </c>
      <c r="K3885">
        <v>12186.953082513472</v>
      </c>
    </row>
    <row r="3886" spans="1:11" x14ac:dyDescent="0.25">
      <c r="A3886" t="s">
        <v>759</v>
      </c>
      <c r="B3886" t="s">
        <v>760</v>
      </c>
      <c r="C3886" s="1">
        <v>41095</v>
      </c>
      <c r="D3886" s="1">
        <v>41100</v>
      </c>
      <c r="E3886">
        <v>8</v>
      </c>
      <c r="F3886" t="s">
        <v>689</v>
      </c>
      <c r="G3886" t="s">
        <v>16</v>
      </c>
      <c r="H3886" t="s">
        <v>3271</v>
      </c>
      <c r="I3886">
        <v>2.0200999999999998</v>
      </c>
      <c r="J3886">
        <v>43340.19</v>
      </c>
      <c r="K3886">
        <v>21454.477501113804</v>
      </c>
    </row>
    <row r="3887" spans="1:11" x14ac:dyDescent="0.25">
      <c r="A3887" t="s">
        <v>759</v>
      </c>
      <c r="B3887" t="s">
        <v>760</v>
      </c>
      <c r="C3887" s="1">
        <v>41092</v>
      </c>
      <c r="D3887" s="1">
        <v>41100</v>
      </c>
      <c r="E3887">
        <v>8</v>
      </c>
      <c r="F3887" t="s">
        <v>689</v>
      </c>
      <c r="G3887" t="s">
        <v>16</v>
      </c>
      <c r="H3887" t="s">
        <v>6518</v>
      </c>
      <c r="I3887">
        <v>2.0213000000000001</v>
      </c>
      <c r="J3887">
        <v>43770.91</v>
      </c>
      <c r="K3887">
        <v>21654.831049324694</v>
      </c>
    </row>
    <row r="3888" spans="1:11" x14ac:dyDescent="0.25">
      <c r="A3888" t="s">
        <v>759</v>
      </c>
      <c r="B3888" t="s">
        <v>760</v>
      </c>
      <c r="C3888" s="1">
        <v>41089</v>
      </c>
      <c r="D3888" s="1">
        <v>41100</v>
      </c>
      <c r="E3888">
        <v>8</v>
      </c>
      <c r="F3888" t="s">
        <v>689</v>
      </c>
      <c r="G3888" t="s">
        <v>16</v>
      </c>
      <c r="H3888" t="s">
        <v>6519</v>
      </c>
      <c r="I3888">
        <v>2.0903999999999998</v>
      </c>
      <c r="J3888">
        <v>43724.35</v>
      </c>
      <c r="K3888">
        <v>20916.738423268274</v>
      </c>
    </row>
    <row r="3889" spans="1:11" x14ac:dyDescent="0.25">
      <c r="A3889" t="s">
        <v>759</v>
      </c>
      <c r="B3889" t="s">
        <v>760</v>
      </c>
      <c r="C3889" s="1">
        <v>41086</v>
      </c>
      <c r="D3889" s="1">
        <v>41100</v>
      </c>
      <c r="E3889">
        <v>8</v>
      </c>
      <c r="F3889" t="s">
        <v>689</v>
      </c>
      <c r="G3889" t="s">
        <v>16</v>
      </c>
      <c r="H3889" t="s">
        <v>6520</v>
      </c>
      <c r="I3889">
        <v>2.0718000000000001</v>
      </c>
      <c r="J3889">
        <v>44236.56</v>
      </c>
      <c r="K3889">
        <v>21351.752099623514</v>
      </c>
    </row>
    <row r="3890" spans="1:11" x14ac:dyDescent="0.25">
      <c r="A3890" t="s">
        <v>751</v>
      </c>
      <c r="B3890" t="s">
        <v>752</v>
      </c>
      <c r="C3890" s="1">
        <v>41114</v>
      </c>
      <c r="D3890" s="1">
        <v>41116</v>
      </c>
      <c r="E3890">
        <v>4250</v>
      </c>
      <c r="F3890" t="s">
        <v>689</v>
      </c>
      <c r="G3890" t="s">
        <v>16</v>
      </c>
      <c r="H3890" t="s">
        <v>6521</v>
      </c>
      <c r="I3890">
        <v>2.0411999999999999</v>
      </c>
      <c r="J3890">
        <v>28835.75</v>
      </c>
      <c r="K3890">
        <v>14126.861650009798</v>
      </c>
    </row>
    <row r="3891" spans="1:11" x14ac:dyDescent="0.25">
      <c r="A3891" t="s">
        <v>751</v>
      </c>
      <c r="B3891" t="s">
        <v>752</v>
      </c>
      <c r="C3891" s="1">
        <v>41104</v>
      </c>
      <c r="D3891" s="1">
        <v>41107</v>
      </c>
      <c r="E3891">
        <v>4250</v>
      </c>
      <c r="F3891" t="s">
        <v>689</v>
      </c>
      <c r="G3891" t="s">
        <v>16</v>
      </c>
      <c r="H3891" t="s">
        <v>3272</v>
      </c>
      <c r="I3891">
        <v>2.0337999999999998</v>
      </c>
      <c r="J3891">
        <v>33442.1</v>
      </c>
      <c r="K3891">
        <v>16443.160586094993</v>
      </c>
    </row>
    <row r="3892" spans="1:11" x14ac:dyDescent="0.25">
      <c r="A3892" t="s">
        <v>751</v>
      </c>
      <c r="B3892" t="s">
        <v>752</v>
      </c>
      <c r="C3892" s="1">
        <v>41136</v>
      </c>
      <c r="D3892" s="1">
        <v>41141</v>
      </c>
      <c r="E3892">
        <v>4250</v>
      </c>
      <c r="F3892" t="s">
        <v>689</v>
      </c>
      <c r="G3892" t="s">
        <v>16</v>
      </c>
      <c r="H3892" t="s">
        <v>6522</v>
      </c>
      <c r="I3892">
        <v>2.0257999999999998</v>
      </c>
      <c r="J3892">
        <v>33764.550000000003</v>
      </c>
      <c r="K3892">
        <v>16667.267252443478</v>
      </c>
    </row>
    <row r="3893" spans="1:11" x14ac:dyDescent="0.25">
      <c r="A3893" t="s">
        <v>1416</v>
      </c>
      <c r="B3893" t="s">
        <v>771</v>
      </c>
      <c r="C3893" s="1">
        <v>41162</v>
      </c>
      <c r="D3893" s="1">
        <v>41164</v>
      </c>
      <c r="E3893">
        <v>4821</v>
      </c>
      <c r="F3893" t="s">
        <v>331</v>
      </c>
      <c r="G3893" t="s">
        <v>16</v>
      </c>
      <c r="H3893" t="s">
        <v>6523</v>
      </c>
      <c r="I3893">
        <v>2.0381</v>
      </c>
      <c r="J3893">
        <v>43072.83</v>
      </c>
      <c r="K3893">
        <v>21133.815808841569</v>
      </c>
    </row>
    <row r="3894" spans="1:11" x14ac:dyDescent="0.25">
      <c r="A3894" t="s">
        <v>1398</v>
      </c>
      <c r="B3894" t="s">
        <v>1399</v>
      </c>
      <c r="C3894" s="1">
        <v>41141</v>
      </c>
      <c r="D3894" s="1">
        <v>41143</v>
      </c>
      <c r="E3894">
        <v>1905</v>
      </c>
      <c r="F3894" t="s">
        <v>689</v>
      </c>
      <c r="G3894" t="s">
        <v>16</v>
      </c>
      <c r="H3894" t="s">
        <v>3273</v>
      </c>
      <c r="I3894">
        <v>2.0182000000000002</v>
      </c>
      <c r="J3894">
        <v>24933.51</v>
      </c>
      <c r="K3894">
        <v>12354.330591616292</v>
      </c>
    </row>
    <row r="3895" spans="1:11" x14ac:dyDescent="0.25">
      <c r="A3895" t="s">
        <v>1398</v>
      </c>
      <c r="B3895" t="s">
        <v>1399</v>
      </c>
      <c r="C3895" s="1">
        <v>41141</v>
      </c>
      <c r="D3895" s="1">
        <v>41143</v>
      </c>
      <c r="E3895">
        <v>1905</v>
      </c>
      <c r="F3895" t="s">
        <v>689</v>
      </c>
      <c r="G3895" t="s">
        <v>16</v>
      </c>
      <c r="H3895" t="s">
        <v>3274</v>
      </c>
      <c r="I3895">
        <v>2.0182000000000002</v>
      </c>
      <c r="J3895">
        <v>24630.81</v>
      </c>
      <c r="K3895">
        <v>12204.345456347241</v>
      </c>
    </row>
    <row r="3896" spans="1:11" x14ac:dyDescent="0.25">
      <c r="A3896" t="s">
        <v>751</v>
      </c>
      <c r="B3896" t="s">
        <v>752</v>
      </c>
      <c r="C3896" s="1">
        <v>41128</v>
      </c>
      <c r="D3896" s="1">
        <v>41129</v>
      </c>
      <c r="E3896">
        <v>4250</v>
      </c>
      <c r="F3896" t="s">
        <v>689</v>
      </c>
      <c r="G3896" t="s">
        <v>16</v>
      </c>
      <c r="H3896" t="s">
        <v>3275</v>
      </c>
      <c r="I3896">
        <v>2.0278999999999998</v>
      </c>
      <c r="J3896">
        <v>33040.69</v>
      </c>
      <c r="K3896">
        <v>16293.056856846984</v>
      </c>
    </row>
    <row r="3897" spans="1:11" x14ac:dyDescent="0.25">
      <c r="A3897" t="s">
        <v>751</v>
      </c>
      <c r="B3897" t="s">
        <v>752</v>
      </c>
      <c r="C3897" s="1">
        <v>41125</v>
      </c>
      <c r="D3897" s="1">
        <v>41129</v>
      </c>
      <c r="E3897">
        <v>4250</v>
      </c>
      <c r="F3897" t="s">
        <v>689</v>
      </c>
      <c r="G3897" t="s">
        <v>16</v>
      </c>
      <c r="H3897" t="s">
        <v>3276</v>
      </c>
      <c r="I3897">
        <v>2.0312999999999999</v>
      </c>
      <c r="J3897">
        <v>33863.25</v>
      </c>
      <c r="K3897">
        <v>16670.728105154336</v>
      </c>
    </row>
    <row r="3898" spans="1:11" x14ac:dyDescent="0.25">
      <c r="A3898" t="s">
        <v>799</v>
      </c>
      <c r="B3898" t="s">
        <v>800</v>
      </c>
      <c r="C3898" s="1">
        <v>41163</v>
      </c>
      <c r="D3898" s="1">
        <v>41169</v>
      </c>
      <c r="E3898">
        <v>4856</v>
      </c>
      <c r="F3898" t="s">
        <v>301</v>
      </c>
      <c r="G3898" t="s">
        <v>16</v>
      </c>
      <c r="H3898" t="s">
        <v>6524</v>
      </c>
      <c r="I3898">
        <v>2.0240999999999998</v>
      </c>
      <c r="J3898">
        <v>42254.99</v>
      </c>
      <c r="K3898">
        <v>20875.939923916801</v>
      </c>
    </row>
    <row r="3899" spans="1:11" x14ac:dyDescent="0.25">
      <c r="A3899" t="s">
        <v>1904</v>
      </c>
      <c r="B3899" t="s">
        <v>144</v>
      </c>
      <c r="C3899" s="1">
        <v>41156</v>
      </c>
      <c r="D3899" s="1">
        <v>41159</v>
      </c>
      <c r="E3899">
        <v>4818</v>
      </c>
      <c r="F3899" t="s">
        <v>642</v>
      </c>
      <c r="G3899" t="s">
        <v>16</v>
      </c>
      <c r="H3899" t="s">
        <v>6525</v>
      </c>
      <c r="I3899">
        <v>2.0335000000000001</v>
      </c>
      <c r="J3899">
        <v>170225.73</v>
      </c>
      <c r="K3899">
        <v>83710.710597492012</v>
      </c>
    </row>
    <row r="3900" spans="1:11" x14ac:dyDescent="0.25">
      <c r="A3900" t="s">
        <v>751</v>
      </c>
      <c r="B3900" t="s">
        <v>752</v>
      </c>
      <c r="C3900" s="1">
        <v>41157</v>
      </c>
      <c r="D3900" s="1">
        <v>41159</v>
      </c>
      <c r="E3900">
        <v>4250</v>
      </c>
      <c r="F3900" t="s">
        <v>689</v>
      </c>
      <c r="G3900" t="s">
        <v>16</v>
      </c>
      <c r="H3900" t="s">
        <v>6526</v>
      </c>
      <c r="I3900">
        <v>2.0392000000000001</v>
      </c>
      <c r="J3900">
        <v>24617.65</v>
      </c>
      <c r="K3900">
        <v>12072.209690074538</v>
      </c>
    </row>
    <row r="3901" spans="1:11" x14ac:dyDescent="0.25">
      <c r="A3901" t="s">
        <v>6527</v>
      </c>
      <c r="B3901" t="s">
        <v>566</v>
      </c>
      <c r="C3901" s="1">
        <v>41144</v>
      </c>
      <c r="D3901" s="1">
        <v>41164</v>
      </c>
      <c r="E3901">
        <v>4833</v>
      </c>
      <c r="F3901" t="s">
        <v>6528</v>
      </c>
      <c r="G3901" t="s">
        <v>16</v>
      </c>
      <c r="H3901" t="s">
        <v>6529</v>
      </c>
      <c r="I3901">
        <v>2.0209999999999999</v>
      </c>
      <c r="J3901">
        <v>102262.6</v>
      </c>
      <c r="K3901">
        <v>50600</v>
      </c>
    </row>
    <row r="3902" spans="1:11" x14ac:dyDescent="0.25">
      <c r="A3902" t="s">
        <v>759</v>
      </c>
      <c r="B3902" t="s">
        <v>760</v>
      </c>
      <c r="C3902" s="1">
        <v>41116</v>
      </c>
      <c r="D3902" s="1">
        <v>41127</v>
      </c>
      <c r="E3902">
        <v>8</v>
      </c>
      <c r="F3902" t="s">
        <v>689</v>
      </c>
      <c r="G3902" t="s">
        <v>16</v>
      </c>
      <c r="H3902" t="s">
        <v>3277</v>
      </c>
      <c r="I3902">
        <v>1</v>
      </c>
      <c r="J3902">
        <v>7019.64</v>
      </c>
      <c r="K3902">
        <v>7019.64</v>
      </c>
    </row>
    <row r="3903" spans="1:11" x14ac:dyDescent="0.25">
      <c r="A3903" t="s">
        <v>770</v>
      </c>
      <c r="B3903" t="s">
        <v>771</v>
      </c>
      <c r="C3903" s="1">
        <v>41165</v>
      </c>
      <c r="D3903" s="1">
        <v>41169</v>
      </c>
      <c r="E3903">
        <v>4824</v>
      </c>
      <c r="F3903" t="s">
        <v>331</v>
      </c>
      <c r="G3903" t="s">
        <v>16</v>
      </c>
      <c r="H3903" t="s">
        <v>6530</v>
      </c>
      <c r="I3903">
        <v>2.0204</v>
      </c>
      <c r="J3903">
        <v>57330.61</v>
      </c>
      <c r="K3903">
        <v>28375.871114630765</v>
      </c>
    </row>
    <row r="3904" spans="1:11" x14ac:dyDescent="0.25">
      <c r="A3904" t="s">
        <v>751</v>
      </c>
      <c r="B3904" t="s">
        <v>752</v>
      </c>
      <c r="C3904" s="1">
        <v>41129</v>
      </c>
      <c r="D3904" s="1">
        <v>41132</v>
      </c>
      <c r="E3904">
        <v>4250</v>
      </c>
      <c r="F3904" t="s">
        <v>689</v>
      </c>
      <c r="G3904" t="s">
        <v>16</v>
      </c>
      <c r="H3904" t="s">
        <v>3278</v>
      </c>
      <c r="I3904">
        <v>2.0280999999999998</v>
      </c>
      <c r="J3904">
        <v>24308.37</v>
      </c>
      <c r="K3904">
        <v>11985.784724619101</v>
      </c>
    </row>
    <row r="3905" spans="1:11" x14ac:dyDescent="0.25">
      <c r="A3905" t="s">
        <v>751</v>
      </c>
      <c r="B3905" t="s">
        <v>752</v>
      </c>
      <c r="C3905" s="1">
        <v>41131</v>
      </c>
      <c r="D3905" s="1">
        <v>41132</v>
      </c>
      <c r="E3905">
        <v>4250</v>
      </c>
      <c r="F3905" t="s">
        <v>689</v>
      </c>
      <c r="G3905" t="s">
        <v>16</v>
      </c>
      <c r="H3905" t="s">
        <v>3279</v>
      </c>
      <c r="I3905">
        <v>2.0182000000000002</v>
      </c>
      <c r="J3905">
        <v>33040.69</v>
      </c>
      <c r="K3905">
        <v>16371.365573283123</v>
      </c>
    </row>
    <row r="3906" spans="1:11" x14ac:dyDescent="0.25">
      <c r="A3906" t="s">
        <v>770</v>
      </c>
      <c r="B3906" t="s">
        <v>771</v>
      </c>
      <c r="C3906" s="1">
        <v>41165</v>
      </c>
      <c r="D3906" s="1">
        <v>41169</v>
      </c>
      <c r="E3906">
        <v>4824</v>
      </c>
      <c r="F3906" t="s">
        <v>331</v>
      </c>
      <c r="G3906" t="s">
        <v>16</v>
      </c>
      <c r="H3906" t="s">
        <v>740</v>
      </c>
      <c r="I3906">
        <v>2.0204</v>
      </c>
      <c r="J3906">
        <v>57512.82</v>
      </c>
      <c r="K3906">
        <v>28466.056226489804</v>
      </c>
    </row>
    <row r="3907" spans="1:11" x14ac:dyDescent="0.25">
      <c r="A3907" t="s">
        <v>774</v>
      </c>
      <c r="B3907" t="s">
        <v>775</v>
      </c>
      <c r="C3907" s="1">
        <v>41143</v>
      </c>
      <c r="D3907" s="1">
        <v>41149</v>
      </c>
      <c r="E3907">
        <v>4826</v>
      </c>
      <c r="F3907" t="s">
        <v>311</v>
      </c>
      <c r="G3907" t="s">
        <v>16</v>
      </c>
      <c r="H3907" t="s">
        <v>3280</v>
      </c>
      <c r="I3907">
        <v>2.0173000000000001</v>
      </c>
      <c r="J3907">
        <v>579196.24</v>
      </c>
      <c r="K3907">
        <v>287114.57889257919</v>
      </c>
    </row>
    <row r="3908" spans="1:11" x14ac:dyDescent="0.25">
      <c r="A3908" t="s">
        <v>751</v>
      </c>
      <c r="B3908" t="s">
        <v>752</v>
      </c>
      <c r="C3908" s="1">
        <v>41105</v>
      </c>
      <c r="D3908" s="1">
        <v>41107</v>
      </c>
      <c r="E3908">
        <v>4250</v>
      </c>
      <c r="F3908" t="s">
        <v>689</v>
      </c>
      <c r="G3908" t="s">
        <v>16</v>
      </c>
      <c r="H3908" t="s">
        <v>6531</v>
      </c>
      <c r="I3908">
        <v>2.0337999999999998</v>
      </c>
      <c r="J3908">
        <v>24854.55</v>
      </c>
      <c r="K3908">
        <v>12220.7444193136</v>
      </c>
    </row>
    <row r="3909" spans="1:11" x14ac:dyDescent="0.25">
      <c r="A3909" t="s">
        <v>4158</v>
      </c>
      <c r="B3909" t="s">
        <v>286</v>
      </c>
      <c r="C3909" s="1">
        <v>41156</v>
      </c>
      <c r="D3909" s="1">
        <v>41171</v>
      </c>
      <c r="E3909">
        <v>1</v>
      </c>
      <c r="F3909" t="s">
        <v>642</v>
      </c>
      <c r="G3909" t="s">
        <v>16</v>
      </c>
      <c r="H3909" t="s">
        <v>6532</v>
      </c>
      <c r="I3909">
        <v>2.0335000000000001</v>
      </c>
      <c r="J3909">
        <v>14941.83</v>
      </c>
      <c r="K3909">
        <v>7347.838701745759</v>
      </c>
    </row>
    <row r="3910" spans="1:11" x14ac:dyDescent="0.25">
      <c r="A3910" t="s">
        <v>751</v>
      </c>
      <c r="B3910" t="s">
        <v>752</v>
      </c>
      <c r="C3910" s="1">
        <v>41124</v>
      </c>
      <c r="D3910" s="1">
        <v>41127</v>
      </c>
      <c r="E3910">
        <v>4250</v>
      </c>
      <c r="F3910" t="s">
        <v>689</v>
      </c>
      <c r="G3910" t="s">
        <v>16</v>
      </c>
      <c r="H3910" t="s">
        <v>6533</v>
      </c>
      <c r="I3910">
        <v>2.0474999999999999</v>
      </c>
      <c r="J3910">
        <v>33501.33</v>
      </c>
      <c r="K3910">
        <v>16362.065934065935</v>
      </c>
    </row>
    <row r="3911" spans="1:11" x14ac:dyDescent="0.25">
      <c r="A3911" t="s">
        <v>779</v>
      </c>
      <c r="B3911" t="s">
        <v>771</v>
      </c>
      <c r="C3911" s="1">
        <v>41157</v>
      </c>
      <c r="D3911" s="1">
        <v>41158</v>
      </c>
      <c r="E3911">
        <v>4822</v>
      </c>
      <c r="F3911" t="s">
        <v>331</v>
      </c>
      <c r="G3911" t="s">
        <v>16</v>
      </c>
      <c r="H3911" t="s">
        <v>3281</v>
      </c>
      <c r="I3911">
        <v>2.0392000000000001</v>
      </c>
      <c r="J3911">
        <v>57446.77</v>
      </c>
      <c r="K3911">
        <v>28171.228913299332</v>
      </c>
    </row>
    <row r="3912" spans="1:11" x14ac:dyDescent="0.25">
      <c r="A3912" t="s">
        <v>779</v>
      </c>
      <c r="B3912" t="s">
        <v>771</v>
      </c>
      <c r="C3912" s="1">
        <v>41158</v>
      </c>
      <c r="D3912" s="1">
        <v>41158</v>
      </c>
      <c r="E3912">
        <v>4822</v>
      </c>
      <c r="F3912" t="s">
        <v>331</v>
      </c>
      <c r="G3912" t="s">
        <v>16</v>
      </c>
      <c r="H3912" t="s">
        <v>3282</v>
      </c>
      <c r="I3912">
        <v>2.0385</v>
      </c>
      <c r="J3912">
        <v>17055.810000000001</v>
      </c>
      <c r="K3912">
        <v>8366.8432671081682</v>
      </c>
    </row>
    <row r="3913" spans="1:11" x14ac:dyDescent="0.25">
      <c r="A3913" t="s">
        <v>751</v>
      </c>
      <c r="B3913" t="s">
        <v>752</v>
      </c>
      <c r="C3913" s="1">
        <v>41123</v>
      </c>
      <c r="D3913" s="1">
        <v>41125</v>
      </c>
      <c r="E3913">
        <v>4250</v>
      </c>
      <c r="F3913" t="s">
        <v>689</v>
      </c>
      <c r="G3913" t="s">
        <v>16</v>
      </c>
      <c r="H3913" t="s">
        <v>3283</v>
      </c>
      <c r="I3913">
        <v>2.0432000000000001</v>
      </c>
      <c r="J3913">
        <v>33540.81</v>
      </c>
      <c r="K3913">
        <v>16415.823218480815</v>
      </c>
    </row>
    <row r="3914" spans="1:11" x14ac:dyDescent="0.25">
      <c r="A3914" t="s">
        <v>751</v>
      </c>
      <c r="B3914" t="s">
        <v>752</v>
      </c>
      <c r="C3914" s="1">
        <v>41123</v>
      </c>
      <c r="D3914" s="1">
        <v>41124</v>
      </c>
      <c r="E3914">
        <v>4250</v>
      </c>
      <c r="F3914" t="s">
        <v>689</v>
      </c>
      <c r="G3914" t="s">
        <v>16</v>
      </c>
      <c r="H3914" t="s">
        <v>6534</v>
      </c>
      <c r="I3914">
        <v>2.0432000000000001</v>
      </c>
      <c r="J3914">
        <v>33764.550000000003</v>
      </c>
      <c r="K3914">
        <v>16525.327916992952</v>
      </c>
    </row>
    <row r="3915" spans="1:11" x14ac:dyDescent="0.25">
      <c r="A3915" t="s">
        <v>811</v>
      </c>
      <c r="B3915" t="s">
        <v>812</v>
      </c>
      <c r="C3915" s="1">
        <v>41149</v>
      </c>
      <c r="D3915" s="1">
        <v>41163</v>
      </c>
      <c r="E3915">
        <v>5271</v>
      </c>
      <c r="F3915" t="s">
        <v>331</v>
      </c>
      <c r="G3915" t="s">
        <v>16</v>
      </c>
      <c r="H3915" t="s">
        <v>6535</v>
      </c>
      <c r="I3915">
        <v>2.0293000000000001</v>
      </c>
      <c r="J3915">
        <v>63649.279999999999</v>
      </c>
      <c r="K3915">
        <v>31365.140688907504</v>
      </c>
    </row>
    <row r="3916" spans="1:11" x14ac:dyDescent="0.25">
      <c r="A3916" t="s">
        <v>6536</v>
      </c>
      <c r="B3916" t="s">
        <v>6537</v>
      </c>
      <c r="C3916" s="1">
        <v>41156</v>
      </c>
      <c r="D3916" s="1">
        <v>41163</v>
      </c>
      <c r="E3916">
        <v>8444</v>
      </c>
      <c r="F3916" t="s">
        <v>278</v>
      </c>
      <c r="G3916" t="s">
        <v>16</v>
      </c>
      <c r="H3916" t="s">
        <v>6538</v>
      </c>
      <c r="I3916">
        <v>2.0335000000000001</v>
      </c>
      <c r="J3916">
        <v>37540</v>
      </c>
      <c r="K3916">
        <v>18460.781903122694</v>
      </c>
    </row>
    <row r="3917" spans="1:11" x14ac:dyDescent="0.25">
      <c r="A3917" t="s">
        <v>793</v>
      </c>
      <c r="B3917" t="s">
        <v>794</v>
      </c>
      <c r="C3917" s="1">
        <v>41145</v>
      </c>
      <c r="D3917" s="1">
        <v>41163</v>
      </c>
      <c r="E3917">
        <v>3</v>
      </c>
      <c r="F3917" t="s">
        <v>309</v>
      </c>
      <c r="G3917" t="s">
        <v>16</v>
      </c>
      <c r="H3917" t="s">
        <v>3284</v>
      </c>
      <c r="I3917">
        <v>2.0240999999999998</v>
      </c>
      <c r="J3917">
        <v>65340.5</v>
      </c>
      <c r="K3917">
        <v>32281.260807272367</v>
      </c>
    </row>
    <row r="3918" spans="1:11" x14ac:dyDescent="0.25">
      <c r="A3918" t="s">
        <v>1398</v>
      </c>
      <c r="B3918" t="s">
        <v>1399</v>
      </c>
      <c r="C3918" s="1">
        <v>41135</v>
      </c>
      <c r="D3918" s="1">
        <v>41139</v>
      </c>
      <c r="E3918">
        <v>1905</v>
      </c>
      <c r="F3918" t="s">
        <v>689</v>
      </c>
      <c r="G3918" t="s">
        <v>16</v>
      </c>
      <c r="H3918" t="s">
        <v>6539</v>
      </c>
      <c r="I3918">
        <v>2.0266000000000002</v>
      </c>
      <c r="J3918">
        <v>33679</v>
      </c>
      <c r="K3918">
        <v>16618.474291917497</v>
      </c>
    </row>
    <row r="3919" spans="1:11" x14ac:dyDescent="0.25">
      <c r="A3919" t="s">
        <v>1398</v>
      </c>
      <c r="B3919" t="s">
        <v>1399</v>
      </c>
      <c r="C3919" s="1">
        <v>41134</v>
      </c>
      <c r="D3919" s="1">
        <v>41139</v>
      </c>
      <c r="E3919">
        <v>1905</v>
      </c>
      <c r="F3919" t="s">
        <v>689</v>
      </c>
      <c r="G3919" t="s">
        <v>16</v>
      </c>
      <c r="H3919" t="s">
        <v>3285</v>
      </c>
      <c r="I3919">
        <v>2.0175000000000001</v>
      </c>
      <c r="J3919">
        <v>33586.870000000003</v>
      </c>
      <c r="K3919">
        <v>16647.76703841388</v>
      </c>
    </row>
    <row r="3920" spans="1:11" x14ac:dyDescent="0.25">
      <c r="A3920" t="s">
        <v>774</v>
      </c>
      <c r="B3920" t="s">
        <v>775</v>
      </c>
      <c r="C3920" s="1">
        <v>41142</v>
      </c>
      <c r="D3920" s="1">
        <v>41149</v>
      </c>
      <c r="E3920">
        <v>4826</v>
      </c>
      <c r="F3920" t="s">
        <v>311</v>
      </c>
      <c r="G3920" t="s">
        <v>16</v>
      </c>
      <c r="H3920" t="s">
        <v>3286</v>
      </c>
      <c r="I3920">
        <v>2.0209000000000001</v>
      </c>
      <c r="J3920">
        <v>436801.18</v>
      </c>
      <c r="K3920">
        <v>216141.90707110692</v>
      </c>
    </row>
    <row r="3921" spans="1:11" x14ac:dyDescent="0.25">
      <c r="A3921" t="s">
        <v>751</v>
      </c>
      <c r="B3921" t="s">
        <v>752</v>
      </c>
      <c r="C3921" s="1">
        <v>41134</v>
      </c>
      <c r="D3921" s="1">
        <v>41138</v>
      </c>
      <c r="E3921">
        <v>4250</v>
      </c>
      <c r="F3921" t="s">
        <v>689</v>
      </c>
      <c r="G3921" t="s">
        <v>16</v>
      </c>
      <c r="H3921" t="s">
        <v>3287</v>
      </c>
      <c r="I3921">
        <v>2.0175000000000001</v>
      </c>
      <c r="J3921">
        <v>33593.449999999997</v>
      </c>
      <c r="K3921">
        <v>16651.028500619577</v>
      </c>
    </row>
    <row r="3922" spans="1:11" x14ac:dyDescent="0.25">
      <c r="A3922" t="s">
        <v>751</v>
      </c>
      <c r="B3922" t="s">
        <v>752</v>
      </c>
      <c r="C3922" s="1">
        <v>41163</v>
      </c>
      <c r="D3922" s="1">
        <v>41164</v>
      </c>
      <c r="E3922">
        <v>4250</v>
      </c>
      <c r="F3922" t="s">
        <v>689</v>
      </c>
      <c r="G3922" t="s">
        <v>16</v>
      </c>
      <c r="H3922" t="s">
        <v>6540</v>
      </c>
      <c r="I3922">
        <v>2.0240999999999998</v>
      </c>
      <c r="J3922">
        <v>24887.45</v>
      </c>
      <c r="K3922">
        <v>12295.563460303345</v>
      </c>
    </row>
    <row r="3923" spans="1:11" x14ac:dyDescent="0.25">
      <c r="A3923" t="s">
        <v>751</v>
      </c>
      <c r="B3923" t="s">
        <v>752</v>
      </c>
      <c r="C3923" s="1">
        <v>41124</v>
      </c>
      <c r="D3923" s="1">
        <v>41127</v>
      </c>
      <c r="E3923">
        <v>4250</v>
      </c>
      <c r="F3923" t="s">
        <v>689</v>
      </c>
      <c r="G3923" t="s">
        <v>16</v>
      </c>
      <c r="H3923" t="s">
        <v>6541</v>
      </c>
      <c r="I3923">
        <v>2.0474999999999999</v>
      </c>
      <c r="J3923">
        <v>22900.14</v>
      </c>
      <c r="K3923">
        <v>11184.439560439561</v>
      </c>
    </row>
    <row r="3924" spans="1:11" x14ac:dyDescent="0.25">
      <c r="A3924" t="s">
        <v>811</v>
      </c>
      <c r="B3924" t="s">
        <v>812</v>
      </c>
      <c r="C3924" s="1">
        <v>41150</v>
      </c>
      <c r="D3924" s="1">
        <v>41163</v>
      </c>
      <c r="E3924">
        <v>5271</v>
      </c>
      <c r="F3924" t="s">
        <v>331</v>
      </c>
      <c r="G3924" t="s">
        <v>16</v>
      </c>
      <c r="H3924" t="s">
        <v>6542</v>
      </c>
      <c r="I3924">
        <v>2.0432999999999999</v>
      </c>
      <c r="J3924">
        <v>64660.03</v>
      </c>
      <c r="K3924">
        <v>31644.902853227621</v>
      </c>
    </row>
    <row r="3925" spans="1:11" x14ac:dyDescent="0.25">
      <c r="A3925" t="s">
        <v>793</v>
      </c>
      <c r="B3925" t="s">
        <v>794</v>
      </c>
      <c r="C3925" s="1">
        <v>41149</v>
      </c>
      <c r="D3925" s="1">
        <v>41163</v>
      </c>
      <c r="E3925">
        <v>3</v>
      </c>
      <c r="F3925" t="s">
        <v>309</v>
      </c>
      <c r="G3925" t="s">
        <v>16</v>
      </c>
      <c r="H3925" t="s">
        <v>3288</v>
      </c>
      <c r="I3925">
        <v>2.0293000000000001</v>
      </c>
      <c r="J3925">
        <v>48351.97</v>
      </c>
      <c r="K3925">
        <v>23826.920613019269</v>
      </c>
    </row>
    <row r="3926" spans="1:11" x14ac:dyDescent="0.25">
      <c r="A3926" t="s">
        <v>1421</v>
      </c>
      <c r="B3926" t="s">
        <v>1422</v>
      </c>
      <c r="C3926" s="1">
        <v>41207</v>
      </c>
      <c r="D3926" s="1">
        <v>41209</v>
      </c>
      <c r="E3926">
        <v>5710</v>
      </c>
      <c r="F3926" t="s">
        <v>309</v>
      </c>
      <c r="G3926" t="s">
        <v>16</v>
      </c>
      <c r="H3926" t="s">
        <v>3289</v>
      </c>
      <c r="I3926">
        <v>2.0263</v>
      </c>
      <c r="J3926">
        <v>60935.66</v>
      </c>
      <c r="K3926">
        <v>30072.378226323843</v>
      </c>
    </row>
    <row r="3927" spans="1:11" x14ac:dyDescent="0.25">
      <c r="A3927" t="s">
        <v>1425</v>
      </c>
      <c r="B3927" t="s">
        <v>1426</v>
      </c>
      <c r="C3927" s="1">
        <v>41170</v>
      </c>
      <c r="D3927" s="1">
        <v>41180</v>
      </c>
      <c r="E3927">
        <v>35</v>
      </c>
      <c r="F3927" t="s">
        <v>331</v>
      </c>
      <c r="G3927" t="s">
        <v>16</v>
      </c>
      <c r="H3927" t="s">
        <v>6543</v>
      </c>
      <c r="I3927">
        <v>2.0312000000000001</v>
      </c>
      <c r="J3927">
        <v>50394.68</v>
      </c>
      <c r="K3927">
        <v>24810.299330445057</v>
      </c>
    </row>
    <row r="3928" spans="1:11" x14ac:dyDescent="0.25">
      <c r="A3928" t="s">
        <v>1398</v>
      </c>
      <c r="B3928" t="s">
        <v>1399</v>
      </c>
      <c r="C3928" s="1">
        <v>41211</v>
      </c>
      <c r="D3928" s="1">
        <v>41217</v>
      </c>
      <c r="E3928">
        <v>1905</v>
      </c>
      <c r="F3928" t="s">
        <v>689</v>
      </c>
      <c r="G3928" t="s">
        <v>16</v>
      </c>
      <c r="H3928" t="s">
        <v>3290</v>
      </c>
      <c r="I3928">
        <v>2.0263</v>
      </c>
      <c r="J3928">
        <v>33757.97</v>
      </c>
      <c r="K3928">
        <v>16659.907220056259</v>
      </c>
    </row>
    <row r="3929" spans="1:11" x14ac:dyDescent="0.25">
      <c r="A3929" t="s">
        <v>811</v>
      </c>
      <c r="B3929" t="s">
        <v>812</v>
      </c>
      <c r="C3929" s="1">
        <v>41185</v>
      </c>
      <c r="D3929" s="1">
        <v>41193</v>
      </c>
      <c r="E3929">
        <v>5271</v>
      </c>
      <c r="F3929" t="s">
        <v>331</v>
      </c>
      <c r="G3929" t="s">
        <v>16</v>
      </c>
      <c r="H3929" t="s">
        <v>6544</v>
      </c>
      <c r="I3929">
        <v>2.0266000000000002</v>
      </c>
      <c r="J3929">
        <v>86828.53</v>
      </c>
      <c r="K3929">
        <v>42844.434027435113</v>
      </c>
    </row>
    <row r="3930" spans="1:11" x14ac:dyDescent="0.25">
      <c r="A3930" t="s">
        <v>1429</v>
      </c>
      <c r="B3930" t="s">
        <v>1430</v>
      </c>
      <c r="C3930" s="1">
        <v>41208</v>
      </c>
      <c r="D3930" s="1">
        <v>41217</v>
      </c>
      <c r="E3930">
        <v>5441</v>
      </c>
      <c r="F3930" t="s">
        <v>301</v>
      </c>
      <c r="G3930" t="s">
        <v>16</v>
      </c>
      <c r="H3930" t="s">
        <v>6545</v>
      </c>
      <c r="I3930">
        <v>2.0261</v>
      </c>
      <c r="J3930">
        <v>6392</v>
      </c>
      <c r="K3930">
        <v>3154.8294753467253</v>
      </c>
    </row>
    <row r="3931" spans="1:11" x14ac:dyDescent="0.25">
      <c r="A3931" t="s">
        <v>1429</v>
      </c>
      <c r="B3931" t="s">
        <v>1430</v>
      </c>
      <c r="C3931" s="1">
        <v>41208</v>
      </c>
      <c r="D3931" s="1">
        <v>41217</v>
      </c>
      <c r="E3931">
        <v>5441</v>
      </c>
      <c r="F3931" t="s">
        <v>301</v>
      </c>
      <c r="G3931" t="s">
        <v>16</v>
      </c>
      <c r="H3931" t="s">
        <v>6546</v>
      </c>
      <c r="I3931">
        <v>2.0261</v>
      </c>
      <c r="J3931">
        <v>42300</v>
      </c>
      <c r="K3931">
        <v>20877.547998618036</v>
      </c>
    </row>
    <row r="3932" spans="1:11" x14ac:dyDescent="0.25">
      <c r="A3932" t="s">
        <v>1398</v>
      </c>
      <c r="B3932" t="s">
        <v>1399</v>
      </c>
      <c r="C3932" s="1">
        <v>41123</v>
      </c>
      <c r="D3932" s="1">
        <v>41128</v>
      </c>
      <c r="E3932">
        <v>1905</v>
      </c>
      <c r="F3932" t="s">
        <v>689</v>
      </c>
      <c r="G3932" t="s">
        <v>16</v>
      </c>
      <c r="H3932" t="s">
        <v>6547</v>
      </c>
      <c r="I3932">
        <v>2.0432000000000001</v>
      </c>
      <c r="J3932">
        <v>32836.699999999997</v>
      </c>
      <c r="K3932">
        <v>16071.21182458888</v>
      </c>
    </row>
    <row r="3933" spans="1:11" x14ac:dyDescent="0.25">
      <c r="A3933" t="s">
        <v>817</v>
      </c>
      <c r="B3933" t="s">
        <v>818</v>
      </c>
      <c r="C3933" s="1">
        <v>41179</v>
      </c>
      <c r="D3933" s="1">
        <v>41206</v>
      </c>
      <c r="E3933">
        <v>5498</v>
      </c>
      <c r="F3933" t="s">
        <v>301</v>
      </c>
      <c r="G3933" t="s">
        <v>16</v>
      </c>
      <c r="H3933" t="s">
        <v>3291</v>
      </c>
      <c r="I3933">
        <v>2.0341</v>
      </c>
      <c r="J3933">
        <v>96109.68</v>
      </c>
      <c r="K3933">
        <v>47249.24045032201</v>
      </c>
    </row>
    <row r="3934" spans="1:11" x14ac:dyDescent="0.25">
      <c r="A3934" t="s">
        <v>808</v>
      </c>
      <c r="B3934" t="s">
        <v>809</v>
      </c>
      <c r="C3934" s="1">
        <v>41170</v>
      </c>
      <c r="D3934" s="1">
        <v>41177</v>
      </c>
      <c r="E3934">
        <v>4825</v>
      </c>
      <c r="F3934" t="s">
        <v>331</v>
      </c>
      <c r="G3934" t="s">
        <v>16</v>
      </c>
      <c r="H3934" t="s">
        <v>3292</v>
      </c>
      <c r="I3934">
        <v>2.0312000000000001</v>
      </c>
      <c r="J3934">
        <v>45987.4</v>
      </c>
      <c r="K3934">
        <v>22640.508074044901</v>
      </c>
    </row>
    <row r="3935" spans="1:11" x14ac:dyDescent="0.25">
      <c r="A3935" t="s">
        <v>793</v>
      </c>
      <c r="B3935" t="s">
        <v>794</v>
      </c>
      <c r="C3935" s="1">
        <v>41160</v>
      </c>
      <c r="D3935" s="1">
        <v>41182</v>
      </c>
      <c r="E3935">
        <v>3</v>
      </c>
      <c r="F3935" t="s">
        <v>309</v>
      </c>
      <c r="G3935" t="s">
        <v>16</v>
      </c>
      <c r="H3935" t="s">
        <v>3293</v>
      </c>
      <c r="I3935">
        <v>2.0381</v>
      </c>
      <c r="J3935">
        <v>47051.3</v>
      </c>
      <c r="K3935">
        <v>23085.864285363819</v>
      </c>
    </row>
    <row r="3936" spans="1:11" x14ac:dyDescent="0.25">
      <c r="A3936" t="s">
        <v>793</v>
      </c>
      <c r="B3936" t="s">
        <v>794</v>
      </c>
      <c r="C3936" s="1">
        <v>41159</v>
      </c>
      <c r="D3936" s="1">
        <v>41182</v>
      </c>
      <c r="E3936">
        <v>3</v>
      </c>
      <c r="F3936" t="s">
        <v>309</v>
      </c>
      <c r="G3936" t="s">
        <v>16</v>
      </c>
      <c r="H3936" t="s">
        <v>3294</v>
      </c>
      <c r="I3936">
        <v>2.0381</v>
      </c>
      <c r="J3936">
        <v>62311.18</v>
      </c>
      <c r="K3936">
        <v>30573.171090721749</v>
      </c>
    </row>
    <row r="3937" spans="1:11" x14ac:dyDescent="0.25">
      <c r="A3937" t="s">
        <v>796</v>
      </c>
      <c r="B3937" t="s">
        <v>797</v>
      </c>
      <c r="C3937" s="1">
        <v>41204</v>
      </c>
      <c r="D3937" s="1">
        <v>41206</v>
      </c>
      <c r="E3937">
        <v>4842</v>
      </c>
      <c r="F3937" t="s">
        <v>309</v>
      </c>
      <c r="G3937" t="s">
        <v>16</v>
      </c>
      <c r="H3937" t="s">
        <v>3295</v>
      </c>
      <c r="I3937">
        <v>2.0272000000000001</v>
      </c>
      <c r="J3937">
        <v>40001.99</v>
      </c>
      <c r="K3937">
        <v>19732.631215469613</v>
      </c>
    </row>
    <row r="3938" spans="1:11" x14ac:dyDescent="0.25">
      <c r="A3938" t="s">
        <v>799</v>
      </c>
      <c r="B3938" t="s">
        <v>800</v>
      </c>
      <c r="C3938" s="1">
        <v>41197</v>
      </c>
      <c r="D3938" s="1">
        <v>41207</v>
      </c>
      <c r="E3938">
        <v>4856</v>
      </c>
      <c r="F3938" t="s">
        <v>301</v>
      </c>
      <c r="G3938" t="s">
        <v>16</v>
      </c>
      <c r="H3938" t="s">
        <v>3296</v>
      </c>
      <c r="I3938">
        <v>2.0369000000000002</v>
      </c>
      <c r="J3938">
        <v>9449.99</v>
      </c>
      <c r="K3938">
        <v>4639.3981049634249</v>
      </c>
    </row>
    <row r="3939" spans="1:11" x14ac:dyDescent="0.25">
      <c r="A3939" t="s">
        <v>804</v>
      </c>
      <c r="B3939" t="s">
        <v>805</v>
      </c>
      <c r="C3939" s="1">
        <v>41170</v>
      </c>
      <c r="D3939" s="1">
        <v>41185</v>
      </c>
      <c r="E3939">
        <v>34</v>
      </c>
      <c r="F3939" t="s">
        <v>331</v>
      </c>
      <c r="G3939" t="s">
        <v>16</v>
      </c>
      <c r="H3939" t="s">
        <v>6548</v>
      </c>
      <c r="I3939">
        <v>2.0312000000000001</v>
      </c>
      <c r="J3939">
        <v>51438.93</v>
      </c>
      <c r="K3939">
        <v>25324.404293028751</v>
      </c>
    </row>
    <row r="3940" spans="1:11" x14ac:dyDescent="0.25">
      <c r="A3940" t="s">
        <v>799</v>
      </c>
      <c r="B3940" t="s">
        <v>800</v>
      </c>
      <c r="C3940" s="1">
        <v>41180</v>
      </c>
      <c r="D3940" s="1">
        <v>41191</v>
      </c>
      <c r="E3940">
        <v>4856</v>
      </c>
      <c r="F3940" t="s">
        <v>301</v>
      </c>
      <c r="G3940" t="s">
        <v>16</v>
      </c>
      <c r="H3940" t="s">
        <v>348</v>
      </c>
      <c r="I3940">
        <v>2.0310999999999999</v>
      </c>
      <c r="J3940">
        <v>105876</v>
      </c>
      <c r="K3940">
        <v>52127.418640145734</v>
      </c>
    </row>
    <row r="3941" spans="1:11" x14ac:dyDescent="0.25">
      <c r="A3941" t="s">
        <v>799</v>
      </c>
      <c r="B3941" t="s">
        <v>800</v>
      </c>
      <c r="C3941" s="1">
        <v>41169</v>
      </c>
      <c r="D3941" s="1">
        <v>41173</v>
      </c>
      <c r="E3941">
        <v>4856</v>
      </c>
      <c r="F3941" t="s">
        <v>301</v>
      </c>
      <c r="G3941" t="s">
        <v>16</v>
      </c>
      <c r="H3941" t="s">
        <v>2424</v>
      </c>
      <c r="I3941">
        <v>2.0135999999999998</v>
      </c>
      <c r="J3941">
        <v>32690.01</v>
      </c>
      <c r="K3941">
        <v>16234.609654350417</v>
      </c>
    </row>
    <row r="3942" spans="1:11" x14ac:dyDescent="0.25">
      <c r="A3942" t="s">
        <v>808</v>
      </c>
      <c r="B3942" t="s">
        <v>809</v>
      </c>
      <c r="C3942" s="1">
        <v>41171</v>
      </c>
      <c r="D3942" s="1">
        <v>41179</v>
      </c>
      <c r="E3942">
        <v>4825</v>
      </c>
      <c r="F3942" t="s">
        <v>331</v>
      </c>
      <c r="G3942" t="s">
        <v>16</v>
      </c>
      <c r="H3942" t="s">
        <v>6549</v>
      </c>
      <c r="I3942">
        <v>2.0274000000000001</v>
      </c>
      <c r="J3942">
        <v>46627.85</v>
      </c>
      <c r="K3942">
        <v>22998.840879944757</v>
      </c>
    </row>
    <row r="3943" spans="1:11" x14ac:dyDescent="0.25">
      <c r="A3943" t="s">
        <v>1444</v>
      </c>
      <c r="C3943" s="1">
        <v>41204</v>
      </c>
      <c r="D3943" s="1">
        <v>41205</v>
      </c>
      <c r="E3943">
        <v>8826</v>
      </c>
      <c r="F3943" t="s">
        <v>421</v>
      </c>
      <c r="G3943" t="s">
        <v>16</v>
      </c>
      <c r="H3943" t="s">
        <v>6550</v>
      </c>
      <c r="I3943">
        <v>2.0272000000000001</v>
      </c>
      <c r="J3943">
        <v>147.91</v>
      </c>
      <c r="K3943">
        <v>72.962707182320443</v>
      </c>
    </row>
    <row r="3944" spans="1:11" x14ac:dyDescent="0.25">
      <c r="A3944" t="s">
        <v>4162</v>
      </c>
      <c r="B3944" t="s">
        <v>4163</v>
      </c>
      <c r="C3944" s="1">
        <v>41186</v>
      </c>
      <c r="D3944" s="1">
        <v>41188</v>
      </c>
      <c r="E3944">
        <v>4923</v>
      </c>
      <c r="F3944" t="s">
        <v>331</v>
      </c>
      <c r="G3944" t="s">
        <v>16</v>
      </c>
      <c r="H3944" t="s">
        <v>6551</v>
      </c>
      <c r="I3944">
        <v>2.0266000000000002</v>
      </c>
      <c r="J3944">
        <v>11902.74</v>
      </c>
      <c r="K3944">
        <v>5873.2556992006312</v>
      </c>
    </row>
    <row r="3945" spans="1:11" x14ac:dyDescent="0.25">
      <c r="A3945" t="s">
        <v>2419</v>
      </c>
      <c r="B3945" t="s">
        <v>2420</v>
      </c>
      <c r="C3945" s="1">
        <v>41239</v>
      </c>
      <c r="D3945" s="1">
        <v>41243</v>
      </c>
      <c r="E3945">
        <v>4845</v>
      </c>
      <c r="F3945" t="s">
        <v>280</v>
      </c>
      <c r="G3945" t="s">
        <v>16</v>
      </c>
      <c r="H3945" t="s">
        <v>349</v>
      </c>
      <c r="I3945">
        <v>2.0985</v>
      </c>
      <c r="J3945">
        <v>10072.799999999999</v>
      </c>
      <c r="K3945">
        <v>4800</v>
      </c>
    </row>
    <row r="3946" spans="1:11" x14ac:dyDescent="0.25">
      <c r="A3946" t="s">
        <v>799</v>
      </c>
      <c r="B3946" t="s">
        <v>800</v>
      </c>
      <c r="C3946" s="1">
        <v>41237</v>
      </c>
      <c r="D3946" s="1">
        <v>41244</v>
      </c>
      <c r="E3946">
        <v>4856</v>
      </c>
      <c r="F3946" t="s">
        <v>301</v>
      </c>
      <c r="G3946" t="s">
        <v>16</v>
      </c>
      <c r="H3946" t="s">
        <v>3297</v>
      </c>
      <c r="I3946">
        <v>2.0985</v>
      </c>
      <c r="J3946">
        <v>43740</v>
      </c>
      <c r="K3946">
        <v>20843.459614010007</v>
      </c>
    </row>
    <row r="3947" spans="1:11" x14ac:dyDescent="0.25">
      <c r="A3947" t="s">
        <v>799</v>
      </c>
      <c r="B3947" t="s">
        <v>800</v>
      </c>
      <c r="C3947" s="1">
        <v>41227</v>
      </c>
      <c r="D3947" s="1">
        <v>41235</v>
      </c>
      <c r="E3947">
        <v>4856</v>
      </c>
      <c r="F3947" t="s">
        <v>301</v>
      </c>
      <c r="G3947" t="s">
        <v>16</v>
      </c>
      <c r="H3947" t="s">
        <v>3298</v>
      </c>
      <c r="I3947">
        <v>2.0613999999999999</v>
      </c>
      <c r="J3947">
        <v>43020</v>
      </c>
      <c r="K3947">
        <v>20869.312117978072</v>
      </c>
    </row>
    <row r="3948" spans="1:11" x14ac:dyDescent="0.25">
      <c r="A3948" t="s">
        <v>6552</v>
      </c>
      <c r="B3948" t="s">
        <v>6553</v>
      </c>
      <c r="C3948" s="1">
        <v>41227</v>
      </c>
      <c r="D3948" s="1">
        <v>41232</v>
      </c>
      <c r="E3948">
        <v>10148</v>
      </c>
      <c r="F3948" t="s">
        <v>665</v>
      </c>
      <c r="G3948" t="s">
        <v>16</v>
      </c>
      <c r="H3948" t="s">
        <v>6554</v>
      </c>
      <c r="I3948">
        <v>2.0613999999999999</v>
      </c>
      <c r="J3948">
        <v>102908.9</v>
      </c>
      <c r="K3948">
        <v>49921.849228679537</v>
      </c>
    </row>
    <row r="3949" spans="1:11" x14ac:dyDescent="0.25">
      <c r="A3949" t="s">
        <v>2869</v>
      </c>
      <c r="B3949" t="s">
        <v>144</v>
      </c>
      <c r="C3949" s="1">
        <v>41200</v>
      </c>
      <c r="D3949" s="1">
        <v>41232</v>
      </c>
      <c r="E3949">
        <v>9265</v>
      </c>
      <c r="F3949" t="s">
        <v>2481</v>
      </c>
      <c r="G3949" t="s">
        <v>16</v>
      </c>
      <c r="H3949" t="s">
        <v>3299</v>
      </c>
      <c r="I3949">
        <v>2.0335999999999999</v>
      </c>
      <c r="J3949">
        <v>24375</v>
      </c>
      <c r="K3949">
        <v>11986.132966168372</v>
      </c>
    </row>
    <row r="3950" spans="1:11" x14ac:dyDescent="0.25">
      <c r="A3950" t="s">
        <v>1429</v>
      </c>
      <c r="B3950" t="s">
        <v>1430</v>
      </c>
      <c r="C3950" s="1">
        <v>41227</v>
      </c>
      <c r="D3950" s="1">
        <v>41238</v>
      </c>
      <c r="E3950">
        <v>5441</v>
      </c>
      <c r="F3950" t="s">
        <v>301</v>
      </c>
      <c r="G3950" t="s">
        <v>16</v>
      </c>
      <c r="H3950" t="s">
        <v>3300</v>
      </c>
      <c r="I3950">
        <v>2.0613999999999999</v>
      </c>
      <c r="J3950">
        <v>4779.99</v>
      </c>
      <c r="K3950">
        <v>2318.8076064810325</v>
      </c>
    </row>
    <row r="3951" spans="1:11" x14ac:dyDescent="0.25">
      <c r="A3951" t="s">
        <v>1429</v>
      </c>
      <c r="B3951" t="s">
        <v>1430</v>
      </c>
      <c r="C3951" s="1">
        <v>41227</v>
      </c>
      <c r="D3951" s="1">
        <v>41238</v>
      </c>
      <c r="E3951">
        <v>5441</v>
      </c>
      <c r="F3951" t="s">
        <v>301</v>
      </c>
      <c r="G3951" t="s">
        <v>16</v>
      </c>
      <c r="H3951" t="s">
        <v>3301</v>
      </c>
      <c r="I3951">
        <v>2.0613999999999999</v>
      </c>
      <c r="J3951">
        <v>187024.6</v>
      </c>
      <c r="K3951">
        <v>90726.98166294751</v>
      </c>
    </row>
    <row r="3952" spans="1:11" x14ac:dyDescent="0.25">
      <c r="A3952" t="s">
        <v>1429</v>
      </c>
      <c r="B3952" t="s">
        <v>1430</v>
      </c>
      <c r="C3952" s="1">
        <v>41238</v>
      </c>
      <c r="D3952" s="1">
        <v>41247</v>
      </c>
      <c r="E3952">
        <v>5441</v>
      </c>
      <c r="F3952" t="s">
        <v>301</v>
      </c>
      <c r="G3952" t="s">
        <v>16</v>
      </c>
      <c r="H3952" t="s">
        <v>6555</v>
      </c>
      <c r="I3952">
        <v>2.0985</v>
      </c>
      <c r="J3952">
        <v>43740</v>
      </c>
      <c r="K3952">
        <v>20843.459614010007</v>
      </c>
    </row>
    <row r="3953" spans="1:11" x14ac:dyDescent="0.25">
      <c r="A3953" t="s">
        <v>799</v>
      </c>
      <c r="B3953" t="s">
        <v>800</v>
      </c>
      <c r="C3953" s="1">
        <v>41237</v>
      </c>
      <c r="D3953" s="1">
        <v>41247</v>
      </c>
      <c r="E3953">
        <v>4856</v>
      </c>
      <c r="F3953" t="s">
        <v>301</v>
      </c>
      <c r="G3953" t="s">
        <v>16</v>
      </c>
      <c r="H3953" t="s">
        <v>3302</v>
      </c>
      <c r="I3953">
        <v>2.0985</v>
      </c>
      <c r="J3953">
        <v>43740</v>
      </c>
      <c r="K3953">
        <v>20843.459614010007</v>
      </c>
    </row>
    <row r="3954" spans="1:11" x14ac:dyDescent="0.25">
      <c r="A3954" t="s">
        <v>2409</v>
      </c>
      <c r="B3954" t="s">
        <v>2410</v>
      </c>
      <c r="C3954" s="1">
        <v>41242</v>
      </c>
      <c r="D3954" s="1">
        <v>41247</v>
      </c>
      <c r="E3954">
        <v>10878</v>
      </c>
      <c r="F3954" t="s">
        <v>309</v>
      </c>
      <c r="G3954" t="s">
        <v>16</v>
      </c>
      <c r="H3954" t="s">
        <v>3303</v>
      </c>
      <c r="I3954">
        <v>2.0912000000000002</v>
      </c>
      <c r="J3954">
        <v>150299.92000000001</v>
      </c>
      <c r="K3954">
        <v>71872.570772762047</v>
      </c>
    </row>
    <row r="3955" spans="1:11" x14ac:dyDescent="0.25">
      <c r="A3955" t="s">
        <v>2409</v>
      </c>
      <c r="B3955" t="s">
        <v>2410</v>
      </c>
      <c r="C3955" s="1">
        <v>41242</v>
      </c>
      <c r="D3955" s="1">
        <v>41247</v>
      </c>
      <c r="E3955">
        <v>10878</v>
      </c>
      <c r="F3955" t="s">
        <v>309</v>
      </c>
      <c r="G3955" t="s">
        <v>16</v>
      </c>
      <c r="H3955" t="s">
        <v>3304</v>
      </c>
      <c r="I3955">
        <v>2.0912000000000002</v>
      </c>
      <c r="J3955">
        <v>150299.92000000001</v>
      </c>
      <c r="K3955">
        <v>71872.570772762047</v>
      </c>
    </row>
    <row r="3956" spans="1:11" x14ac:dyDescent="0.25">
      <c r="A3956" t="s">
        <v>799</v>
      </c>
      <c r="B3956" t="s">
        <v>800</v>
      </c>
      <c r="C3956" s="1">
        <v>41238</v>
      </c>
      <c r="D3956" s="1">
        <v>41247</v>
      </c>
      <c r="E3956">
        <v>4856</v>
      </c>
      <c r="F3956" t="s">
        <v>301</v>
      </c>
      <c r="G3956" t="s">
        <v>16</v>
      </c>
      <c r="H3956" t="s">
        <v>6556</v>
      </c>
      <c r="I3956">
        <v>2.0985</v>
      </c>
      <c r="J3956">
        <v>43740</v>
      </c>
      <c r="K3956">
        <v>20843.459614010007</v>
      </c>
    </row>
    <row r="3957" spans="1:11" x14ac:dyDescent="0.25">
      <c r="A3957" t="s">
        <v>799</v>
      </c>
      <c r="B3957" t="s">
        <v>800</v>
      </c>
      <c r="C3957" s="1">
        <v>41236</v>
      </c>
      <c r="D3957" s="1">
        <v>41247</v>
      </c>
      <c r="E3957">
        <v>4856</v>
      </c>
      <c r="F3957" t="s">
        <v>301</v>
      </c>
      <c r="G3957" t="s">
        <v>16</v>
      </c>
      <c r="H3957" t="s">
        <v>3305</v>
      </c>
      <c r="I3957">
        <v>2.0912000000000002</v>
      </c>
      <c r="J3957">
        <v>5820</v>
      </c>
      <c r="K3957">
        <v>2783.0910482019895</v>
      </c>
    </row>
    <row r="3958" spans="1:11" x14ac:dyDescent="0.25">
      <c r="A3958" t="s">
        <v>799</v>
      </c>
      <c r="B3958" t="s">
        <v>800</v>
      </c>
      <c r="C3958" s="1">
        <v>41240</v>
      </c>
      <c r="D3958" s="1">
        <v>41247</v>
      </c>
      <c r="E3958">
        <v>4856</v>
      </c>
      <c r="F3958" t="s">
        <v>301</v>
      </c>
      <c r="G3958" t="s">
        <v>16</v>
      </c>
      <c r="H3958" t="s">
        <v>3306</v>
      </c>
      <c r="I3958">
        <v>2.0787</v>
      </c>
      <c r="J3958">
        <v>353082</v>
      </c>
      <c r="K3958">
        <v>169857.12223986146</v>
      </c>
    </row>
    <row r="3959" spans="1:11" x14ac:dyDescent="0.25">
      <c r="A3959" t="s">
        <v>835</v>
      </c>
      <c r="B3959" t="s">
        <v>836</v>
      </c>
      <c r="C3959" s="1">
        <v>41295</v>
      </c>
      <c r="D3959" s="1">
        <v>41298</v>
      </c>
      <c r="E3959">
        <v>11334</v>
      </c>
      <c r="F3959" t="s">
        <v>331</v>
      </c>
      <c r="G3959" t="s">
        <v>16</v>
      </c>
      <c r="H3959" t="s">
        <v>3307</v>
      </c>
      <c r="I3959">
        <v>2.0440999999999998</v>
      </c>
      <c r="J3959">
        <v>62879.32</v>
      </c>
      <c r="K3959">
        <v>30761.371752849664</v>
      </c>
    </row>
    <row r="3960" spans="1:11" x14ac:dyDescent="0.25">
      <c r="A3960" t="s">
        <v>821</v>
      </c>
      <c r="B3960" t="s">
        <v>822</v>
      </c>
      <c r="C3960" s="1">
        <v>41286</v>
      </c>
      <c r="D3960" s="1">
        <v>41290</v>
      </c>
      <c r="E3960">
        <v>11833</v>
      </c>
      <c r="F3960" t="s">
        <v>331</v>
      </c>
      <c r="G3960" t="s">
        <v>16</v>
      </c>
      <c r="H3960" t="s">
        <v>3308</v>
      </c>
      <c r="I3960">
        <v>2.0341</v>
      </c>
      <c r="J3960">
        <v>69965.05</v>
      </c>
      <c r="K3960">
        <v>34396.071972862694</v>
      </c>
    </row>
    <row r="3961" spans="1:11" x14ac:dyDescent="0.25">
      <c r="A3961" t="s">
        <v>825</v>
      </c>
      <c r="B3961" t="s">
        <v>826</v>
      </c>
      <c r="C3961" s="1">
        <v>41265</v>
      </c>
      <c r="D3961" s="1">
        <v>41276</v>
      </c>
      <c r="E3961">
        <v>11411</v>
      </c>
      <c r="F3961" t="s">
        <v>331</v>
      </c>
      <c r="G3961" t="s">
        <v>16</v>
      </c>
      <c r="H3961" t="s">
        <v>6557</v>
      </c>
      <c r="I3961">
        <v>2.0758000000000001</v>
      </c>
      <c r="J3961">
        <v>55280.5</v>
      </c>
      <c r="K3961">
        <v>26630.937469891127</v>
      </c>
    </row>
    <row r="3962" spans="1:11" x14ac:dyDescent="0.25">
      <c r="A3962" t="s">
        <v>838</v>
      </c>
      <c r="B3962" t="s">
        <v>839</v>
      </c>
      <c r="C3962" s="1">
        <v>41264</v>
      </c>
      <c r="D3962" s="1">
        <v>41282</v>
      </c>
      <c r="E3962">
        <v>11333</v>
      </c>
      <c r="F3962" t="s">
        <v>331</v>
      </c>
      <c r="G3962" t="s">
        <v>16</v>
      </c>
      <c r="H3962" t="s">
        <v>3309</v>
      </c>
      <c r="I3962">
        <v>2.0653999999999999</v>
      </c>
      <c r="J3962">
        <v>85484.34</v>
      </c>
      <c r="K3962">
        <v>41388.75762564152</v>
      </c>
    </row>
    <row r="3963" spans="1:11" x14ac:dyDescent="0.25">
      <c r="A3963" t="s">
        <v>825</v>
      </c>
      <c r="B3963" t="s">
        <v>826</v>
      </c>
      <c r="C3963" s="1">
        <v>41271</v>
      </c>
      <c r="D3963" s="1">
        <v>41282</v>
      </c>
      <c r="E3963">
        <v>11411</v>
      </c>
      <c r="F3963" t="s">
        <v>331</v>
      </c>
      <c r="G3963" t="s">
        <v>16</v>
      </c>
      <c r="H3963" t="s">
        <v>3310</v>
      </c>
      <c r="I3963">
        <v>2.0482999999999998</v>
      </c>
      <c r="J3963">
        <v>44464.75</v>
      </c>
      <c r="K3963">
        <v>21708.123809988771</v>
      </c>
    </row>
    <row r="3964" spans="1:11" x14ac:dyDescent="0.25">
      <c r="A3964" t="s">
        <v>3311</v>
      </c>
      <c r="B3964" t="s">
        <v>3312</v>
      </c>
      <c r="C3964" s="1">
        <v>41269</v>
      </c>
      <c r="D3964" s="1">
        <v>41277</v>
      </c>
      <c r="E3964">
        <v>11565</v>
      </c>
      <c r="F3964" t="s">
        <v>280</v>
      </c>
      <c r="G3964" t="s">
        <v>16</v>
      </c>
      <c r="H3964" t="s">
        <v>3313</v>
      </c>
      <c r="I3964">
        <v>2.0773999999999999</v>
      </c>
      <c r="J3964">
        <v>9256.0499999999993</v>
      </c>
      <c r="K3964">
        <v>4455.5935303745064</v>
      </c>
    </row>
    <row r="3965" spans="1:11" x14ac:dyDescent="0.25">
      <c r="A3965" t="s">
        <v>841</v>
      </c>
      <c r="B3965" t="s">
        <v>842</v>
      </c>
      <c r="C3965" s="1">
        <v>40922</v>
      </c>
      <c r="D3965" s="1">
        <v>41297</v>
      </c>
      <c r="E3965">
        <v>11548</v>
      </c>
      <c r="F3965" t="s">
        <v>309</v>
      </c>
      <c r="G3965" t="s">
        <v>16</v>
      </c>
      <c r="H3965" t="s">
        <v>3314</v>
      </c>
      <c r="I3965">
        <v>1.7853000000000001</v>
      </c>
      <c r="J3965">
        <v>146974.22</v>
      </c>
      <c r="K3965">
        <v>82324.662521705031</v>
      </c>
    </row>
    <row r="3966" spans="1:11" x14ac:dyDescent="0.25">
      <c r="A3966" t="s">
        <v>828</v>
      </c>
      <c r="B3966" t="s">
        <v>829</v>
      </c>
      <c r="C3966" s="1">
        <v>41285</v>
      </c>
      <c r="D3966" s="1">
        <v>41291</v>
      </c>
      <c r="E3966">
        <v>11681</v>
      </c>
      <c r="F3966" t="s">
        <v>665</v>
      </c>
      <c r="G3966" t="s">
        <v>16</v>
      </c>
      <c r="H3966" t="s">
        <v>6558</v>
      </c>
      <c r="I3966">
        <v>2.0358000000000001</v>
      </c>
      <c r="J3966">
        <v>108833.86</v>
      </c>
      <c r="K3966">
        <v>53459.996070340901</v>
      </c>
    </row>
    <row r="3967" spans="1:11" x14ac:dyDescent="0.25">
      <c r="A3967" t="s">
        <v>821</v>
      </c>
      <c r="B3967" t="s">
        <v>822</v>
      </c>
      <c r="C3967" s="1">
        <v>41290</v>
      </c>
      <c r="D3967" s="1">
        <v>41292</v>
      </c>
      <c r="E3967">
        <v>11833</v>
      </c>
      <c r="F3967" t="s">
        <v>331</v>
      </c>
      <c r="G3967" t="s">
        <v>16</v>
      </c>
      <c r="H3967" t="s">
        <v>3315</v>
      </c>
      <c r="I3967">
        <v>2.0373999999999999</v>
      </c>
      <c r="J3967">
        <v>68019.259999999995</v>
      </c>
      <c r="K3967">
        <v>33385.324433101014</v>
      </c>
    </row>
    <row r="3968" spans="1:11" x14ac:dyDescent="0.25">
      <c r="A3968" t="s">
        <v>835</v>
      </c>
      <c r="B3968" t="s">
        <v>836</v>
      </c>
      <c r="C3968" s="1">
        <v>41293</v>
      </c>
      <c r="D3968" s="1">
        <v>41297</v>
      </c>
      <c r="E3968">
        <v>11334</v>
      </c>
      <c r="F3968" t="s">
        <v>331</v>
      </c>
      <c r="G3968" t="s">
        <v>16</v>
      </c>
      <c r="H3968" t="s">
        <v>6559</v>
      </c>
      <c r="I3968">
        <v>2.0440999999999998</v>
      </c>
      <c r="J3968">
        <v>64678.81</v>
      </c>
      <c r="K3968">
        <v>31641.705396017809</v>
      </c>
    </row>
    <row r="3969" spans="1:11" x14ac:dyDescent="0.25">
      <c r="A3969" t="s">
        <v>835</v>
      </c>
      <c r="B3969" t="s">
        <v>836</v>
      </c>
      <c r="C3969" s="1">
        <v>41297</v>
      </c>
      <c r="D3969" s="1">
        <v>41300</v>
      </c>
      <c r="E3969">
        <v>11334</v>
      </c>
      <c r="F3969" t="s">
        <v>331</v>
      </c>
      <c r="G3969" t="s">
        <v>16</v>
      </c>
      <c r="H3969" t="s">
        <v>3316</v>
      </c>
      <c r="I3969">
        <v>2.0470999999999999</v>
      </c>
      <c r="J3969">
        <v>87300.97</v>
      </c>
      <c r="K3969">
        <v>42646.167749499291</v>
      </c>
    </row>
    <row r="3970" spans="1:11" x14ac:dyDescent="0.25">
      <c r="A3970" t="s">
        <v>2419</v>
      </c>
      <c r="B3970" t="s">
        <v>2420</v>
      </c>
      <c r="C3970" s="1">
        <v>40911</v>
      </c>
      <c r="D3970" s="1">
        <v>41283</v>
      </c>
      <c r="E3970">
        <v>4845</v>
      </c>
      <c r="F3970" t="s">
        <v>280</v>
      </c>
      <c r="G3970" t="s">
        <v>16</v>
      </c>
      <c r="H3970" t="s">
        <v>3317</v>
      </c>
      <c r="I3970">
        <v>1.8683000000000001</v>
      </c>
      <c r="J3970">
        <v>669203.69999999995</v>
      </c>
      <c r="K3970">
        <v>358188.56714660389</v>
      </c>
    </row>
    <row r="3971" spans="1:11" x14ac:dyDescent="0.25">
      <c r="A3971" t="s">
        <v>821</v>
      </c>
      <c r="B3971" t="s">
        <v>822</v>
      </c>
      <c r="C3971" s="1">
        <v>41291</v>
      </c>
      <c r="D3971" s="1">
        <v>41293</v>
      </c>
      <c r="E3971">
        <v>11833</v>
      </c>
      <c r="F3971" t="s">
        <v>331</v>
      </c>
      <c r="G3971" t="s">
        <v>16</v>
      </c>
      <c r="H3971" t="s">
        <v>3318</v>
      </c>
      <c r="I3971">
        <v>2.0409000000000002</v>
      </c>
      <c r="J3971">
        <v>73022.720000000001</v>
      </c>
      <c r="K3971">
        <v>35779.665833700819</v>
      </c>
    </row>
    <row r="3972" spans="1:11" x14ac:dyDescent="0.25">
      <c r="A3972" t="s">
        <v>825</v>
      </c>
      <c r="B3972" t="s">
        <v>826</v>
      </c>
      <c r="C3972" s="1">
        <v>41286</v>
      </c>
      <c r="D3972" s="1">
        <v>41293</v>
      </c>
      <c r="E3972">
        <v>11411</v>
      </c>
      <c r="F3972" t="s">
        <v>331</v>
      </c>
      <c r="G3972" t="s">
        <v>16</v>
      </c>
      <c r="H3972" t="s">
        <v>6560</v>
      </c>
      <c r="I3972">
        <v>2.0341</v>
      </c>
      <c r="J3972">
        <v>56482.25</v>
      </c>
      <c r="K3972">
        <v>27767.685954476183</v>
      </c>
    </row>
    <row r="3973" spans="1:11" x14ac:dyDescent="0.25">
      <c r="A3973" t="s">
        <v>821</v>
      </c>
      <c r="B3973" t="s">
        <v>822</v>
      </c>
      <c r="C3973" s="1">
        <v>41291</v>
      </c>
      <c r="D3973" s="1">
        <v>41293</v>
      </c>
      <c r="E3973">
        <v>11833</v>
      </c>
      <c r="F3973" t="s">
        <v>331</v>
      </c>
      <c r="G3973" t="s">
        <v>16</v>
      </c>
      <c r="H3973" t="s">
        <v>3319</v>
      </c>
      <c r="I3973">
        <v>2.0409000000000002</v>
      </c>
      <c r="J3973">
        <v>73884.429999999993</v>
      </c>
      <c r="K3973">
        <v>36201.886422656673</v>
      </c>
    </row>
    <row r="3974" spans="1:11" x14ac:dyDescent="0.25">
      <c r="A3974" t="s">
        <v>825</v>
      </c>
      <c r="B3974" t="s">
        <v>826</v>
      </c>
      <c r="C3974" s="1">
        <v>41265</v>
      </c>
      <c r="D3974" s="1">
        <v>41271</v>
      </c>
      <c r="E3974">
        <v>11411</v>
      </c>
      <c r="F3974" t="s">
        <v>331</v>
      </c>
      <c r="G3974" t="s">
        <v>16</v>
      </c>
      <c r="H3974" t="s">
        <v>6561</v>
      </c>
      <c r="I3974">
        <v>2.0758000000000001</v>
      </c>
      <c r="J3974">
        <v>44464.75</v>
      </c>
      <c r="K3974">
        <v>21420.536660564601</v>
      </c>
    </row>
    <row r="3975" spans="1:11" x14ac:dyDescent="0.25">
      <c r="A3975" t="s">
        <v>1933</v>
      </c>
      <c r="B3975" t="s">
        <v>1934</v>
      </c>
      <c r="C3975" s="1">
        <v>41261</v>
      </c>
      <c r="D3975" s="1">
        <v>41272</v>
      </c>
      <c r="E3975">
        <v>5362</v>
      </c>
      <c r="F3975" t="s">
        <v>370</v>
      </c>
      <c r="G3975" t="s">
        <v>16</v>
      </c>
      <c r="H3975" t="s">
        <v>6562</v>
      </c>
      <c r="I3975">
        <v>2.0901999999999998</v>
      </c>
      <c r="J3975">
        <v>91738.880000000005</v>
      </c>
      <c r="K3975">
        <v>43890.000956846234</v>
      </c>
    </row>
    <row r="3976" spans="1:11" x14ac:dyDescent="0.25">
      <c r="A3976" t="s">
        <v>799</v>
      </c>
      <c r="B3976" t="s">
        <v>800</v>
      </c>
      <c r="C3976" s="1">
        <v>41255</v>
      </c>
      <c r="D3976" s="1">
        <v>41260</v>
      </c>
      <c r="E3976">
        <v>4856</v>
      </c>
      <c r="F3976" t="s">
        <v>301</v>
      </c>
      <c r="G3976" t="s">
        <v>16</v>
      </c>
      <c r="H3976" t="s">
        <v>6563</v>
      </c>
      <c r="I3976">
        <v>2.0743</v>
      </c>
      <c r="J3976">
        <v>118553.61</v>
      </c>
      <c r="K3976">
        <v>57153.550595381574</v>
      </c>
    </row>
    <row r="3977" spans="1:11" x14ac:dyDescent="0.25">
      <c r="A3977" t="s">
        <v>799</v>
      </c>
      <c r="B3977" t="s">
        <v>800</v>
      </c>
      <c r="C3977" s="1">
        <v>41255</v>
      </c>
      <c r="D3977" s="1">
        <v>41260</v>
      </c>
      <c r="E3977">
        <v>4856</v>
      </c>
      <c r="F3977" t="s">
        <v>301</v>
      </c>
      <c r="G3977" t="s">
        <v>16</v>
      </c>
      <c r="H3977" t="s">
        <v>3320</v>
      </c>
      <c r="I3977">
        <v>2.0743</v>
      </c>
      <c r="J3977">
        <v>33804.800000000003</v>
      </c>
      <c r="K3977">
        <v>16296.967651737936</v>
      </c>
    </row>
    <row r="3978" spans="1:11" x14ac:dyDescent="0.25">
      <c r="A3978" t="s">
        <v>1453</v>
      </c>
      <c r="B3978" t="s">
        <v>1454</v>
      </c>
      <c r="C3978" s="1">
        <v>41290</v>
      </c>
      <c r="D3978" s="1">
        <v>41295</v>
      </c>
      <c r="E3978">
        <v>8781</v>
      </c>
      <c r="F3978" t="s">
        <v>309</v>
      </c>
      <c r="G3978" t="s">
        <v>16</v>
      </c>
      <c r="H3978" t="s">
        <v>3321</v>
      </c>
      <c r="I3978">
        <v>2.0373999999999999</v>
      </c>
      <c r="J3978">
        <v>60129.81</v>
      </c>
      <c r="K3978">
        <v>29513.011681554923</v>
      </c>
    </row>
    <row r="3979" spans="1:11" x14ac:dyDescent="0.25">
      <c r="A3979" t="s">
        <v>1453</v>
      </c>
      <c r="B3979" t="s">
        <v>1454</v>
      </c>
      <c r="C3979" s="1">
        <v>41290</v>
      </c>
      <c r="D3979" s="1">
        <v>41295</v>
      </c>
      <c r="E3979">
        <v>8781</v>
      </c>
      <c r="F3979" t="s">
        <v>309</v>
      </c>
      <c r="G3979" t="s">
        <v>16</v>
      </c>
      <c r="H3979" t="s">
        <v>6564</v>
      </c>
      <c r="I3979">
        <v>2.0373999999999999</v>
      </c>
      <c r="J3979">
        <v>61754.94</v>
      </c>
      <c r="K3979">
        <v>30310.660645921271</v>
      </c>
    </row>
    <row r="3980" spans="1:11" x14ac:dyDescent="0.25">
      <c r="A3980" t="s">
        <v>1453</v>
      </c>
      <c r="B3980" t="s">
        <v>1454</v>
      </c>
      <c r="C3980" s="1">
        <v>41290</v>
      </c>
      <c r="D3980" s="1">
        <v>41295</v>
      </c>
      <c r="E3980">
        <v>8781</v>
      </c>
      <c r="F3980" t="s">
        <v>309</v>
      </c>
      <c r="G3980" t="s">
        <v>16</v>
      </c>
      <c r="H3980" t="s">
        <v>6565</v>
      </c>
      <c r="I3980">
        <v>2.0373999999999999</v>
      </c>
      <c r="J3980">
        <v>60129.81</v>
      </c>
      <c r="K3980">
        <v>29513.011681554923</v>
      </c>
    </row>
    <row r="3981" spans="1:11" x14ac:dyDescent="0.25">
      <c r="A3981" t="s">
        <v>1453</v>
      </c>
      <c r="B3981" t="s">
        <v>1454</v>
      </c>
      <c r="C3981" s="1">
        <v>41290</v>
      </c>
      <c r="D3981" s="1">
        <v>41295</v>
      </c>
      <c r="E3981">
        <v>8781</v>
      </c>
      <c r="F3981" t="s">
        <v>309</v>
      </c>
      <c r="G3981" t="s">
        <v>16</v>
      </c>
      <c r="H3981" t="s">
        <v>3322</v>
      </c>
      <c r="I3981">
        <v>2.0373999999999999</v>
      </c>
      <c r="J3981">
        <v>50379.03</v>
      </c>
      <c r="K3981">
        <v>24727.117895356827</v>
      </c>
    </row>
    <row r="3982" spans="1:11" x14ac:dyDescent="0.25">
      <c r="A3982" t="s">
        <v>1453</v>
      </c>
      <c r="B3982" t="s">
        <v>1454</v>
      </c>
      <c r="C3982" s="1">
        <v>41291</v>
      </c>
      <c r="D3982" s="1">
        <v>41295</v>
      </c>
      <c r="E3982">
        <v>8781</v>
      </c>
      <c r="F3982" t="s">
        <v>309</v>
      </c>
      <c r="G3982" t="s">
        <v>16</v>
      </c>
      <c r="H3982" t="s">
        <v>6566</v>
      </c>
      <c r="I3982">
        <v>2.0409000000000002</v>
      </c>
      <c r="J3982">
        <v>60129.81</v>
      </c>
      <c r="K3982">
        <v>29462.398941643394</v>
      </c>
    </row>
    <row r="3983" spans="1:11" x14ac:dyDescent="0.25">
      <c r="A3983" t="s">
        <v>821</v>
      </c>
      <c r="B3983" t="s">
        <v>822</v>
      </c>
      <c r="C3983" s="1">
        <v>41286</v>
      </c>
      <c r="D3983" s="1">
        <v>41289</v>
      </c>
      <c r="E3983">
        <v>11833</v>
      </c>
      <c r="F3983" t="s">
        <v>331</v>
      </c>
      <c r="G3983" t="s">
        <v>16</v>
      </c>
      <c r="H3983" t="s">
        <v>3323</v>
      </c>
      <c r="I3983">
        <v>2.0341</v>
      </c>
      <c r="J3983">
        <v>51035.29</v>
      </c>
      <c r="K3983">
        <v>25089.862838601839</v>
      </c>
    </row>
    <row r="3984" spans="1:11" x14ac:dyDescent="0.25">
      <c r="A3984" t="s">
        <v>835</v>
      </c>
      <c r="B3984" t="s">
        <v>836</v>
      </c>
      <c r="C3984" s="1">
        <v>41293</v>
      </c>
      <c r="D3984" s="1">
        <v>41296</v>
      </c>
      <c r="E3984">
        <v>11334</v>
      </c>
      <c r="F3984" t="s">
        <v>331</v>
      </c>
      <c r="G3984" t="s">
        <v>16</v>
      </c>
      <c r="H3984" t="s">
        <v>6567</v>
      </c>
      <c r="I3984">
        <v>2.0440999999999998</v>
      </c>
      <c r="J3984">
        <v>64524.57</v>
      </c>
      <c r="K3984">
        <v>31566.249205029108</v>
      </c>
    </row>
    <row r="3985" spans="1:11" x14ac:dyDescent="0.25">
      <c r="A3985" t="s">
        <v>2886</v>
      </c>
      <c r="B3985" t="s">
        <v>2887</v>
      </c>
      <c r="C3985" s="1">
        <v>41260</v>
      </c>
      <c r="D3985" s="1">
        <v>41264</v>
      </c>
      <c r="E3985">
        <v>11314</v>
      </c>
      <c r="F3985" t="s">
        <v>311</v>
      </c>
      <c r="G3985" t="s">
        <v>16</v>
      </c>
      <c r="H3985" t="s">
        <v>3324</v>
      </c>
      <c r="I3985">
        <v>2.0840000000000001</v>
      </c>
      <c r="J3985">
        <v>645854</v>
      </c>
      <c r="K3985">
        <v>309910.74856046063</v>
      </c>
    </row>
    <row r="3986" spans="1:11" x14ac:dyDescent="0.25">
      <c r="A3986" t="s">
        <v>838</v>
      </c>
      <c r="B3986" t="s">
        <v>839</v>
      </c>
      <c r="C3986" s="1">
        <v>41264</v>
      </c>
      <c r="D3986" s="1">
        <v>41270</v>
      </c>
      <c r="E3986">
        <v>11333</v>
      </c>
      <c r="F3986" t="s">
        <v>331</v>
      </c>
      <c r="G3986" t="s">
        <v>16</v>
      </c>
      <c r="H3986" t="s">
        <v>6568</v>
      </c>
      <c r="I3986">
        <v>2.0653999999999999</v>
      </c>
      <c r="J3986">
        <v>78869.08</v>
      </c>
      <c r="K3986">
        <v>38185.862302701658</v>
      </c>
    </row>
    <row r="3987" spans="1:11" x14ac:dyDescent="0.25">
      <c r="A3987" t="s">
        <v>838</v>
      </c>
      <c r="B3987" t="s">
        <v>839</v>
      </c>
      <c r="C3987" s="1">
        <v>41264</v>
      </c>
      <c r="D3987" s="1">
        <v>41270</v>
      </c>
      <c r="E3987">
        <v>11333</v>
      </c>
      <c r="F3987" t="s">
        <v>331</v>
      </c>
      <c r="G3987" t="s">
        <v>16</v>
      </c>
      <c r="H3987" t="s">
        <v>3325</v>
      </c>
      <c r="I3987">
        <v>2.0653999999999999</v>
      </c>
      <c r="J3987">
        <v>87695.15</v>
      </c>
      <c r="K3987">
        <v>42459.160453180979</v>
      </c>
    </row>
    <row r="3988" spans="1:11" x14ac:dyDescent="0.25">
      <c r="A3988" t="s">
        <v>848</v>
      </c>
      <c r="B3988" t="s">
        <v>849</v>
      </c>
      <c r="C3988" s="1">
        <v>41312</v>
      </c>
      <c r="D3988" s="1">
        <v>41318</v>
      </c>
      <c r="E3988">
        <v>11834</v>
      </c>
      <c r="F3988" t="s">
        <v>331</v>
      </c>
      <c r="G3988" t="s">
        <v>16</v>
      </c>
      <c r="H3988" t="s">
        <v>3326</v>
      </c>
      <c r="I3988">
        <v>1.9883999999999999</v>
      </c>
      <c r="J3988">
        <v>38092.97</v>
      </c>
      <c r="K3988">
        <v>19157.599074632872</v>
      </c>
    </row>
    <row r="3989" spans="1:11" x14ac:dyDescent="0.25">
      <c r="A3989" t="s">
        <v>852</v>
      </c>
      <c r="B3989" t="s">
        <v>853</v>
      </c>
      <c r="C3989" s="1">
        <v>41311</v>
      </c>
      <c r="D3989" s="1">
        <v>41318</v>
      </c>
      <c r="E3989">
        <v>11335</v>
      </c>
      <c r="F3989" t="s">
        <v>331</v>
      </c>
      <c r="G3989" t="s">
        <v>16</v>
      </c>
      <c r="H3989" t="s">
        <v>3327</v>
      </c>
      <c r="I3989">
        <v>1.9881</v>
      </c>
      <c r="J3989">
        <v>65697.06</v>
      </c>
      <c r="K3989">
        <v>33045.148634374527</v>
      </c>
    </row>
    <row r="3990" spans="1:11" x14ac:dyDescent="0.25">
      <c r="A3990" t="s">
        <v>848</v>
      </c>
      <c r="B3990" t="s">
        <v>849</v>
      </c>
      <c r="C3990" s="1">
        <v>41310</v>
      </c>
      <c r="D3990" s="1">
        <v>41314</v>
      </c>
      <c r="E3990">
        <v>11834</v>
      </c>
      <c r="F3990" t="s">
        <v>331</v>
      </c>
      <c r="G3990" t="s">
        <v>16</v>
      </c>
      <c r="H3990" t="s">
        <v>3328</v>
      </c>
      <c r="I3990">
        <v>1.9893000000000001</v>
      </c>
      <c r="J3990">
        <v>36805.629999999997</v>
      </c>
      <c r="K3990">
        <v>18501.799628009852</v>
      </c>
    </row>
    <row r="3991" spans="1:11" x14ac:dyDescent="0.25">
      <c r="A3991" t="s">
        <v>848</v>
      </c>
      <c r="B3991" t="s">
        <v>849</v>
      </c>
      <c r="C3991" s="1">
        <v>41310</v>
      </c>
      <c r="D3991" s="1">
        <v>41314</v>
      </c>
      <c r="E3991">
        <v>11834</v>
      </c>
      <c r="F3991" t="s">
        <v>331</v>
      </c>
      <c r="G3991" t="s">
        <v>16</v>
      </c>
      <c r="H3991" t="s">
        <v>3329</v>
      </c>
      <c r="I3991">
        <v>1.9893000000000001</v>
      </c>
      <c r="J3991">
        <v>37545.599999999999</v>
      </c>
      <c r="K3991">
        <v>18873.774694616197</v>
      </c>
    </row>
    <row r="3992" spans="1:11" x14ac:dyDescent="0.25">
      <c r="A3992" t="s">
        <v>848</v>
      </c>
      <c r="B3992" t="s">
        <v>849</v>
      </c>
      <c r="C3992" s="1">
        <v>41310</v>
      </c>
      <c r="D3992" s="1">
        <v>41314</v>
      </c>
      <c r="E3992">
        <v>11834</v>
      </c>
      <c r="F3992" t="s">
        <v>331</v>
      </c>
      <c r="G3992" t="s">
        <v>16</v>
      </c>
      <c r="H3992" t="s">
        <v>6569</v>
      </c>
      <c r="I3992">
        <v>1.9893000000000001</v>
      </c>
      <c r="J3992">
        <v>37069.18</v>
      </c>
      <c r="K3992">
        <v>18634.283416277081</v>
      </c>
    </row>
    <row r="3993" spans="1:11" x14ac:dyDescent="0.25">
      <c r="A3993" t="s">
        <v>848</v>
      </c>
      <c r="B3993" t="s">
        <v>849</v>
      </c>
      <c r="C3993" s="1">
        <v>41310</v>
      </c>
      <c r="D3993" s="1">
        <v>41317</v>
      </c>
      <c r="E3993">
        <v>11834</v>
      </c>
      <c r="F3993" t="s">
        <v>331</v>
      </c>
      <c r="G3993" t="s">
        <v>16</v>
      </c>
      <c r="H3993" t="s">
        <v>3330</v>
      </c>
      <c r="I3993">
        <v>1.9893000000000001</v>
      </c>
      <c r="J3993">
        <v>21986.07</v>
      </c>
      <c r="K3993">
        <v>11052.164077816316</v>
      </c>
    </row>
    <row r="3994" spans="1:11" x14ac:dyDescent="0.25">
      <c r="A3994" t="s">
        <v>852</v>
      </c>
      <c r="B3994" t="s">
        <v>853</v>
      </c>
      <c r="C3994" s="1">
        <v>41312</v>
      </c>
      <c r="D3994" s="1">
        <v>41317</v>
      </c>
      <c r="E3994">
        <v>11335</v>
      </c>
      <c r="F3994" t="s">
        <v>331</v>
      </c>
      <c r="G3994" t="s">
        <v>16</v>
      </c>
      <c r="H3994" t="s">
        <v>6570</v>
      </c>
      <c r="I3994">
        <v>1.9883999999999999</v>
      </c>
      <c r="J3994">
        <v>48294.47</v>
      </c>
      <c r="K3994">
        <v>24288.10601488634</v>
      </c>
    </row>
    <row r="3995" spans="1:11" x14ac:dyDescent="0.25">
      <c r="A3995" t="s">
        <v>852</v>
      </c>
      <c r="B3995" t="s">
        <v>853</v>
      </c>
      <c r="C3995" s="1">
        <v>41312</v>
      </c>
      <c r="D3995" s="1">
        <v>41317</v>
      </c>
      <c r="E3995">
        <v>11335</v>
      </c>
      <c r="F3995" t="s">
        <v>331</v>
      </c>
      <c r="G3995" t="s">
        <v>16</v>
      </c>
      <c r="H3995" t="s">
        <v>3331</v>
      </c>
      <c r="I3995">
        <v>1.9883999999999999</v>
      </c>
      <c r="J3995">
        <v>44604.78</v>
      </c>
      <c r="K3995">
        <v>22432.498491249247</v>
      </c>
    </row>
    <row r="3996" spans="1:11" x14ac:dyDescent="0.25">
      <c r="A3996" t="s">
        <v>852</v>
      </c>
      <c r="B3996" t="s">
        <v>853</v>
      </c>
      <c r="C3996" s="1">
        <v>41312</v>
      </c>
      <c r="D3996" s="1">
        <v>41317</v>
      </c>
      <c r="E3996">
        <v>11335</v>
      </c>
      <c r="F3996" t="s">
        <v>331</v>
      </c>
      <c r="G3996" t="s">
        <v>16</v>
      </c>
      <c r="H3996" t="s">
        <v>3332</v>
      </c>
      <c r="I3996">
        <v>1.9883999999999999</v>
      </c>
      <c r="J3996">
        <v>44805.42</v>
      </c>
      <c r="K3996">
        <v>22533.40374170187</v>
      </c>
    </row>
    <row r="3997" spans="1:11" x14ac:dyDescent="0.25">
      <c r="A3997" t="s">
        <v>848</v>
      </c>
      <c r="B3997" t="s">
        <v>849</v>
      </c>
      <c r="C3997" s="1">
        <v>41310</v>
      </c>
      <c r="D3997" s="1">
        <v>41316</v>
      </c>
      <c r="E3997">
        <v>11834</v>
      </c>
      <c r="F3997" t="s">
        <v>331</v>
      </c>
      <c r="G3997" t="s">
        <v>16</v>
      </c>
      <c r="H3997" t="s">
        <v>3333</v>
      </c>
      <c r="I3997">
        <v>1.9893000000000001</v>
      </c>
      <c r="J3997">
        <v>37819.279999999999</v>
      </c>
      <c r="K3997">
        <v>19011.350726386165</v>
      </c>
    </row>
    <row r="3998" spans="1:11" x14ac:dyDescent="0.25">
      <c r="A3998" t="s">
        <v>852</v>
      </c>
      <c r="B3998" t="s">
        <v>853</v>
      </c>
      <c r="C3998" s="1">
        <v>41310</v>
      </c>
      <c r="D3998" s="1">
        <v>41316</v>
      </c>
      <c r="E3998">
        <v>11335</v>
      </c>
      <c r="F3998" t="s">
        <v>331</v>
      </c>
      <c r="G3998" t="s">
        <v>16</v>
      </c>
      <c r="H3998" t="s">
        <v>6571</v>
      </c>
      <c r="I3998">
        <v>1.9893000000000001</v>
      </c>
      <c r="J3998">
        <v>48190.8</v>
      </c>
      <c r="K3998">
        <v>24225.003770170413</v>
      </c>
    </row>
    <row r="3999" spans="1:11" x14ac:dyDescent="0.25">
      <c r="A3999" t="s">
        <v>848</v>
      </c>
      <c r="B3999" t="s">
        <v>849</v>
      </c>
      <c r="C3999" s="1">
        <v>41310</v>
      </c>
      <c r="D3999" s="1">
        <v>41320</v>
      </c>
      <c r="E3999">
        <v>11834</v>
      </c>
      <c r="F3999" t="s">
        <v>331</v>
      </c>
      <c r="G3999" t="s">
        <v>16</v>
      </c>
      <c r="H3999" t="s">
        <v>6572</v>
      </c>
      <c r="I3999">
        <v>1.9893000000000001</v>
      </c>
      <c r="J3999">
        <v>23283.54</v>
      </c>
      <c r="K3999">
        <v>11704.388478359222</v>
      </c>
    </row>
    <row r="4000" spans="1:11" x14ac:dyDescent="0.25">
      <c r="A4000" t="s">
        <v>852</v>
      </c>
      <c r="B4000" t="s">
        <v>853</v>
      </c>
      <c r="C4000" s="1">
        <v>41311</v>
      </c>
      <c r="D4000" s="1">
        <v>41317</v>
      </c>
      <c r="E4000">
        <v>11335</v>
      </c>
      <c r="F4000" t="s">
        <v>331</v>
      </c>
      <c r="G4000" t="s">
        <v>16</v>
      </c>
      <c r="H4000" t="s">
        <v>6573</v>
      </c>
      <c r="I4000">
        <v>1.9881</v>
      </c>
      <c r="J4000">
        <v>48229.68</v>
      </c>
      <c r="K4000">
        <v>24259.182133695489</v>
      </c>
    </row>
    <row r="4001" spans="1:11" x14ac:dyDescent="0.25">
      <c r="A4001" t="s">
        <v>852</v>
      </c>
      <c r="B4001" t="s">
        <v>853</v>
      </c>
      <c r="C4001" s="1">
        <v>41312</v>
      </c>
      <c r="D4001" s="1">
        <v>41320</v>
      </c>
      <c r="E4001">
        <v>11335</v>
      </c>
      <c r="F4001" t="s">
        <v>331</v>
      </c>
      <c r="G4001" t="s">
        <v>16</v>
      </c>
      <c r="H4001" t="s">
        <v>6574</v>
      </c>
      <c r="I4001">
        <v>1.9883999999999999</v>
      </c>
      <c r="J4001">
        <v>48307.42</v>
      </c>
      <c r="K4001">
        <v>24294.618788976062</v>
      </c>
    </row>
    <row r="4002" spans="1:11" x14ac:dyDescent="0.25">
      <c r="A4002" t="s">
        <v>852</v>
      </c>
      <c r="B4002" t="s">
        <v>853</v>
      </c>
      <c r="C4002" s="1">
        <v>41312</v>
      </c>
      <c r="D4002" s="1">
        <v>41320</v>
      </c>
      <c r="E4002">
        <v>11335</v>
      </c>
      <c r="F4002" t="s">
        <v>331</v>
      </c>
      <c r="G4002" t="s">
        <v>16</v>
      </c>
      <c r="H4002" t="s">
        <v>3334</v>
      </c>
      <c r="I4002">
        <v>1.9883999999999999</v>
      </c>
      <c r="J4002">
        <v>46272.6</v>
      </c>
      <c r="K4002">
        <v>23271.273385636694</v>
      </c>
    </row>
    <row r="4003" spans="1:11" x14ac:dyDescent="0.25">
      <c r="A4003" t="s">
        <v>852</v>
      </c>
      <c r="B4003" t="s">
        <v>853</v>
      </c>
      <c r="C4003" s="1">
        <v>41313</v>
      </c>
      <c r="D4003" s="1">
        <v>41320</v>
      </c>
      <c r="E4003">
        <v>11335</v>
      </c>
      <c r="F4003" t="s">
        <v>331</v>
      </c>
      <c r="G4003" t="s">
        <v>16</v>
      </c>
      <c r="H4003" t="s">
        <v>3335</v>
      </c>
      <c r="I4003">
        <v>1.9789000000000001</v>
      </c>
      <c r="J4003">
        <v>48475.88</v>
      </c>
      <c r="K4003">
        <v>24496.376774975997</v>
      </c>
    </row>
    <row r="4004" spans="1:11" x14ac:dyDescent="0.25">
      <c r="A4004" t="s">
        <v>852</v>
      </c>
      <c r="B4004" t="s">
        <v>853</v>
      </c>
      <c r="C4004" s="1">
        <v>41313</v>
      </c>
      <c r="D4004" s="1">
        <v>41320</v>
      </c>
      <c r="E4004">
        <v>11335</v>
      </c>
      <c r="F4004" t="s">
        <v>331</v>
      </c>
      <c r="G4004" t="s">
        <v>16</v>
      </c>
      <c r="H4004" t="s">
        <v>3336</v>
      </c>
      <c r="I4004">
        <v>1.9789000000000001</v>
      </c>
      <c r="J4004">
        <v>48929.41</v>
      </c>
      <c r="K4004">
        <v>24725.55965435343</v>
      </c>
    </row>
    <row r="4005" spans="1:11" x14ac:dyDescent="0.25">
      <c r="A4005" t="s">
        <v>852</v>
      </c>
      <c r="B4005" t="s">
        <v>853</v>
      </c>
      <c r="C4005" s="1">
        <v>41311</v>
      </c>
      <c r="D4005" s="1">
        <v>41316</v>
      </c>
      <c r="E4005">
        <v>11335</v>
      </c>
      <c r="F4005" t="s">
        <v>331</v>
      </c>
      <c r="G4005" t="s">
        <v>16</v>
      </c>
      <c r="H4005" t="s">
        <v>6575</v>
      </c>
      <c r="I4005">
        <v>1.9881</v>
      </c>
      <c r="J4005">
        <v>40105.01</v>
      </c>
      <c r="K4005">
        <v>20172.531562798653</v>
      </c>
    </row>
    <row r="4006" spans="1:11" x14ac:dyDescent="0.25">
      <c r="A4006" t="s">
        <v>852</v>
      </c>
      <c r="B4006" t="s">
        <v>853</v>
      </c>
      <c r="C4006" s="1">
        <v>41315</v>
      </c>
      <c r="D4006" s="1">
        <v>41321</v>
      </c>
      <c r="E4006">
        <v>11335</v>
      </c>
      <c r="F4006" t="s">
        <v>331</v>
      </c>
      <c r="G4006" t="s">
        <v>16</v>
      </c>
      <c r="H4006" t="s">
        <v>6576</v>
      </c>
      <c r="I4006">
        <v>1.9636</v>
      </c>
      <c r="J4006">
        <v>48553.63</v>
      </c>
      <c r="K4006">
        <v>24726.843552658382</v>
      </c>
    </row>
    <row r="4007" spans="1:11" x14ac:dyDescent="0.25">
      <c r="A4007" t="s">
        <v>856</v>
      </c>
      <c r="B4007" t="s">
        <v>857</v>
      </c>
      <c r="C4007" s="1">
        <v>41315</v>
      </c>
      <c r="D4007" s="1">
        <v>41322</v>
      </c>
      <c r="E4007">
        <v>11832</v>
      </c>
      <c r="F4007" t="s">
        <v>331</v>
      </c>
      <c r="G4007" t="s">
        <v>16</v>
      </c>
      <c r="H4007" t="s">
        <v>820</v>
      </c>
      <c r="I4007">
        <v>1.9636</v>
      </c>
      <c r="J4007">
        <v>46698.96</v>
      </c>
      <c r="K4007">
        <v>23782.318191077611</v>
      </c>
    </row>
    <row r="4008" spans="1:11" x14ac:dyDescent="0.25">
      <c r="A4008" t="s">
        <v>856</v>
      </c>
      <c r="B4008" t="s">
        <v>857</v>
      </c>
      <c r="C4008" s="1">
        <v>41314</v>
      </c>
      <c r="D4008" s="1">
        <v>41322</v>
      </c>
      <c r="E4008">
        <v>11832</v>
      </c>
      <c r="F4008" t="s">
        <v>331</v>
      </c>
      <c r="G4008" t="s">
        <v>16</v>
      </c>
      <c r="H4008" t="s">
        <v>6577</v>
      </c>
      <c r="I4008">
        <v>1.9636</v>
      </c>
      <c r="J4008">
        <v>48553.63</v>
      </c>
      <c r="K4008">
        <v>24726.843552658382</v>
      </c>
    </row>
    <row r="4009" spans="1:11" x14ac:dyDescent="0.25">
      <c r="A4009" t="s">
        <v>856</v>
      </c>
      <c r="B4009" t="s">
        <v>857</v>
      </c>
      <c r="C4009" s="1">
        <v>41312</v>
      </c>
      <c r="D4009" s="1">
        <v>41322</v>
      </c>
      <c r="E4009">
        <v>11832</v>
      </c>
      <c r="F4009" t="s">
        <v>331</v>
      </c>
      <c r="G4009" t="s">
        <v>16</v>
      </c>
      <c r="H4009" t="s">
        <v>6578</v>
      </c>
      <c r="I4009">
        <v>1.9883999999999999</v>
      </c>
      <c r="J4009">
        <v>46209.9</v>
      </c>
      <c r="K4009">
        <v>23239.740494870246</v>
      </c>
    </row>
    <row r="4010" spans="1:11" x14ac:dyDescent="0.25">
      <c r="A4010" t="s">
        <v>856</v>
      </c>
      <c r="B4010" t="s">
        <v>857</v>
      </c>
      <c r="C4010" s="1">
        <v>41312</v>
      </c>
      <c r="D4010" s="1">
        <v>41322</v>
      </c>
      <c r="E4010">
        <v>11832</v>
      </c>
      <c r="F4010" t="s">
        <v>331</v>
      </c>
      <c r="G4010" t="s">
        <v>16</v>
      </c>
      <c r="H4010" t="s">
        <v>6579</v>
      </c>
      <c r="I4010">
        <v>1.9883999999999999</v>
      </c>
      <c r="J4010">
        <v>46724.04</v>
      </c>
      <c r="K4010">
        <v>23498.310199155101</v>
      </c>
    </row>
    <row r="4011" spans="1:11" x14ac:dyDescent="0.25">
      <c r="A4011" t="s">
        <v>856</v>
      </c>
      <c r="B4011" t="s">
        <v>857</v>
      </c>
      <c r="C4011" s="1">
        <v>41314</v>
      </c>
      <c r="D4011" s="1">
        <v>41322</v>
      </c>
      <c r="E4011">
        <v>11832</v>
      </c>
      <c r="F4011" t="s">
        <v>331</v>
      </c>
      <c r="G4011" t="s">
        <v>16</v>
      </c>
      <c r="H4011" t="s">
        <v>3337</v>
      </c>
      <c r="I4011">
        <v>1.9636</v>
      </c>
      <c r="J4011">
        <v>39964.980000000003</v>
      </c>
      <c r="K4011">
        <v>20352.913016907722</v>
      </c>
    </row>
    <row r="4012" spans="1:11" x14ac:dyDescent="0.25">
      <c r="A4012" t="s">
        <v>856</v>
      </c>
      <c r="B4012" t="s">
        <v>857</v>
      </c>
      <c r="C4012" s="1">
        <v>41318</v>
      </c>
      <c r="D4012" s="1">
        <v>41331</v>
      </c>
      <c r="E4012">
        <v>11832</v>
      </c>
      <c r="F4012" t="s">
        <v>331</v>
      </c>
      <c r="G4012" t="s">
        <v>16</v>
      </c>
      <c r="H4012" t="s">
        <v>3338</v>
      </c>
      <c r="I4012">
        <v>1.9636</v>
      </c>
      <c r="J4012">
        <v>46824.36</v>
      </c>
      <c r="K4012">
        <v>23846.180484823792</v>
      </c>
    </row>
    <row r="4013" spans="1:11" x14ac:dyDescent="0.25">
      <c r="A4013" t="s">
        <v>856</v>
      </c>
      <c r="B4013" t="s">
        <v>857</v>
      </c>
      <c r="C4013" s="1">
        <v>41315</v>
      </c>
      <c r="D4013" s="1">
        <v>41331</v>
      </c>
      <c r="E4013">
        <v>11832</v>
      </c>
      <c r="F4013" t="s">
        <v>331</v>
      </c>
      <c r="G4013" t="s">
        <v>16</v>
      </c>
      <c r="H4013" t="s">
        <v>6580</v>
      </c>
      <c r="I4013">
        <v>1.9636</v>
      </c>
      <c r="J4013">
        <v>38083.980000000003</v>
      </c>
      <c r="K4013">
        <v>19394.978610715014</v>
      </c>
    </row>
    <row r="4014" spans="1:11" x14ac:dyDescent="0.25">
      <c r="A4014" t="s">
        <v>856</v>
      </c>
      <c r="B4014" t="s">
        <v>857</v>
      </c>
      <c r="C4014" s="1">
        <v>41318</v>
      </c>
      <c r="D4014" s="1">
        <v>41331</v>
      </c>
      <c r="E4014">
        <v>11832</v>
      </c>
      <c r="F4014" t="s">
        <v>331</v>
      </c>
      <c r="G4014" t="s">
        <v>16</v>
      </c>
      <c r="H4014" t="s">
        <v>3339</v>
      </c>
      <c r="I4014">
        <v>1.9636</v>
      </c>
      <c r="J4014">
        <v>45545.279999999999</v>
      </c>
      <c r="K4014">
        <v>23194.785088612753</v>
      </c>
    </row>
    <row r="4015" spans="1:11" x14ac:dyDescent="0.25">
      <c r="A4015" t="s">
        <v>799</v>
      </c>
      <c r="B4015" t="s">
        <v>800</v>
      </c>
      <c r="C4015" s="1">
        <v>41313</v>
      </c>
      <c r="D4015" s="1">
        <v>41321</v>
      </c>
      <c r="E4015">
        <v>4856</v>
      </c>
      <c r="F4015" t="s">
        <v>675</v>
      </c>
      <c r="G4015" t="s">
        <v>16</v>
      </c>
      <c r="H4015" t="s">
        <v>3340</v>
      </c>
      <c r="I4015">
        <v>1.9789000000000001</v>
      </c>
      <c r="J4015">
        <v>24493.599999999999</v>
      </c>
      <c r="K4015">
        <v>12377.381373490323</v>
      </c>
    </row>
    <row r="4016" spans="1:11" x14ac:dyDescent="0.25">
      <c r="A4016" t="s">
        <v>832</v>
      </c>
      <c r="B4016" t="s">
        <v>144</v>
      </c>
      <c r="C4016" s="1">
        <v>41320</v>
      </c>
      <c r="D4016" s="1">
        <v>41326</v>
      </c>
      <c r="E4016">
        <v>4889</v>
      </c>
      <c r="F4016" t="s">
        <v>318</v>
      </c>
      <c r="G4016" t="s">
        <v>16</v>
      </c>
      <c r="H4016" t="s">
        <v>3341</v>
      </c>
      <c r="I4016">
        <v>1.9665999999999999</v>
      </c>
      <c r="J4016">
        <v>99157.26</v>
      </c>
      <c r="K4016">
        <v>50420.654937455503</v>
      </c>
    </row>
    <row r="4017" spans="1:11" x14ac:dyDescent="0.25">
      <c r="A4017" t="s">
        <v>852</v>
      </c>
      <c r="B4017" t="s">
        <v>853</v>
      </c>
      <c r="C4017" s="1">
        <v>41313</v>
      </c>
      <c r="D4017" s="1">
        <v>41319</v>
      </c>
      <c r="E4017">
        <v>11335</v>
      </c>
      <c r="F4017" t="s">
        <v>331</v>
      </c>
      <c r="G4017" t="s">
        <v>16</v>
      </c>
      <c r="H4017" t="s">
        <v>6581</v>
      </c>
      <c r="I4017">
        <v>1.9789000000000001</v>
      </c>
      <c r="J4017">
        <v>46949.760000000002</v>
      </c>
      <c r="K4017">
        <v>23725.180655919954</v>
      </c>
    </row>
    <row r="4018" spans="1:11" x14ac:dyDescent="0.25">
      <c r="A4018" t="s">
        <v>848</v>
      </c>
      <c r="B4018" t="s">
        <v>849</v>
      </c>
      <c r="C4018" s="1">
        <v>41328</v>
      </c>
      <c r="D4018" s="1">
        <v>41333</v>
      </c>
      <c r="E4018">
        <v>11834</v>
      </c>
      <c r="F4018" t="s">
        <v>331</v>
      </c>
      <c r="G4018" t="s">
        <v>16</v>
      </c>
      <c r="H4018" t="s">
        <v>6582</v>
      </c>
      <c r="I4018">
        <v>1.9704999999999999</v>
      </c>
      <c r="J4018">
        <v>37454.370000000003</v>
      </c>
      <c r="K4018">
        <v>19007.546308043642</v>
      </c>
    </row>
    <row r="4019" spans="1:11" x14ac:dyDescent="0.25">
      <c r="A4019" t="s">
        <v>848</v>
      </c>
      <c r="B4019" t="s">
        <v>849</v>
      </c>
      <c r="C4019" s="1">
        <v>41330</v>
      </c>
      <c r="D4019" s="1">
        <v>41333</v>
      </c>
      <c r="E4019">
        <v>11834</v>
      </c>
      <c r="F4019" t="s">
        <v>331</v>
      </c>
      <c r="G4019" t="s">
        <v>16</v>
      </c>
      <c r="H4019" t="s">
        <v>6583</v>
      </c>
      <c r="I4019">
        <v>1.9704999999999999</v>
      </c>
      <c r="J4019">
        <v>36775.22</v>
      </c>
      <c r="K4019">
        <v>18662.887591981729</v>
      </c>
    </row>
    <row r="4020" spans="1:11" x14ac:dyDescent="0.25">
      <c r="A4020" t="s">
        <v>848</v>
      </c>
      <c r="B4020" t="s">
        <v>849</v>
      </c>
      <c r="C4020" s="1">
        <v>41330</v>
      </c>
      <c r="D4020" s="1">
        <v>41333</v>
      </c>
      <c r="E4020">
        <v>11834</v>
      </c>
      <c r="F4020" t="s">
        <v>331</v>
      </c>
      <c r="G4020" t="s">
        <v>16</v>
      </c>
      <c r="H4020" t="s">
        <v>6584</v>
      </c>
      <c r="I4020">
        <v>1.9704999999999999</v>
      </c>
      <c r="J4020">
        <v>37140.14</v>
      </c>
      <c r="K4020">
        <v>18848.079167723929</v>
      </c>
    </row>
    <row r="4021" spans="1:11" x14ac:dyDescent="0.25">
      <c r="A4021" t="s">
        <v>865</v>
      </c>
      <c r="B4021" t="s">
        <v>866</v>
      </c>
      <c r="C4021" s="1">
        <v>41307</v>
      </c>
      <c r="D4021" s="1">
        <v>41333</v>
      </c>
      <c r="E4021">
        <v>13442</v>
      </c>
      <c r="F4021" t="s">
        <v>675</v>
      </c>
      <c r="G4021" t="s">
        <v>16</v>
      </c>
      <c r="H4021" t="s">
        <v>3342</v>
      </c>
      <c r="I4021">
        <v>1.9843</v>
      </c>
      <c r="J4021">
        <v>227884.79999999999</v>
      </c>
      <c r="K4021">
        <v>114843.92480975659</v>
      </c>
    </row>
    <row r="4022" spans="1:11" x14ac:dyDescent="0.25">
      <c r="A4022" t="s">
        <v>799</v>
      </c>
      <c r="B4022" t="s">
        <v>800</v>
      </c>
      <c r="C4022" s="1">
        <v>41351</v>
      </c>
      <c r="D4022" s="1">
        <v>41355</v>
      </c>
      <c r="E4022">
        <v>4856</v>
      </c>
      <c r="F4022" t="s">
        <v>301</v>
      </c>
      <c r="G4022" t="s">
        <v>16</v>
      </c>
      <c r="H4022" t="s">
        <v>6585</v>
      </c>
      <c r="I4022">
        <v>1.9749000000000001</v>
      </c>
      <c r="J4022">
        <v>41219.99</v>
      </c>
      <c r="K4022">
        <v>20871.937819636438</v>
      </c>
    </row>
    <row r="4023" spans="1:11" x14ac:dyDescent="0.25">
      <c r="A4023" t="s">
        <v>848</v>
      </c>
      <c r="B4023" t="s">
        <v>849</v>
      </c>
      <c r="C4023" s="1">
        <v>41328</v>
      </c>
      <c r="D4023" s="1">
        <v>41339</v>
      </c>
      <c r="E4023">
        <v>11834</v>
      </c>
      <c r="F4023" t="s">
        <v>331</v>
      </c>
      <c r="G4023" t="s">
        <v>16</v>
      </c>
      <c r="H4023" t="s">
        <v>3343</v>
      </c>
      <c r="I4023">
        <v>1.9704999999999999</v>
      </c>
      <c r="J4023">
        <v>49770.22</v>
      </c>
      <c r="K4023">
        <v>25257.660492260846</v>
      </c>
    </row>
    <row r="4024" spans="1:11" x14ac:dyDescent="0.25">
      <c r="A4024" t="s">
        <v>848</v>
      </c>
      <c r="B4024" t="s">
        <v>849</v>
      </c>
      <c r="C4024" s="1">
        <v>41332</v>
      </c>
      <c r="D4024" s="1">
        <v>41339</v>
      </c>
      <c r="E4024">
        <v>11834</v>
      </c>
      <c r="F4024" t="s">
        <v>331</v>
      </c>
      <c r="G4024" t="s">
        <v>16</v>
      </c>
      <c r="H4024" t="s">
        <v>3344</v>
      </c>
      <c r="I4024">
        <v>1.9818</v>
      </c>
      <c r="J4024">
        <v>37353</v>
      </c>
      <c r="K4024">
        <v>18848.016954283983</v>
      </c>
    </row>
    <row r="4025" spans="1:11" x14ac:dyDescent="0.25">
      <c r="A4025" t="s">
        <v>1483</v>
      </c>
      <c r="B4025" t="s">
        <v>1484</v>
      </c>
      <c r="C4025" s="1">
        <v>41373</v>
      </c>
      <c r="D4025" s="1">
        <v>41379</v>
      </c>
      <c r="E4025">
        <v>14662</v>
      </c>
      <c r="F4025" t="s">
        <v>887</v>
      </c>
      <c r="G4025" t="s">
        <v>16</v>
      </c>
      <c r="H4025" t="s">
        <v>6586</v>
      </c>
      <c r="I4025">
        <v>1.9902</v>
      </c>
      <c r="J4025">
        <v>46663.94</v>
      </c>
      <c r="K4025">
        <v>23446.859612099288</v>
      </c>
    </row>
    <row r="4026" spans="1:11" x14ac:dyDescent="0.25">
      <c r="A4026" t="s">
        <v>848</v>
      </c>
      <c r="B4026" t="s">
        <v>849</v>
      </c>
      <c r="C4026" s="1">
        <v>41333</v>
      </c>
      <c r="D4026" s="1">
        <v>41339</v>
      </c>
      <c r="E4026">
        <v>11834</v>
      </c>
      <c r="F4026" t="s">
        <v>331</v>
      </c>
      <c r="G4026" t="s">
        <v>16</v>
      </c>
      <c r="H4026" t="s">
        <v>6587</v>
      </c>
      <c r="I4026">
        <v>1.9806999999999999</v>
      </c>
      <c r="J4026">
        <v>37099.589999999997</v>
      </c>
      <c r="K4026">
        <v>18730.544756904124</v>
      </c>
    </row>
    <row r="4027" spans="1:11" x14ac:dyDescent="0.25">
      <c r="A4027" t="s">
        <v>1480</v>
      </c>
      <c r="B4027" t="s">
        <v>1481</v>
      </c>
      <c r="C4027" s="1">
        <v>41345</v>
      </c>
      <c r="D4027" s="1">
        <v>41349</v>
      </c>
      <c r="E4027">
        <v>13993</v>
      </c>
      <c r="F4027" t="s">
        <v>331</v>
      </c>
      <c r="G4027" t="s">
        <v>16</v>
      </c>
      <c r="H4027" t="s">
        <v>3345</v>
      </c>
      <c r="I4027">
        <v>1.9552</v>
      </c>
      <c r="J4027">
        <v>44457.54</v>
      </c>
      <c r="K4027">
        <v>22738.103518821605</v>
      </c>
    </row>
    <row r="4028" spans="1:11" x14ac:dyDescent="0.25">
      <c r="A4028" t="s">
        <v>1483</v>
      </c>
      <c r="B4028" t="s">
        <v>1484</v>
      </c>
      <c r="C4028" s="1">
        <v>41374</v>
      </c>
      <c r="D4028" s="1">
        <v>41379</v>
      </c>
      <c r="E4028">
        <v>14662</v>
      </c>
      <c r="F4028" t="s">
        <v>887</v>
      </c>
      <c r="G4028" t="s">
        <v>16</v>
      </c>
      <c r="H4028" t="s">
        <v>6588</v>
      </c>
      <c r="I4028">
        <v>1.9861</v>
      </c>
      <c r="J4028">
        <v>46663.94</v>
      </c>
      <c r="K4028">
        <v>23495.262071396202</v>
      </c>
    </row>
    <row r="4029" spans="1:11" x14ac:dyDescent="0.25">
      <c r="A4029" t="s">
        <v>1480</v>
      </c>
      <c r="B4029" t="s">
        <v>1481</v>
      </c>
      <c r="C4029" s="1">
        <v>41345</v>
      </c>
      <c r="D4029" s="1">
        <v>41353</v>
      </c>
      <c r="E4029">
        <v>13993</v>
      </c>
      <c r="F4029" t="s">
        <v>331</v>
      </c>
      <c r="G4029" t="s">
        <v>16</v>
      </c>
      <c r="H4029" t="s">
        <v>3346</v>
      </c>
      <c r="I4029">
        <v>1.9552</v>
      </c>
      <c r="J4029">
        <v>44385.43</v>
      </c>
      <c r="K4029">
        <v>22701.222381342061</v>
      </c>
    </row>
    <row r="4030" spans="1:11" x14ac:dyDescent="0.25">
      <c r="A4030" t="s">
        <v>3347</v>
      </c>
      <c r="B4030" t="s">
        <v>3348</v>
      </c>
      <c r="C4030" s="1">
        <v>41359</v>
      </c>
      <c r="D4030" s="1">
        <v>41365</v>
      </c>
      <c r="E4030">
        <v>14431</v>
      </c>
      <c r="F4030" t="s">
        <v>311</v>
      </c>
      <c r="G4030" t="s">
        <v>16</v>
      </c>
      <c r="H4030" t="s">
        <v>3349</v>
      </c>
      <c r="I4030">
        <v>2.0139999999999998</v>
      </c>
      <c r="J4030">
        <v>231943.67999999999</v>
      </c>
      <c r="K4030">
        <v>115165.68023833168</v>
      </c>
    </row>
    <row r="4031" spans="1:11" x14ac:dyDescent="0.25">
      <c r="A4031" t="s">
        <v>799</v>
      </c>
      <c r="B4031" t="s">
        <v>800</v>
      </c>
      <c r="C4031" s="1">
        <v>40994</v>
      </c>
      <c r="D4031" s="1">
        <v>41365</v>
      </c>
      <c r="E4031">
        <v>4856</v>
      </c>
      <c r="F4031" t="s">
        <v>301</v>
      </c>
      <c r="G4031" t="s">
        <v>16</v>
      </c>
      <c r="H4031" t="s">
        <v>3350</v>
      </c>
      <c r="I4031">
        <v>1.8193999999999999</v>
      </c>
      <c r="J4031">
        <v>20317.599999999999</v>
      </c>
      <c r="K4031">
        <v>11167.197977355172</v>
      </c>
    </row>
    <row r="4032" spans="1:11" x14ac:dyDescent="0.25">
      <c r="A4032" t="s">
        <v>869</v>
      </c>
      <c r="B4032" t="s">
        <v>870</v>
      </c>
      <c r="C4032" s="1">
        <v>41352</v>
      </c>
      <c r="D4032" s="1">
        <v>41359</v>
      </c>
      <c r="E4032">
        <v>13711</v>
      </c>
      <c r="F4032" t="s">
        <v>331</v>
      </c>
      <c r="G4032" t="s">
        <v>16</v>
      </c>
      <c r="H4032" t="s">
        <v>6589</v>
      </c>
      <c r="I4032">
        <v>1.9871000000000001</v>
      </c>
      <c r="J4032">
        <v>41546.1</v>
      </c>
      <c r="K4032">
        <v>20907.9059936591</v>
      </c>
    </row>
    <row r="4033" spans="1:11" x14ac:dyDescent="0.25">
      <c r="A4033" t="s">
        <v>1429</v>
      </c>
      <c r="B4033" t="s">
        <v>1430</v>
      </c>
      <c r="C4033" s="1">
        <v>41352</v>
      </c>
      <c r="D4033" s="1">
        <v>41355</v>
      </c>
      <c r="E4033">
        <v>5441</v>
      </c>
      <c r="F4033" t="s">
        <v>301</v>
      </c>
      <c r="G4033" t="s">
        <v>16</v>
      </c>
      <c r="H4033" t="s">
        <v>6590</v>
      </c>
      <c r="I4033">
        <v>1.9871000000000001</v>
      </c>
      <c r="J4033">
        <v>41489.99</v>
      </c>
      <c r="K4033">
        <v>20879.66886417392</v>
      </c>
    </row>
    <row r="4034" spans="1:11" x14ac:dyDescent="0.25">
      <c r="A4034" t="s">
        <v>1480</v>
      </c>
      <c r="B4034" t="s">
        <v>1481</v>
      </c>
      <c r="C4034" s="1">
        <v>41341</v>
      </c>
      <c r="D4034" s="1">
        <v>41348</v>
      </c>
      <c r="E4034">
        <v>13993</v>
      </c>
      <c r="F4034" t="s">
        <v>331</v>
      </c>
      <c r="G4034" t="s">
        <v>16</v>
      </c>
      <c r="H4034" t="s">
        <v>3351</v>
      </c>
      <c r="I4034">
        <v>1.9528000000000001</v>
      </c>
      <c r="J4034">
        <v>44337.36</v>
      </c>
      <c r="K4034">
        <v>22704.506349856616</v>
      </c>
    </row>
    <row r="4035" spans="1:11" x14ac:dyDescent="0.25">
      <c r="A4035" t="s">
        <v>6591</v>
      </c>
      <c r="B4035" t="s">
        <v>6592</v>
      </c>
      <c r="C4035" s="1">
        <v>41381</v>
      </c>
      <c r="D4035" s="1">
        <v>41388</v>
      </c>
      <c r="E4035">
        <v>15015</v>
      </c>
      <c r="F4035" t="s">
        <v>642</v>
      </c>
      <c r="G4035" t="s">
        <v>16</v>
      </c>
      <c r="H4035" t="s">
        <v>6593</v>
      </c>
      <c r="I4035">
        <v>1.9903</v>
      </c>
      <c r="J4035">
        <v>116357.28</v>
      </c>
      <c r="K4035">
        <v>58462.181580666234</v>
      </c>
    </row>
    <row r="4036" spans="1:11" x14ac:dyDescent="0.25">
      <c r="A4036" t="s">
        <v>1483</v>
      </c>
      <c r="B4036" t="s">
        <v>1484</v>
      </c>
      <c r="C4036" s="1">
        <v>41374</v>
      </c>
      <c r="D4036" s="1">
        <v>41380</v>
      </c>
      <c r="E4036">
        <v>14662</v>
      </c>
      <c r="F4036" t="s">
        <v>887</v>
      </c>
      <c r="G4036" t="s">
        <v>16</v>
      </c>
      <c r="H4036" t="s">
        <v>6594</v>
      </c>
      <c r="I4036">
        <v>1.9861</v>
      </c>
      <c r="J4036">
        <v>46663.94</v>
      </c>
      <c r="K4036">
        <v>23495.262071396202</v>
      </c>
    </row>
    <row r="4037" spans="1:11" x14ac:dyDescent="0.25">
      <c r="A4037" t="s">
        <v>875</v>
      </c>
      <c r="B4037" t="s">
        <v>876</v>
      </c>
      <c r="C4037" s="1">
        <v>41443</v>
      </c>
      <c r="D4037" s="1">
        <v>41453</v>
      </c>
      <c r="E4037">
        <v>8</v>
      </c>
      <c r="F4037" t="s">
        <v>309</v>
      </c>
      <c r="G4037" t="s">
        <v>16</v>
      </c>
      <c r="H4037" t="s">
        <v>3352</v>
      </c>
      <c r="I4037">
        <v>2.1537999999999999</v>
      </c>
      <c r="J4037">
        <v>41941.769999999997</v>
      </c>
      <c r="K4037">
        <v>19473.381929612777</v>
      </c>
    </row>
    <row r="4038" spans="1:11" x14ac:dyDescent="0.25">
      <c r="A4038" t="s">
        <v>875</v>
      </c>
      <c r="B4038" t="s">
        <v>876</v>
      </c>
      <c r="C4038" s="1">
        <v>41437</v>
      </c>
      <c r="D4038" s="1">
        <v>41443</v>
      </c>
      <c r="E4038">
        <v>8</v>
      </c>
      <c r="F4038" t="s">
        <v>309</v>
      </c>
      <c r="G4038" t="s">
        <v>16</v>
      </c>
      <c r="H4038" t="s">
        <v>6595</v>
      </c>
      <c r="I4038">
        <v>2.1520999999999999</v>
      </c>
      <c r="J4038">
        <v>31200.59</v>
      </c>
      <c r="K4038">
        <v>14497.741740625435</v>
      </c>
    </row>
    <row r="4039" spans="1:11" x14ac:dyDescent="0.25">
      <c r="A4039" t="s">
        <v>6596</v>
      </c>
      <c r="B4039" t="s">
        <v>6597</v>
      </c>
      <c r="C4039" s="1">
        <v>41436</v>
      </c>
      <c r="D4039" s="1">
        <v>41443</v>
      </c>
      <c r="E4039">
        <v>9</v>
      </c>
      <c r="F4039" t="s">
        <v>309</v>
      </c>
      <c r="G4039" t="s">
        <v>16</v>
      </c>
      <c r="H4039" t="s">
        <v>6598</v>
      </c>
      <c r="I4039">
        <v>2.1505999999999998</v>
      </c>
      <c r="J4039">
        <v>177259</v>
      </c>
      <c r="K4039">
        <v>82423.044731702787</v>
      </c>
    </row>
    <row r="4040" spans="1:11" x14ac:dyDescent="0.25">
      <c r="A4040" t="s">
        <v>875</v>
      </c>
      <c r="B4040" t="s">
        <v>876</v>
      </c>
      <c r="C4040" s="1">
        <v>41447</v>
      </c>
      <c r="D4040" s="1">
        <v>41454</v>
      </c>
      <c r="E4040">
        <v>8</v>
      </c>
      <c r="F4040" t="s">
        <v>309</v>
      </c>
      <c r="G4040" t="s">
        <v>16</v>
      </c>
      <c r="H4040" t="s">
        <v>3353</v>
      </c>
      <c r="I4040">
        <v>2.2648000000000001</v>
      </c>
      <c r="J4040">
        <v>31200.59</v>
      </c>
      <c r="K4040">
        <v>13776.311374072766</v>
      </c>
    </row>
    <row r="4041" spans="1:11" x14ac:dyDescent="0.25">
      <c r="A4041" t="s">
        <v>875</v>
      </c>
      <c r="B4041" t="s">
        <v>876</v>
      </c>
      <c r="C4041" s="1">
        <v>41449</v>
      </c>
      <c r="D4041" s="1">
        <v>41454</v>
      </c>
      <c r="E4041">
        <v>8</v>
      </c>
      <c r="F4041" t="s">
        <v>309</v>
      </c>
      <c r="G4041" t="s">
        <v>16</v>
      </c>
      <c r="H4041" t="s">
        <v>3354</v>
      </c>
      <c r="I4041">
        <v>2.2648000000000001</v>
      </c>
      <c r="J4041">
        <v>30731.03</v>
      </c>
      <c r="K4041">
        <v>13568.981808548217</v>
      </c>
    </row>
    <row r="4042" spans="1:11" x14ac:dyDescent="0.25">
      <c r="A4042" t="s">
        <v>875</v>
      </c>
      <c r="B4042" t="s">
        <v>876</v>
      </c>
      <c r="C4042" s="1">
        <v>41443</v>
      </c>
      <c r="D4042" s="1">
        <v>41454</v>
      </c>
      <c r="E4042">
        <v>8</v>
      </c>
      <c r="F4042" t="s">
        <v>309</v>
      </c>
      <c r="G4042" t="s">
        <v>16</v>
      </c>
      <c r="H4042" t="s">
        <v>3355</v>
      </c>
      <c r="I4042">
        <v>2.1537999999999999</v>
      </c>
      <c r="J4042">
        <v>25800.65</v>
      </c>
      <c r="K4042">
        <v>11979.129909926642</v>
      </c>
    </row>
    <row r="4043" spans="1:11" x14ac:dyDescent="0.25">
      <c r="A4043" t="s">
        <v>875</v>
      </c>
      <c r="B4043" t="s">
        <v>876</v>
      </c>
      <c r="C4043" s="1">
        <v>41440</v>
      </c>
      <c r="D4043" s="1">
        <v>41449</v>
      </c>
      <c r="E4043">
        <v>8</v>
      </c>
      <c r="F4043" t="s">
        <v>309</v>
      </c>
      <c r="G4043" t="s">
        <v>16</v>
      </c>
      <c r="H4043" t="s">
        <v>3356</v>
      </c>
      <c r="I4043">
        <v>2.1366999999999998</v>
      </c>
      <c r="J4043">
        <v>41925</v>
      </c>
      <c r="K4043">
        <v>19621.378761641783</v>
      </c>
    </row>
    <row r="4044" spans="1:11" x14ac:dyDescent="0.25">
      <c r="A4044" t="s">
        <v>875</v>
      </c>
      <c r="B4044" t="s">
        <v>876</v>
      </c>
      <c r="C4044" s="1">
        <v>41444</v>
      </c>
      <c r="D4044" s="1">
        <v>41449</v>
      </c>
      <c r="E4044">
        <v>8</v>
      </c>
      <c r="F4044" t="s">
        <v>309</v>
      </c>
      <c r="G4044" t="s">
        <v>16</v>
      </c>
      <c r="H4044" t="s">
        <v>3357</v>
      </c>
      <c r="I4044">
        <v>2.1705999999999999</v>
      </c>
      <c r="J4044">
        <v>26261.82</v>
      </c>
      <c r="K4044">
        <v>12098.875886851562</v>
      </c>
    </row>
    <row r="4045" spans="1:11" x14ac:dyDescent="0.25">
      <c r="A4045" t="s">
        <v>875</v>
      </c>
      <c r="B4045" t="s">
        <v>876</v>
      </c>
      <c r="C4045" s="1">
        <v>41436</v>
      </c>
      <c r="D4045" s="1">
        <v>41443</v>
      </c>
      <c r="E4045">
        <v>8</v>
      </c>
      <c r="F4045" t="s">
        <v>309</v>
      </c>
      <c r="G4045" t="s">
        <v>16</v>
      </c>
      <c r="H4045" t="s">
        <v>3358</v>
      </c>
      <c r="I4045">
        <v>2.1505999999999998</v>
      </c>
      <c r="J4045">
        <v>31032.89</v>
      </c>
      <c r="K4045">
        <v>14429.875383613875</v>
      </c>
    </row>
    <row r="4046" spans="1:11" x14ac:dyDescent="0.25">
      <c r="A4046" t="s">
        <v>875</v>
      </c>
      <c r="B4046" t="s">
        <v>876</v>
      </c>
      <c r="C4046" s="1">
        <v>41445</v>
      </c>
      <c r="D4046" s="1">
        <v>41450</v>
      </c>
      <c r="E4046">
        <v>8</v>
      </c>
      <c r="F4046" t="s">
        <v>309</v>
      </c>
      <c r="G4046" t="s">
        <v>16</v>
      </c>
      <c r="H4046" t="s">
        <v>3359</v>
      </c>
      <c r="I4046">
        <v>2.1743999999999999</v>
      </c>
      <c r="J4046">
        <v>26748.15</v>
      </c>
      <c r="K4046">
        <v>12301.393487858719</v>
      </c>
    </row>
    <row r="4047" spans="1:11" x14ac:dyDescent="0.25">
      <c r="A4047" t="s">
        <v>875</v>
      </c>
      <c r="B4047" t="s">
        <v>876</v>
      </c>
      <c r="C4047" s="1">
        <v>41447</v>
      </c>
      <c r="D4047" s="1">
        <v>41450</v>
      </c>
      <c r="E4047">
        <v>8</v>
      </c>
      <c r="F4047" t="s">
        <v>309</v>
      </c>
      <c r="G4047" t="s">
        <v>16</v>
      </c>
      <c r="H4047" t="s">
        <v>3360</v>
      </c>
      <c r="I4047">
        <v>2.2648000000000001</v>
      </c>
      <c r="J4047">
        <v>28618.01</v>
      </c>
      <c r="K4047">
        <v>12635.998763687743</v>
      </c>
    </row>
    <row r="4048" spans="1:11" x14ac:dyDescent="0.25">
      <c r="A4048" t="s">
        <v>875</v>
      </c>
      <c r="B4048" t="s">
        <v>876</v>
      </c>
      <c r="C4048" s="1">
        <v>41440</v>
      </c>
      <c r="D4048" s="1">
        <v>41446</v>
      </c>
      <c r="E4048">
        <v>8</v>
      </c>
      <c r="F4048" t="s">
        <v>309</v>
      </c>
      <c r="G4048" t="s">
        <v>16</v>
      </c>
      <c r="H4048" t="s">
        <v>3361</v>
      </c>
      <c r="I4048">
        <v>2.1366999999999998</v>
      </c>
      <c r="J4048">
        <v>26832</v>
      </c>
      <c r="K4048">
        <v>12557.682407450742</v>
      </c>
    </row>
    <row r="4049" spans="1:11" x14ac:dyDescent="0.25">
      <c r="A4049" t="s">
        <v>875</v>
      </c>
      <c r="B4049" t="s">
        <v>876</v>
      </c>
      <c r="C4049" s="1">
        <v>41432</v>
      </c>
      <c r="D4049" s="1">
        <v>41438</v>
      </c>
      <c r="E4049">
        <v>8</v>
      </c>
      <c r="F4049" t="s">
        <v>309</v>
      </c>
      <c r="G4049" t="s">
        <v>16</v>
      </c>
      <c r="H4049" t="s">
        <v>6599</v>
      </c>
      <c r="I4049">
        <v>2.125</v>
      </c>
      <c r="J4049">
        <v>31192.2</v>
      </c>
      <c r="K4049">
        <v>14678.682352941176</v>
      </c>
    </row>
    <row r="4050" spans="1:11" x14ac:dyDescent="0.25">
      <c r="A4050" t="s">
        <v>875</v>
      </c>
      <c r="B4050" t="s">
        <v>876</v>
      </c>
      <c r="C4050" s="1">
        <v>41452</v>
      </c>
      <c r="D4050" s="1">
        <v>41460</v>
      </c>
      <c r="E4050">
        <v>8</v>
      </c>
      <c r="F4050" t="s">
        <v>309</v>
      </c>
      <c r="G4050" t="s">
        <v>16</v>
      </c>
      <c r="H4050" t="s">
        <v>6600</v>
      </c>
      <c r="I4050">
        <v>2.1974999999999998</v>
      </c>
      <c r="J4050">
        <v>43015.05</v>
      </c>
      <c r="K4050">
        <v>19574.539249146757</v>
      </c>
    </row>
    <row r="4051" spans="1:11" x14ac:dyDescent="0.25">
      <c r="A4051" t="s">
        <v>875</v>
      </c>
      <c r="B4051" t="s">
        <v>876</v>
      </c>
      <c r="C4051" s="1">
        <v>41451</v>
      </c>
      <c r="D4051" s="1">
        <v>41457</v>
      </c>
      <c r="E4051">
        <v>8</v>
      </c>
      <c r="F4051" t="s">
        <v>309</v>
      </c>
      <c r="G4051" t="s">
        <v>16</v>
      </c>
      <c r="H4051" t="s">
        <v>3362</v>
      </c>
      <c r="I4051">
        <v>2.2185000000000001</v>
      </c>
      <c r="J4051">
        <v>30823.26</v>
      </c>
      <c r="K4051">
        <v>13893.739012846518</v>
      </c>
    </row>
    <row r="4052" spans="1:11" x14ac:dyDescent="0.25">
      <c r="A4052" t="s">
        <v>875</v>
      </c>
      <c r="B4052" t="s">
        <v>876</v>
      </c>
      <c r="C4052" s="1">
        <v>41451</v>
      </c>
      <c r="D4052" s="1">
        <v>41460</v>
      </c>
      <c r="E4052">
        <v>8</v>
      </c>
      <c r="F4052" t="s">
        <v>309</v>
      </c>
      <c r="G4052" t="s">
        <v>16</v>
      </c>
      <c r="H4052" t="s">
        <v>6601</v>
      </c>
      <c r="I4052">
        <v>2.2185000000000001</v>
      </c>
      <c r="J4052">
        <v>31125.119999999999</v>
      </c>
      <c r="K4052">
        <v>14029.803921568628</v>
      </c>
    </row>
    <row r="4053" spans="1:11" x14ac:dyDescent="0.25">
      <c r="A4053" t="s">
        <v>774</v>
      </c>
      <c r="B4053" t="s">
        <v>775</v>
      </c>
      <c r="C4053" s="1">
        <v>41172</v>
      </c>
      <c r="D4053" s="1">
        <v>41185</v>
      </c>
      <c r="E4053">
        <v>4826</v>
      </c>
      <c r="F4053" t="s">
        <v>311</v>
      </c>
      <c r="G4053" t="s">
        <v>16</v>
      </c>
      <c r="H4053" t="s">
        <v>3363</v>
      </c>
      <c r="I4053">
        <v>2.0236000000000001</v>
      </c>
      <c r="J4053">
        <v>51659.33</v>
      </c>
      <c r="K4053">
        <v>25528.429531527971</v>
      </c>
    </row>
    <row r="4054" spans="1:11" x14ac:dyDescent="0.25">
      <c r="A4054" t="s">
        <v>875</v>
      </c>
      <c r="B4054" t="s">
        <v>876</v>
      </c>
      <c r="C4054" s="1">
        <v>41451</v>
      </c>
      <c r="D4054" s="1">
        <v>41462</v>
      </c>
      <c r="E4054">
        <v>8</v>
      </c>
      <c r="F4054" t="s">
        <v>309</v>
      </c>
      <c r="G4054" t="s">
        <v>16</v>
      </c>
      <c r="H4054" t="s">
        <v>6602</v>
      </c>
      <c r="I4054">
        <v>2.2185000000000001</v>
      </c>
      <c r="J4054">
        <v>30831.65</v>
      </c>
      <c r="K4054">
        <v>13897.520847419428</v>
      </c>
    </row>
    <row r="4055" spans="1:11" x14ac:dyDescent="0.25">
      <c r="A4055" t="s">
        <v>875</v>
      </c>
      <c r="B4055" t="s">
        <v>876</v>
      </c>
      <c r="C4055" s="1">
        <v>41451</v>
      </c>
      <c r="D4055" s="1">
        <v>41456</v>
      </c>
      <c r="E4055">
        <v>8</v>
      </c>
      <c r="F4055" t="s">
        <v>309</v>
      </c>
      <c r="G4055" t="s">
        <v>16</v>
      </c>
      <c r="H4055" t="s">
        <v>6603</v>
      </c>
      <c r="I4055">
        <v>2.2185000000000001</v>
      </c>
      <c r="J4055">
        <v>31024.5</v>
      </c>
      <c r="K4055">
        <v>13984.448951994591</v>
      </c>
    </row>
    <row r="4056" spans="1:11" x14ac:dyDescent="0.25">
      <c r="A4056" t="s">
        <v>917</v>
      </c>
      <c r="B4056" t="s">
        <v>918</v>
      </c>
      <c r="C4056" s="1">
        <v>41499</v>
      </c>
      <c r="D4056" s="1">
        <v>41508</v>
      </c>
      <c r="E4056">
        <v>16313</v>
      </c>
      <c r="F4056" t="s">
        <v>311</v>
      </c>
      <c r="G4056" t="s">
        <v>16</v>
      </c>
      <c r="H4056" t="s">
        <v>3364</v>
      </c>
      <c r="I4056">
        <v>2.2722000000000002</v>
      </c>
      <c r="J4056">
        <v>125415.03999999999</v>
      </c>
      <c r="K4056">
        <v>55195.422938121643</v>
      </c>
    </row>
    <row r="4057" spans="1:11" x14ac:dyDescent="0.25">
      <c r="A4057" t="s">
        <v>885</v>
      </c>
      <c r="B4057" t="s">
        <v>886</v>
      </c>
      <c r="C4057" s="1">
        <v>41509</v>
      </c>
      <c r="D4057" s="1">
        <v>41517</v>
      </c>
      <c r="E4057">
        <v>4</v>
      </c>
      <c r="F4057" t="s">
        <v>887</v>
      </c>
      <c r="G4057" t="s">
        <v>16</v>
      </c>
      <c r="H4057" t="s">
        <v>3365</v>
      </c>
      <c r="I4057">
        <v>2.4457</v>
      </c>
      <c r="J4057">
        <v>61816.53</v>
      </c>
      <c r="K4057">
        <v>25275.597988306006</v>
      </c>
    </row>
    <row r="4058" spans="1:11" x14ac:dyDescent="0.25">
      <c r="A4058" t="s">
        <v>3794</v>
      </c>
      <c r="B4058" t="s">
        <v>3795</v>
      </c>
      <c r="C4058" s="1">
        <v>41499</v>
      </c>
      <c r="D4058" s="1">
        <v>41519</v>
      </c>
      <c r="E4058">
        <v>17415</v>
      </c>
      <c r="F4058" t="s">
        <v>311</v>
      </c>
      <c r="G4058" t="s">
        <v>16</v>
      </c>
      <c r="H4058" t="s">
        <v>6604</v>
      </c>
      <c r="I4058">
        <v>2.2722000000000002</v>
      </c>
      <c r="J4058">
        <v>267681.71000000002</v>
      </c>
      <c r="K4058">
        <v>117807.28368981603</v>
      </c>
    </row>
    <row r="4059" spans="1:11" x14ac:dyDescent="0.25">
      <c r="A4059" t="s">
        <v>885</v>
      </c>
      <c r="B4059" t="s">
        <v>886</v>
      </c>
      <c r="C4059" s="1">
        <v>41503</v>
      </c>
      <c r="D4059" s="1">
        <v>41508</v>
      </c>
      <c r="E4059">
        <v>4</v>
      </c>
      <c r="F4059" t="s">
        <v>887</v>
      </c>
      <c r="G4059" t="s">
        <v>16</v>
      </c>
      <c r="H4059" t="s">
        <v>3366</v>
      </c>
      <c r="I4059">
        <v>2.3559000000000001</v>
      </c>
      <c r="J4059">
        <v>59690.15</v>
      </c>
      <c r="K4059">
        <v>25336.453160151112</v>
      </c>
    </row>
    <row r="4060" spans="1:11" x14ac:dyDescent="0.25">
      <c r="A4060" t="s">
        <v>3367</v>
      </c>
      <c r="B4060" t="s">
        <v>3368</v>
      </c>
      <c r="C4060" s="1">
        <v>41506</v>
      </c>
      <c r="D4060" s="1">
        <v>41510</v>
      </c>
      <c r="E4060">
        <v>285</v>
      </c>
      <c r="F4060" t="s">
        <v>311</v>
      </c>
      <c r="G4060" t="s">
        <v>16</v>
      </c>
      <c r="H4060" t="s">
        <v>3369</v>
      </c>
      <c r="I4060">
        <v>2.3980000000000001</v>
      </c>
      <c r="J4060">
        <v>474685.3</v>
      </c>
      <c r="K4060">
        <v>197950.50041701418</v>
      </c>
    </row>
    <row r="4061" spans="1:11" x14ac:dyDescent="0.25">
      <c r="A4061" t="s">
        <v>904</v>
      </c>
      <c r="B4061" t="s">
        <v>905</v>
      </c>
      <c r="C4061" s="1">
        <v>41522</v>
      </c>
      <c r="D4061" s="1">
        <v>41528</v>
      </c>
      <c r="E4061">
        <v>16316</v>
      </c>
      <c r="F4061" t="s">
        <v>887</v>
      </c>
      <c r="G4061" t="s">
        <v>16</v>
      </c>
      <c r="H4061" t="s">
        <v>3370</v>
      </c>
      <c r="I4061">
        <v>2.3538000000000001</v>
      </c>
      <c r="J4061">
        <v>60752.36</v>
      </c>
      <c r="K4061">
        <v>25810.332228736512</v>
      </c>
    </row>
    <row r="4062" spans="1:11" x14ac:dyDescent="0.25">
      <c r="A4062" t="s">
        <v>896</v>
      </c>
      <c r="B4062" t="s">
        <v>897</v>
      </c>
      <c r="C4062" s="1">
        <v>41541</v>
      </c>
      <c r="D4062" s="1">
        <v>41544</v>
      </c>
      <c r="E4062">
        <v>296</v>
      </c>
      <c r="F4062" t="s">
        <v>887</v>
      </c>
      <c r="G4062" t="s">
        <v>16</v>
      </c>
      <c r="H4062" t="s">
        <v>3371</v>
      </c>
      <c r="I4062">
        <v>2.2033</v>
      </c>
      <c r="J4062">
        <v>48774.01</v>
      </c>
      <c r="K4062">
        <v>22136.799346434895</v>
      </c>
    </row>
    <row r="4063" spans="1:11" x14ac:dyDescent="0.25">
      <c r="A4063" t="s">
        <v>896</v>
      </c>
      <c r="B4063" t="s">
        <v>897</v>
      </c>
      <c r="C4063" s="1">
        <v>41537</v>
      </c>
      <c r="D4063" s="1">
        <v>41543</v>
      </c>
      <c r="E4063">
        <v>296</v>
      </c>
      <c r="F4063" t="s">
        <v>887</v>
      </c>
      <c r="G4063" t="s">
        <v>16</v>
      </c>
      <c r="H4063" t="s">
        <v>6605</v>
      </c>
      <c r="I4063">
        <v>2.2035999999999998</v>
      </c>
      <c r="J4063">
        <v>78317.77</v>
      </c>
      <c r="K4063">
        <v>35540.828644037028</v>
      </c>
    </row>
    <row r="4064" spans="1:11" x14ac:dyDescent="0.25">
      <c r="A4064" t="s">
        <v>896</v>
      </c>
      <c r="B4064" t="s">
        <v>897</v>
      </c>
      <c r="C4064" s="1">
        <v>41535</v>
      </c>
      <c r="D4064" s="1">
        <v>41540</v>
      </c>
      <c r="E4064">
        <v>296</v>
      </c>
      <c r="F4064" t="s">
        <v>887</v>
      </c>
      <c r="G4064" t="s">
        <v>16</v>
      </c>
      <c r="H4064" t="s">
        <v>6606</v>
      </c>
      <c r="I4064">
        <v>2.2616999999999998</v>
      </c>
      <c r="J4064">
        <v>68988.63</v>
      </c>
      <c r="K4064">
        <v>30502.997745059027</v>
      </c>
    </row>
    <row r="4065" spans="1:11" x14ac:dyDescent="0.25">
      <c r="A4065" t="s">
        <v>896</v>
      </c>
      <c r="B4065" t="s">
        <v>897</v>
      </c>
      <c r="C4065" s="1">
        <v>41537</v>
      </c>
      <c r="D4065" s="1">
        <v>41541</v>
      </c>
      <c r="E4065">
        <v>296</v>
      </c>
      <c r="F4065" t="s">
        <v>887</v>
      </c>
      <c r="G4065" t="s">
        <v>16</v>
      </c>
      <c r="H4065" t="s">
        <v>6607</v>
      </c>
      <c r="I4065">
        <v>2.2035999999999998</v>
      </c>
      <c r="J4065">
        <v>64291.13</v>
      </c>
      <c r="K4065">
        <v>29175.499183154836</v>
      </c>
    </row>
    <row r="4066" spans="1:11" x14ac:dyDescent="0.25">
      <c r="A4066" t="s">
        <v>885</v>
      </c>
      <c r="B4066" t="s">
        <v>886</v>
      </c>
      <c r="C4066" s="1">
        <v>41503</v>
      </c>
      <c r="D4066" s="1">
        <v>41509</v>
      </c>
      <c r="E4066">
        <v>4</v>
      </c>
      <c r="F4066" t="s">
        <v>887</v>
      </c>
      <c r="G4066" t="s">
        <v>16</v>
      </c>
      <c r="H4066" t="s">
        <v>6608</v>
      </c>
      <c r="I4066">
        <v>2.3559000000000001</v>
      </c>
      <c r="J4066">
        <v>58808.81</v>
      </c>
      <c r="K4066">
        <v>24962.354089732162</v>
      </c>
    </row>
    <row r="4067" spans="1:11" x14ac:dyDescent="0.25">
      <c r="A4067" t="s">
        <v>885</v>
      </c>
      <c r="B4067" t="s">
        <v>886</v>
      </c>
      <c r="C4067" s="1">
        <v>41523</v>
      </c>
      <c r="D4067" s="1">
        <v>41528</v>
      </c>
      <c r="E4067">
        <v>4</v>
      </c>
      <c r="F4067" t="s">
        <v>887</v>
      </c>
      <c r="G4067" t="s">
        <v>16</v>
      </c>
      <c r="H4067" t="s">
        <v>3372</v>
      </c>
      <c r="I4067">
        <v>2.3313999999999999</v>
      </c>
      <c r="J4067">
        <v>60533.06</v>
      </c>
      <c r="K4067">
        <v>25964.25323839753</v>
      </c>
    </row>
    <row r="4068" spans="1:11" x14ac:dyDescent="0.25">
      <c r="A4068" t="s">
        <v>885</v>
      </c>
      <c r="B4068" t="s">
        <v>886</v>
      </c>
      <c r="C4068" s="1">
        <v>41523</v>
      </c>
      <c r="D4068" s="1">
        <v>41528</v>
      </c>
      <c r="E4068">
        <v>4</v>
      </c>
      <c r="F4068" t="s">
        <v>887</v>
      </c>
      <c r="G4068" t="s">
        <v>16</v>
      </c>
      <c r="H4068" t="s">
        <v>3373</v>
      </c>
      <c r="I4068">
        <v>2.3313999999999999</v>
      </c>
      <c r="J4068">
        <v>59859.75</v>
      </c>
      <c r="K4068">
        <v>25675.452517800462</v>
      </c>
    </row>
    <row r="4069" spans="1:11" x14ac:dyDescent="0.25">
      <c r="A4069" t="s">
        <v>885</v>
      </c>
      <c r="B4069" t="s">
        <v>886</v>
      </c>
      <c r="C4069" s="1">
        <v>41522</v>
      </c>
      <c r="D4069" s="1">
        <v>41529</v>
      </c>
      <c r="E4069">
        <v>4</v>
      </c>
      <c r="F4069" t="s">
        <v>887</v>
      </c>
      <c r="G4069" t="s">
        <v>16</v>
      </c>
      <c r="H4069" t="s">
        <v>6609</v>
      </c>
      <c r="I4069">
        <v>2.3538000000000001</v>
      </c>
      <c r="J4069">
        <v>81116.86</v>
      </c>
      <c r="K4069">
        <v>34462.086838304022</v>
      </c>
    </row>
    <row r="4070" spans="1:11" x14ac:dyDescent="0.25">
      <c r="A4070" t="s">
        <v>901</v>
      </c>
      <c r="B4070" t="s">
        <v>902</v>
      </c>
      <c r="C4070" s="1">
        <v>41516</v>
      </c>
      <c r="D4070" s="1">
        <v>41522</v>
      </c>
      <c r="E4070">
        <v>16315</v>
      </c>
      <c r="F4070" t="s">
        <v>887</v>
      </c>
      <c r="G4070" t="s">
        <v>16</v>
      </c>
      <c r="H4070" t="s">
        <v>3374</v>
      </c>
      <c r="I4070">
        <v>2.3578000000000001</v>
      </c>
      <c r="J4070">
        <v>69977.97</v>
      </c>
      <c r="K4070">
        <v>29679.349393502416</v>
      </c>
    </row>
    <row r="4071" spans="1:11" x14ac:dyDescent="0.25">
      <c r="A4071" t="s">
        <v>901</v>
      </c>
      <c r="B4071" t="s">
        <v>902</v>
      </c>
      <c r="C4071" s="1">
        <v>41519</v>
      </c>
      <c r="D4071" s="1">
        <v>41527</v>
      </c>
      <c r="E4071">
        <v>16315</v>
      </c>
      <c r="F4071" t="s">
        <v>887</v>
      </c>
      <c r="G4071" t="s">
        <v>16</v>
      </c>
      <c r="H4071" t="s">
        <v>6610</v>
      </c>
      <c r="I4071">
        <v>2.3725000000000001</v>
      </c>
      <c r="J4071">
        <v>73128.97</v>
      </c>
      <c r="K4071">
        <v>30823.591148577449</v>
      </c>
    </row>
    <row r="4072" spans="1:11" x14ac:dyDescent="0.25">
      <c r="A4072" t="s">
        <v>885</v>
      </c>
      <c r="B4072" t="s">
        <v>886</v>
      </c>
      <c r="C4072" s="1">
        <v>41509</v>
      </c>
      <c r="D4072" s="1">
        <v>41522</v>
      </c>
      <c r="E4072">
        <v>4</v>
      </c>
      <c r="F4072" t="s">
        <v>887</v>
      </c>
      <c r="G4072" t="s">
        <v>16</v>
      </c>
      <c r="H4072" t="s">
        <v>6611</v>
      </c>
      <c r="I4072">
        <v>2.4457</v>
      </c>
      <c r="J4072">
        <v>62515.03</v>
      </c>
      <c r="K4072">
        <v>25561.201292063623</v>
      </c>
    </row>
    <row r="4073" spans="1:11" x14ac:dyDescent="0.25">
      <c r="A4073" t="s">
        <v>3367</v>
      </c>
      <c r="B4073" t="s">
        <v>3368</v>
      </c>
      <c r="C4073" s="1">
        <v>41506</v>
      </c>
      <c r="D4073" s="1">
        <v>41509</v>
      </c>
      <c r="E4073">
        <v>285</v>
      </c>
      <c r="F4073" t="s">
        <v>311</v>
      </c>
      <c r="G4073" t="s">
        <v>16</v>
      </c>
      <c r="H4073" t="s">
        <v>5445</v>
      </c>
      <c r="I4073">
        <v>2.3980000000000001</v>
      </c>
      <c r="J4073">
        <v>207854.58</v>
      </c>
      <c r="K4073">
        <v>86678.306922435368</v>
      </c>
    </row>
    <row r="4074" spans="1:11" x14ac:dyDescent="0.25">
      <c r="A4074" t="s">
        <v>885</v>
      </c>
      <c r="B4074" t="s">
        <v>886</v>
      </c>
      <c r="C4074" s="1">
        <v>41523</v>
      </c>
      <c r="D4074" s="1">
        <v>41530</v>
      </c>
      <c r="E4074">
        <v>4</v>
      </c>
      <c r="F4074" t="s">
        <v>887</v>
      </c>
      <c r="G4074" t="s">
        <v>16</v>
      </c>
      <c r="H4074" t="s">
        <v>3375</v>
      </c>
      <c r="I4074">
        <v>2.3313999999999999</v>
      </c>
      <c r="J4074">
        <v>80924.490000000005</v>
      </c>
      <c r="K4074">
        <v>34710.684567212833</v>
      </c>
    </row>
    <row r="4075" spans="1:11" x14ac:dyDescent="0.25">
      <c r="A4075" t="s">
        <v>1521</v>
      </c>
      <c r="B4075" t="s">
        <v>1522</v>
      </c>
      <c r="C4075" s="1">
        <v>41534</v>
      </c>
      <c r="D4075" s="1">
        <v>41538</v>
      </c>
      <c r="E4075">
        <v>435</v>
      </c>
      <c r="F4075" t="s">
        <v>303</v>
      </c>
      <c r="G4075" t="s">
        <v>16</v>
      </c>
      <c r="H4075" t="s">
        <v>3376</v>
      </c>
      <c r="I4075">
        <v>2.2648999999999999</v>
      </c>
      <c r="J4075">
        <v>524530.55000000005</v>
      </c>
      <c r="K4075">
        <v>231591.04154708819</v>
      </c>
    </row>
    <row r="4076" spans="1:11" x14ac:dyDescent="0.25">
      <c r="A4076" t="s">
        <v>1521</v>
      </c>
      <c r="B4076" t="s">
        <v>1522</v>
      </c>
      <c r="C4076" s="1">
        <v>41535</v>
      </c>
      <c r="D4076" s="1">
        <v>41538</v>
      </c>
      <c r="E4076">
        <v>435</v>
      </c>
      <c r="F4076" t="s">
        <v>303</v>
      </c>
      <c r="G4076" t="s">
        <v>16</v>
      </c>
      <c r="H4076" t="s">
        <v>3377</v>
      </c>
      <c r="I4076">
        <v>2.2616999999999998</v>
      </c>
      <c r="J4076">
        <v>304840.96999999997</v>
      </c>
      <c r="K4076">
        <v>134783.99876199319</v>
      </c>
    </row>
    <row r="4077" spans="1:11" x14ac:dyDescent="0.25">
      <c r="A4077" t="s">
        <v>904</v>
      </c>
      <c r="B4077" t="s">
        <v>905</v>
      </c>
      <c r="C4077" s="1">
        <v>41530</v>
      </c>
      <c r="D4077" s="1">
        <v>41538</v>
      </c>
      <c r="E4077">
        <v>16316</v>
      </c>
      <c r="F4077" t="s">
        <v>887</v>
      </c>
      <c r="G4077" t="s">
        <v>16</v>
      </c>
      <c r="H4077" t="s">
        <v>3378</v>
      </c>
      <c r="I4077">
        <v>2.2768999999999999</v>
      </c>
      <c r="J4077">
        <v>62494.239999999998</v>
      </c>
      <c r="K4077">
        <v>27447.072774386226</v>
      </c>
    </row>
    <row r="4078" spans="1:11" x14ac:dyDescent="0.25">
      <c r="A4078" t="s">
        <v>896</v>
      </c>
      <c r="B4078" t="s">
        <v>897</v>
      </c>
      <c r="C4078" s="1">
        <v>41540</v>
      </c>
      <c r="D4078" s="1">
        <v>41545</v>
      </c>
      <c r="E4078">
        <v>296</v>
      </c>
      <c r="F4078" t="s">
        <v>887</v>
      </c>
      <c r="G4078" t="s">
        <v>16</v>
      </c>
      <c r="H4078" t="s">
        <v>3379</v>
      </c>
      <c r="I4078">
        <v>2.2052999999999998</v>
      </c>
      <c r="J4078">
        <v>46372.17</v>
      </c>
      <c r="K4078">
        <v>21027.601686845326</v>
      </c>
    </row>
    <row r="4079" spans="1:11" x14ac:dyDescent="0.25">
      <c r="A4079" t="s">
        <v>907</v>
      </c>
      <c r="B4079" t="s">
        <v>908</v>
      </c>
      <c r="C4079" s="1">
        <v>41529</v>
      </c>
      <c r="D4079" s="1">
        <v>41535</v>
      </c>
      <c r="E4079">
        <v>1</v>
      </c>
      <c r="F4079" t="s">
        <v>887</v>
      </c>
      <c r="G4079" t="s">
        <v>16</v>
      </c>
      <c r="H4079" t="s">
        <v>3380</v>
      </c>
      <c r="I4079">
        <v>2.2947000000000002</v>
      </c>
      <c r="J4079">
        <v>42565.77</v>
      </c>
      <c r="K4079">
        <v>18549.601255066023</v>
      </c>
    </row>
    <row r="4080" spans="1:11" x14ac:dyDescent="0.25">
      <c r="A4080" t="s">
        <v>896</v>
      </c>
      <c r="B4080" t="s">
        <v>897</v>
      </c>
      <c r="C4080" s="1">
        <v>41540</v>
      </c>
      <c r="D4080" s="1">
        <v>41545</v>
      </c>
      <c r="E4080">
        <v>296</v>
      </c>
      <c r="F4080" t="s">
        <v>887</v>
      </c>
      <c r="G4080" t="s">
        <v>16</v>
      </c>
      <c r="H4080" t="s">
        <v>3381</v>
      </c>
      <c r="I4080">
        <v>2.2052999999999998</v>
      </c>
      <c r="J4080">
        <v>46463.25</v>
      </c>
      <c r="K4080">
        <v>21068.902190178207</v>
      </c>
    </row>
    <row r="4081" spans="1:11" x14ac:dyDescent="0.25">
      <c r="A4081" t="s">
        <v>885</v>
      </c>
      <c r="B4081" t="s">
        <v>886</v>
      </c>
      <c r="C4081" s="1">
        <v>41522</v>
      </c>
      <c r="D4081" s="1">
        <v>41534</v>
      </c>
      <c r="E4081">
        <v>4</v>
      </c>
      <c r="F4081" t="s">
        <v>887</v>
      </c>
      <c r="G4081" t="s">
        <v>16</v>
      </c>
      <c r="H4081" t="s">
        <v>6612</v>
      </c>
      <c r="I4081">
        <v>2.3538000000000001</v>
      </c>
      <c r="J4081">
        <v>81517.64</v>
      </c>
      <c r="K4081">
        <v>34632.356189990656</v>
      </c>
    </row>
    <row r="4082" spans="1:11" x14ac:dyDescent="0.25">
      <c r="A4082" t="s">
        <v>896</v>
      </c>
      <c r="B4082" t="s">
        <v>897</v>
      </c>
      <c r="C4082" s="1">
        <v>41529</v>
      </c>
      <c r="D4082" s="1">
        <v>41534</v>
      </c>
      <c r="E4082">
        <v>296</v>
      </c>
      <c r="F4082" t="s">
        <v>887</v>
      </c>
      <c r="G4082" t="s">
        <v>16</v>
      </c>
      <c r="H4082" t="s">
        <v>6613</v>
      </c>
      <c r="I4082">
        <v>2.2947000000000002</v>
      </c>
      <c r="J4082">
        <v>67016.710000000006</v>
      </c>
      <c r="K4082">
        <v>29204.998474746153</v>
      </c>
    </row>
    <row r="4083" spans="1:11" x14ac:dyDescent="0.25">
      <c r="A4083" t="s">
        <v>896</v>
      </c>
      <c r="B4083" t="s">
        <v>897</v>
      </c>
      <c r="C4083" s="1">
        <v>41527</v>
      </c>
      <c r="D4083" s="1">
        <v>41533</v>
      </c>
      <c r="E4083">
        <v>296</v>
      </c>
      <c r="F4083" t="s">
        <v>887</v>
      </c>
      <c r="G4083" t="s">
        <v>16</v>
      </c>
      <c r="H4083" t="s">
        <v>6614</v>
      </c>
      <c r="I4083">
        <v>2.2867999999999999</v>
      </c>
      <c r="J4083">
        <v>65679.64</v>
      </c>
      <c r="K4083">
        <v>28721.199930033235</v>
      </c>
    </row>
    <row r="4084" spans="1:11" x14ac:dyDescent="0.25">
      <c r="A4084" t="s">
        <v>896</v>
      </c>
      <c r="B4084" t="s">
        <v>897</v>
      </c>
      <c r="C4084" s="1">
        <v>41528</v>
      </c>
      <c r="D4084" s="1">
        <v>41533</v>
      </c>
      <c r="E4084">
        <v>296</v>
      </c>
      <c r="F4084" t="s">
        <v>887</v>
      </c>
      <c r="G4084" t="s">
        <v>16</v>
      </c>
      <c r="H4084" t="s">
        <v>3382</v>
      </c>
      <c r="I4084">
        <v>2.2778999999999998</v>
      </c>
      <c r="J4084">
        <v>49619.040000000001</v>
      </c>
      <c r="K4084">
        <v>21782.799947319902</v>
      </c>
    </row>
    <row r="4085" spans="1:11" x14ac:dyDescent="0.25">
      <c r="A4085" t="s">
        <v>885</v>
      </c>
      <c r="B4085" t="s">
        <v>886</v>
      </c>
      <c r="C4085" s="1">
        <v>41526</v>
      </c>
      <c r="D4085" s="1">
        <v>41533</v>
      </c>
      <c r="E4085">
        <v>4</v>
      </c>
      <c r="F4085" t="s">
        <v>887</v>
      </c>
      <c r="G4085" t="s">
        <v>16</v>
      </c>
      <c r="H4085" t="s">
        <v>3383</v>
      </c>
      <c r="I4085">
        <v>2.2978999999999998</v>
      </c>
      <c r="J4085">
        <v>78808.399999999994</v>
      </c>
      <c r="K4085">
        <v>34295.835327908091</v>
      </c>
    </row>
    <row r="4086" spans="1:11" x14ac:dyDescent="0.25">
      <c r="A4086" t="s">
        <v>921</v>
      </c>
      <c r="B4086" t="s">
        <v>922</v>
      </c>
      <c r="C4086" s="1">
        <v>41550</v>
      </c>
      <c r="D4086" s="1">
        <v>41555</v>
      </c>
      <c r="E4086">
        <v>18399</v>
      </c>
      <c r="F4086" t="s">
        <v>887</v>
      </c>
      <c r="G4086" t="s">
        <v>16</v>
      </c>
      <c r="H4086" t="s">
        <v>3384</v>
      </c>
      <c r="I4086">
        <v>2.2088000000000001</v>
      </c>
      <c r="J4086">
        <v>56311.32</v>
      </c>
      <c r="K4086">
        <v>25494.078232524447</v>
      </c>
    </row>
    <row r="4087" spans="1:11" x14ac:dyDescent="0.25">
      <c r="A4087" t="s">
        <v>921</v>
      </c>
      <c r="B4087" t="s">
        <v>922</v>
      </c>
      <c r="C4087" s="1">
        <v>41550</v>
      </c>
      <c r="D4087" s="1">
        <v>41555</v>
      </c>
      <c r="E4087">
        <v>18399</v>
      </c>
      <c r="F4087" t="s">
        <v>887</v>
      </c>
      <c r="G4087" t="s">
        <v>16</v>
      </c>
      <c r="H4087" t="s">
        <v>6615</v>
      </c>
      <c r="I4087">
        <v>2.2088000000000001</v>
      </c>
      <c r="J4087">
        <v>70587.64</v>
      </c>
      <c r="K4087">
        <v>31957.461064831583</v>
      </c>
    </row>
    <row r="4088" spans="1:11" x14ac:dyDescent="0.25">
      <c r="A4088" t="s">
        <v>2926</v>
      </c>
      <c r="B4088" t="s">
        <v>144</v>
      </c>
      <c r="C4088" s="1">
        <v>41558</v>
      </c>
      <c r="D4088" s="1">
        <v>41564</v>
      </c>
      <c r="E4088">
        <v>1</v>
      </c>
      <c r="F4088" t="s">
        <v>642</v>
      </c>
      <c r="G4088" t="s">
        <v>16</v>
      </c>
      <c r="H4088" t="s">
        <v>6616</v>
      </c>
      <c r="I4088">
        <v>2.1850000000000001</v>
      </c>
      <c r="J4088">
        <v>75077.17</v>
      </c>
      <c r="K4088">
        <v>34360.260869565216</v>
      </c>
    </row>
    <row r="4089" spans="1:11" x14ac:dyDescent="0.25">
      <c r="A4089" t="s">
        <v>921</v>
      </c>
      <c r="B4089" t="s">
        <v>922</v>
      </c>
      <c r="C4089" s="1">
        <v>41545</v>
      </c>
      <c r="D4089" s="1">
        <v>41549</v>
      </c>
      <c r="E4089">
        <v>18399</v>
      </c>
      <c r="F4089" t="s">
        <v>887</v>
      </c>
      <c r="G4089" t="s">
        <v>16</v>
      </c>
      <c r="H4089" t="s">
        <v>3385</v>
      </c>
      <c r="I4089">
        <v>2.2570999999999999</v>
      </c>
      <c r="J4089">
        <v>55112.89</v>
      </c>
      <c r="K4089">
        <v>24417.566789242836</v>
      </c>
    </row>
    <row r="4090" spans="1:11" x14ac:dyDescent="0.25">
      <c r="A4090" t="s">
        <v>907</v>
      </c>
      <c r="B4090" t="s">
        <v>908</v>
      </c>
      <c r="C4090" s="1">
        <v>41530</v>
      </c>
      <c r="D4090" s="1">
        <v>41536</v>
      </c>
      <c r="E4090">
        <v>1</v>
      </c>
      <c r="F4090" t="s">
        <v>887</v>
      </c>
      <c r="G4090" t="s">
        <v>16</v>
      </c>
      <c r="H4090" t="s">
        <v>3386</v>
      </c>
      <c r="I4090">
        <v>2.2768999999999999</v>
      </c>
      <c r="J4090">
        <v>67907.399999999994</v>
      </c>
      <c r="K4090">
        <v>29824.498221265756</v>
      </c>
    </row>
    <row r="4091" spans="1:11" x14ac:dyDescent="0.25">
      <c r="A4091" t="s">
        <v>885</v>
      </c>
      <c r="B4091" t="s">
        <v>886</v>
      </c>
      <c r="C4091" s="1">
        <v>41556</v>
      </c>
      <c r="D4091" s="1">
        <v>41561</v>
      </c>
      <c r="E4091">
        <v>4</v>
      </c>
      <c r="F4091" t="s">
        <v>887</v>
      </c>
      <c r="G4091" t="s">
        <v>16</v>
      </c>
      <c r="H4091" t="s">
        <v>3387</v>
      </c>
      <c r="I4091">
        <v>2.2016</v>
      </c>
      <c r="J4091">
        <v>57759.16</v>
      </c>
      <c r="K4091">
        <v>26235.083575581397</v>
      </c>
    </row>
    <row r="4092" spans="1:11" x14ac:dyDescent="0.25">
      <c r="A4092" t="s">
        <v>896</v>
      </c>
      <c r="B4092" t="s">
        <v>897</v>
      </c>
      <c r="C4092" s="1">
        <v>41550</v>
      </c>
      <c r="D4092" s="1">
        <v>41556</v>
      </c>
      <c r="E4092">
        <v>296</v>
      </c>
      <c r="F4092" t="s">
        <v>887</v>
      </c>
      <c r="G4092" t="s">
        <v>16</v>
      </c>
      <c r="H4092" t="s">
        <v>6617</v>
      </c>
      <c r="I4092">
        <v>2.2088000000000001</v>
      </c>
      <c r="J4092">
        <v>57078</v>
      </c>
      <c r="K4092">
        <v>25841.180731618977</v>
      </c>
    </row>
    <row r="4093" spans="1:11" x14ac:dyDescent="0.25">
      <c r="A4093" t="s">
        <v>896</v>
      </c>
      <c r="B4093" t="s">
        <v>897</v>
      </c>
      <c r="C4093" s="1">
        <v>41551</v>
      </c>
      <c r="D4093" s="1">
        <v>41556</v>
      </c>
      <c r="E4093">
        <v>296</v>
      </c>
      <c r="F4093" t="s">
        <v>887</v>
      </c>
      <c r="G4093" t="s">
        <v>16</v>
      </c>
      <c r="H4093" t="s">
        <v>3388</v>
      </c>
      <c r="I4093">
        <v>2.2069000000000001</v>
      </c>
      <c r="J4093">
        <v>48371.94</v>
      </c>
      <c r="K4093">
        <v>21918.501064842087</v>
      </c>
    </row>
    <row r="4094" spans="1:11" x14ac:dyDescent="0.25">
      <c r="A4094" t="s">
        <v>896</v>
      </c>
      <c r="B4094" t="s">
        <v>897</v>
      </c>
      <c r="C4094" s="1">
        <v>41543</v>
      </c>
      <c r="D4094" s="1">
        <v>41550</v>
      </c>
      <c r="E4094">
        <v>296</v>
      </c>
      <c r="F4094" t="s">
        <v>887</v>
      </c>
      <c r="G4094" t="s">
        <v>16</v>
      </c>
      <c r="H4094" t="s">
        <v>6618</v>
      </c>
      <c r="I4094">
        <v>2.2223999999999999</v>
      </c>
      <c r="J4094">
        <v>41919.58</v>
      </c>
      <c r="K4094">
        <v>18862.302015838733</v>
      </c>
    </row>
    <row r="4095" spans="1:11" x14ac:dyDescent="0.25">
      <c r="A4095" t="s">
        <v>896</v>
      </c>
      <c r="B4095" t="s">
        <v>897</v>
      </c>
      <c r="C4095" s="1">
        <v>41543</v>
      </c>
      <c r="D4095" s="1">
        <v>41550</v>
      </c>
      <c r="E4095">
        <v>296</v>
      </c>
      <c r="F4095" t="s">
        <v>887</v>
      </c>
      <c r="G4095" t="s">
        <v>16</v>
      </c>
      <c r="H4095" t="s">
        <v>6619</v>
      </c>
      <c r="I4095">
        <v>2.2223999999999999</v>
      </c>
      <c r="J4095">
        <v>49157.49</v>
      </c>
      <c r="K4095">
        <v>22119.100971922246</v>
      </c>
    </row>
    <row r="4096" spans="1:11" x14ac:dyDescent="0.25">
      <c r="A4096" t="s">
        <v>924</v>
      </c>
      <c r="B4096" t="s">
        <v>925</v>
      </c>
      <c r="C4096" s="1">
        <v>41551</v>
      </c>
      <c r="D4096" s="1">
        <v>41558</v>
      </c>
      <c r="E4096">
        <v>696</v>
      </c>
      <c r="F4096" t="s">
        <v>278</v>
      </c>
      <c r="G4096" t="s">
        <v>16</v>
      </c>
      <c r="H4096" t="s">
        <v>6620</v>
      </c>
      <c r="I4096">
        <v>2.2069000000000001</v>
      </c>
      <c r="J4096">
        <v>12895.2</v>
      </c>
      <c r="K4096">
        <v>5843.1283701119219</v>
      </c>
    </row>
    <row r="4097" spans="1:11" x14ac:dyDescent="0.25">
      <c r="A4097" t="s">
        <v>907</v>
      </c>
      <c r="B4097" t="s">
        <v>908</v>
      </c>
      <c r="C4097" s="1">
        <v>41533</v>
      </c>
      <c r="D4097" s="1">
        <v>41538</v>
      </c>
      <c r="E4097">
        <v>1</v>
      </c>
      <c r="F4097" t="s">
        <v>887</v>
      </c>
      <c r="G4097" t="s">
        <v>16</v>
      </c>
      <c r="H4097" t="s">
        <v>6621</v>
      </c>
      <c r="I4097">
        <v>2.2785000000000002</v>
      </c>
      <c r="J4097">
        <v>49857.02</v>
      </c>
      <c r="K4097">
        <v>21881.509765196402</v>
      </c>
    </row>
    <row r="4098" spans="1:11" x14ac:dyDescent="0.25">
      <c r="A4098" t="s">
        <v>907</v>
      </c>
      <c r="B4098" t="s">
        <v>908</v>
      </c>
      <c r="C4098" s="1">
        <v>41533</v>
      </c>
      <c r="D4098" s="1">
        <v>41538</v>
      </c>
      <c r="E4098">
        <v>1</v>
      </c>
      <c r="F4098" t="s">
        <v>887</v>
      </c>
      <c r="G4098" t="s">
        <v>16</v>
      </c>
      <c r="H4098" t="s">
        <v>3389</v>
      </c>
      <c r="I4098">
        <v>2.2785000000000002</v>
      </c>
      <c r="J4098">
        <v>49309.14</v>
      </c>
      <c r="K4098">
        <v>21641.053324555629</v>
      </c>
    </row>
    <row r="4099" spans="1:11" x14ac:dyDescent="0.25">
      <c r="A4099" t="s">
        <v>896</v>
      </c>
      <c r="B4099" t="s">
        <v>897</v>
      </c>
      <c r="C4099" s="1">
        <v>41543</v>
      </c>
      <c r="D4099" s="1">
        <v>41551</v>
      </c>
      <c r="E4099">
        <v>296</v>
      </c>
      <c r="F4099" t="s">
        <v>887</v>
      </c>
      <c r="G4099" t="s">
        <v>16</v>
      </c>
      <c r="H4099" t="s">
        <v>6622</v>
      </c>
      <c r="I4099">
        <v>2.2223999999999999</v>
      </c>
      <c r="J4099">
        <v>67357.16</v>
      </c>
      <c r="K4099">
        <v>30308.297336213102</v>
      </c>
    </row>
    <row r="4100" spans="1:11" x14ac:dyDescent="0.25">
      <c r="A4100" t="s">
        <v>896</v>
      </c>
      <c r="B4100" t="s">
        <v>897</v>
      </c>
      <c r="C4100" s="1">
        <v>41542</v>
      </c>
      <c r="D4100" s="1">
        <v>41551</v>
      </c>
      <c r="E4100">
        <v>296</v>
      </c>
      <c r="F4100" t="s">
        <v>887</v>
      </c>
      <c r="G4100" t="s">
        <v>16</v>
      </c>
      <c r="H4100" t="s">
        <v>3390</v>
      </c>
      <c r="I4100">
        <v>2.2031000000000001</v>
      </c>
      <c r="J4100">
        <v>49094.54</v>
      </c>
      <c r="K4100">
        <v>22284.299396305207</v>
      </c>
    </row>
    <row r="4101" spans="1:11" x14ac:dyDescent="0.25">
      <c r="A4101" t="s">
        <v>2494</v>
      </c>
      <c r="B4101" t="s">
        <v>2495</v>
      </c>
      <c r="C4101" s="1">
        <v>41592</v>
      </c>
      <c r="D4101" s="1">
        <v>41599</v>
      </c>
      <c r="E4101">
        <v>697</v>
      </c>
      <c r="F4101" t="s">
        <v>278</v>
      </c>
      <c r="G4101" t="s">
        <v>16</v>
      </c>
      <c r="H4101" t="s">
        <v>3391</v>
      </c>
      <c r="I4101">
        <v>2.3233999999999999</v>
      </c>
      <c r="J4101">
        <v>250900</v>
      </c>
      <c r="K4101">
        <v>107988.29301885168</v>
      </c>
    </row>
    <row r="4102" spans="1:11" x14ac:dyDescent="0.25">
      <c r="A4102" t="s">
        <v>6623</v>
      </c>
      <c r="B4102" t="s">
        <v>6624</v>
      </c>
      <c r="C4102" s="1">
        <v>41577</v>
      </c>
      <c r="D4102" s="1">
        <v>41591</v>
      </c>
      <c r="E4102">
        <v>19080</v>
      </c>
      <c r="F4102" t="s">
        <v>301</v>
      </c>
      <c r="G4102" t="s">
        <v>16</v>
      </c>
      <c r="H4102" t="s">
        <v>942</v>
      </c>
      <c r="I4102">
        <v>2.1804000000000001</v>
      </c>
      <c r="J4102">
        <v>201040.01</v>
      </c>
      <c r="K4102">
        <v>92203.270042194097</v>
      </c>
    </row>
    <row r="4103" spans="1:11" x14ac:dyDescent="0.25">
      <c r="A4103" t="s">
        <v>1544</v>
      </c>
      <c r="B4103" t="s">
        <v>1545</v>
      </c>
      <c r="C4103" s="1">
        <v>41576</v>
      </c>
      <c r="D4103" s="1">
        <v>41584</v>
      </c>
      <c r="E4103">
        <v>18825</v>
      </c>
      <c r="F4103" t="s">
        <v>301</v>
      </c>
      <c r="G4103" t="s">
        <v>16</v>
      </c>
      <c r="H4103" t="s">
        <v>3392</v>
      </c>
      <c r="I4103">
        <v>2.1846000000000001</v>
      </c>
      <c r="J4103">
        <v>61920</v>
      </c>
      <c r="K4103">
        <v>28343.861576489977</v>
      </c>
    </row>
    <row r="4104" spans="1:11" x14ac:dyDescent="0.25">
      <c r="A4104" t="s">
        <v>1544</v>
      </c>
      <c r="B4104" t="s">
        <v>1545</v>
      </c>
      <c r="C4104" s="1">
        <v>41576</v>
      </c>
      <c r="D4104" s="1">
        <v>41584</v>
      </c>
      <c r="E4104">
        <v>18825</v>
      </c>
      <c r="F4104" t="s">
        <v>301</v>
      </c>
      <c r="G4104" t="s">
        <v>16</v>
      </c>
      <c r="H4104" t="s">
        <v>3393</v>
      </c>
      <c r="I4104">
        <v>2.1846000000000001</v>
      </c>
      <c r="J4104">
        <v>61920</v>
      </c>
      <c r="K4104">
        <v>28343.861576489977</v>
      </c>
    </row>
    <row r="4105" spans="1:11" x14ac:dyDescent="0.25">
      <c r="A4105" t="s">
        <v>1544</v>
      </c>
      <c r="B4105" t="s">
        <v>1545</v>
      </c>
      <c r="C4105" s="1">
        <v>41576</v>
      </c>
      <c r="D4105" s="1">
        <v>41584</v>
      </c>
      <c r="E4105">
        <v>18825</v>
      </c>
      <c r="F4105" t="s">
        <v>301</v>
      </c>
      <c r="G4105" t="s">
        <v>16</v>
      </c>
      <c r="H4105" t="s">
        <v>3394</v>
      </c>
      <c r="I4105">
        <v>2.1846000000000001</v>
      </c>
      <c r="J4105">
        <v>61920</v>
      </c>
      <c r="K4105">
        <v>28343.861576489977</v>
      </c>
    </row>
    <row r="4106" spans="1:11" x14ac:dyDescent="0.25">
      <c r="A4106" t="s">
        <v>1544</v>
      </c>
      <c r="B4106" t="s">
        <v>1545</v>
      </c>
      <c r="C4106" s="1">
        <v>41576</v>
      </c>
      <c r="D4106" s="1">
        <v>41584</v>
      </c>
      <c r="E4106">
        <v>18825</v>
      </c>
      <c r="F4106" t="s">
        <v>301</v>
      </c>
      <c r="G4106" t="s">
        <v>16</v>
      </c>
      <c r="H4106" t="s">
        <v>3395</v>
      </c>
      <c r="I4106">
        <v>2.1846000000000001</v>
      </c>
      <c r="J4106">
        <v>61920</v>
      </c>
      <c r="K4106">
        <v>28343.861576489977</v>
      </c>
    </row>
    <row r="4107" spans="1:11" x14ac:dyDescent="0.25">
      <c r="A4107" t="s">
        <v>1544</v>
      </c>
      <c r="B4107" t="s">
        <v>1545</v>
      </c>
      <c r="C4107" s="1">
        <v>41576</v>
      </c>
      <c r="D4107" s="1">
        <v>41584</v>
      </c>
      <c r="E4107">
        <v>18825</v>
      </c>
      <c r="F4107" t="s">
        <v>301</v>
      </c>
      <c r="G4107" t="s">
        <v>16</v>
      </c>
      <c r="H4107" t="s">
        <v>6625</v>
      </c>
      <c r="I4107">
        <v>2.1846000000000001</v>
      </c>
      <c r="J4107">
        <v>61920</v>
      </c>
      <c r="K4107">
        <v>28343.861576489977</v>
      </c>
    </row>
    <row r="4108" spans="1:11" x14ac:dyDescent="0.25">
      <c r="A4108" t="s">
        <v>1544</v>
      </c>
      <c r="B4108" t="s">
        <v>1545</v>
      </c>
      <c r="C4108" s="1">
        <v>41577</v>
      </c>
      <c r="D4108" s="1">
        <v>41584</v>
      </c>
      <c r="E4108">
        <v>18825</v>
      </c>
      <c r="F4108" t="s">
        <v>301</v>
      </c>
      <c r="G4108" t="s">
        <v>16</v>
      </c>
      <c r="H4108" t="s">
        <v>6626</v>
      </c>
      <c r="I4108">
        <v>2.1804000000000001</v>
      </c>
      <c r="J4108">
        <v>61695.01</v>
      </c>
      <c r="K4108">
        <v>28295.271509814713</v>
      </c>
    </row>
    <row r="4109" spans="1:11" x14ac:dyDescent="0.25">
      <c r="A4109" t="s">
        <v>1544</v>
      </c>
      <c r="B4109" t="s">
        <v>1545</v>
      </c>
      <c r="C4109" s="1">
        <v>41576</v>
      </c>
      <c r="D4109" s="1">
        <v>41584</v>
      </c>
      <c r="E4109">
        <v>18825</v>
      </c>
      <c r="F4109" t="s">
        <v>301</v>
      </c>
      <c r="G4109" t="s">
        <v>16</v>
      </c>
      <c r="H4109" t="s">
        <v>3396</v>
      </c>
      <c r="I4109">
        <v>2.1846000000000001</v>
      </c>
      <c r="J4109">
        <v>61920</v>
      </c>
      <c r="K4109">
        <v>28343.861576489977</v>
      </c>
    </row>
    <row r="4110" spans="1:11" x14ac:dyDescent="0.25">
      <c r="A4110" t="s">
        <v>1544</v>
      </c>
      <c r="B4110" t="s">
        <v>1545</v>
      </c>
      <c r="C4110" s="1">
        <v>41576</v>
      </c>
      <c r="D4110" s="1">
        <v>41584</v>
      </c>
      <c r="E4110">
        <v>18825</v>
      </c>
      <c r="F4110" t="s">
        <v>301</v>
      </c>
      <c r="G4110" t="s">
        <v>16</v>
      </c>
      <c r="H4110" t="s">
        <v>6627</v>
      </c>
      <c r="I4110">
        <v>2.1846000000000001</v>
      </c>
      <c r="J4110">
        <v>61920</v>
      </c>
      <c r="K4110">
        <v>28343.861576489977</v>
      </c>
    </row>
    <row r="4111" spans="1:11" x14ac:dyDescent="0.25">
      <c r="A4111" t="s">
        <v>3397</v>
      </c>
      <c r="B4111" t="s">
        <v>3398</v>
      </c>
      <c r="C4111" s="1">
        <v>41535</v>
      </c>
      <c r="D4111" s="1">
        <v>41576</v>
      </c>
      <c r="E4111">
        <v>7</v>
      </c>
      <c r="F4111" t="s">
        <v>303</v>
      </c>
      <c r="G4111" t="s">
        <v>16</v>
      </c>
      <c r="H4111" t="s">
        <v>3399</v>
      </c>
      <c r="I4111">
        <v>2.2616999999999998</v>
      </c>
      <c r="J4111">
        <v>86016.06</v>
      </c>
      <c r="K4111">
        <v>38031.595702347789</v>
      </c>
    </row>
    <row r="4112" spans="1:11" x14ac:dyDescent="0.25">
      <c r="A4112" t="s">
        <v>946</v>
      </c>
      <c r="B4112" t="s">
        <v>947</v>
      </c>
      <c r="C4112" s="1">
        <v>41570</v>
      </c>
      <c r="D4112" s="1">
        <v>41573</v>
      </c>
      <c r="E4112">
        <v>1006</v>
      </c>
      <c r="F4112" t="s">
        <v>301</v>
      </c>
      <c r="G4112" t="s">
        <v>16</v>
      </c>
      <c r="H4112" t="s">
        <v>6628</v>
      </c>
      <c r="I4112">
        <v>2.1760000000000002</v>
      </c>
      <c r="J4112">
        <v>61605</v>
      </c>
      <c r="K4112">
        <v>28311.121323529413</v>
      </c>
    </row>
    <row r="4113" spans="1:11" x14ac:dyDescent="0.25">
      <c r="A4113" t="s">
        <v>946</v>
      </c>
      <c r="B4113" t="s">
        <v>947</v>
      </c>
      <c r="C4113" s="1">
        <v>41576</v>
      </c>
      <c r="D4113" s="1">
        <v>41585</v>
      </c>
      <c r="E4113">
        <v>1006</v>
      </c>
      <c r="F4113" t="s">
        <v>301</v>
      </c>
      <c r="G4113" t="s">
        <v>16</v>
      </c>
      <c r="H4113" t="s">
        <v>3400</v>
      </c>
      <c r="I4113">
        <v>2.1846000000000001</v>
      </c>
      <c r="J4113">
        <v>61920</v>
      </c>
      <c r="K4113">
        <v>28343.861576489977</v>
      </c>
    </row>
    <row r="4114" spans="1:11" x14ac:dyDescent="0.25">
      <c r="A4114" t="s">
        <v>1544</v>
      </c>
      <c r="B4114" t="s">
        <v>1545</v>
      </c>
      <c r="C4114" s="1">
        <v>41576</v>
      </c>
      <c r="D4114" s="1">
        <v>41585</v>
      </c>
      <c r="E4114">
        <v>18825</v>
      </c>
      <c r="F4114" t="s">
        <v>301</v>
      </c>
      <c r="G4114" t="s">
        <v>16</v>
      </c>
      <c r="H4114" t="s">
        <v>3400</v>
      </c>
      <c r="I4114">
        <v>2.1846000000000001</v>
      </c>
      <c r="J4114">
        <v>61920</v>
      </c>
      <c r="K4114">
        <v>28343.861576489977</v>
      </c>
    </row>
    <row r="4115" spans="1:11" x14ac:dyDescent="0.25">
      <c r="A4115" t="s">
        <v>946</v>
      </c>
      <c r="B4115" t="s">
        <v>947</v>
      </c>
      <c r="C4115" s="1">
        <v>41576</v>
      </c>
      <c r="D4115" s="1">
        <v>41579</v>
      </c>
      <c r="E4115">
        <v>1006</v>
      </c>
      <c r="F4115" t="s">
        <v>301</v>
      </c>
      <c r="G4115" t="s">
        <v>16</v>
      </c>
      <c r="H4115" t="s">
        <v>6629</v>
      </c>
      <c r="I4115">
        <v>2.1846000000000001</v>
      </c>
      <c r="J4115">
        <v>61920</v>
      </c>
      <c r="K4115">
        <v>28343.861576489977</v>
      </c>
    </row>
    <row r="4116" spans="1:11" x14ac:dyDescent="0.25">
      <c r="A4116" t="s">
        <v>1561</v>
      </c>
      <c r="B4116" t="s">
        <v>1562</v>
      </c>
      <c r="C4116" s="1">
        <v>41578</v>
      </c>
      <c r="D4116" s="1">
        <v>41589</v>
      </c>
      <c r="E4116">
        <v>5</v>
      </c>
      <c r="F4116" t="s">
        <v>887</v>
      </c>
      <c r="G4116" t="s">
        <v>16</v>
      </c>
      <c r="H4116" t="s">
        <v>3401</v>
      </c>
      <c r="I4116">
        <v>2.1888000000000001</v>
      </c>
      <c r="J4116">
        <v>64747.96</v>
      </c>
      <c r="K4116">
        <v>29581.487573099414</v>
      </c>
    </row>
    <row r="4117" spans="1:11" x14ac:dyDescent="0.25">
      <c r="A4117" t="s">
        <v>2014</v>
      </c>
      <c r="B4117" t="s">
        <v>2015</v>
      </c>
      <c r="C4117" s="1">
        <v>41569</v>
      </c>
      <c r="D4117" s="1">
        <v>41589</v>
      </c>
      <c r="E4117">
        <v>6</v>
      </c>
      <c r="F4117" t="s">
        <v>887</v>
      </c>
      <c r="G4117" t="s">
        <v>16</v>
      </c>
      <c r="H4117" t="s">
        <v>3402</v>
      </c>
      <c r="I4117">
        <v>2.1738</v>
      </c>
      <c r="J4117">
        <v>52454.8</v>
      </c>
      <c r="K4117">
        <v>24130.46278406477</v>
      </c>
    </row>
    <row r="4118" spans="1:11" x14ac:dyDescent="0.25">
      <c r="A4118" t="s">
        <v>950</v>
      </c>
      <c r="B4118" t="s">
        <v>951</v>
      </c>
      <c r="C4118" s="1">
        <v>41600</v>
      </c>
      <c r="D4118" s="1">
        <v>41604</v>
      </c>
      <c r="E4118">
        <v>501</v>
      </c>
      <c r="F4118" t="s">
        <v>309</v>
      </c>
      <c r="G4118" t="s">
        <v>16</v>
      </c>
      <c r="H4118" t="s">
        <v>6630</v>
      </c>
      <c r="I4118">
        <v>2.3067000000000002</v>
      </c>
      <c r="J4118">
        <v>98320</v>
      </c>
      <c r="K4118">
        <v>42623.661507781682</v>
      </c>
    </row>
    <row r="4119" spans="1:11" x14ac:dyDescent="0.25">
      <c r="A4119" t="s">
        <v>2510</v>
      </c>
      <c r="B4119" t="s">
        <v>144</v>
      </c>
      <c r="C4119" s="1">
        <v>41597</v>
      </c>
      <c r="D4119" s="1">
        <v>41601</v>
      </c>
      <c r="E4119">
        <v>19302</v>
      </c>
      <c r="F4119" t="s">
        <v>370</v>
      </c>
      <c r="G4119" t="s">
        <v>16</v>
      </c>
      <c r="H4119" t="s">
        <v>3403</v>
      </c>
      <c r="I4119">
        <v>2.2827999999999999</v>
      </c>
      <c r="J4119">
        <v>196549.08</v>
      </c>
      <c r="K4119">
        <v>86100</v>
      </c>
    </row>
    <row r="4120" spans="1:11" x14ac:dyDescent="0.25">
      <c r="A4120" t="s">
        <v>896</v>
      </c>
      <c r="B4120" t="s">
        <v>897</v>
      </c>
      <c r="C4120" s="1">
        <v>41563</v>
      </c>
      <c r="D4120" s="1">
        <v>41571</v>
      </c>
      <c r="E4120">
        <v>296</v>
      </c>
      <c r="F4120" t="s">
        <v>887</v>
      </c>
      <c r="G4120" t="s">
        <v>16</v>
      </c>
      <c r="H4120" t="s">
        <v>6631</v>
      </c>
      <c r="I4120">
        <v>2.1818</v>
      </c>
      <c r="J4120">
        <v>48261.49</v>
      </c>
      <c r="K4120">
        <v>22120.033916949309</v>
      </c>
    </row>
    <row r="4121" spans="1:11" x14ac:dyDescent="0.25">
      <c r="A4121" t="s">
        <v>896</v>
      </c>
      <c r="B4121" t="s">
        <v>897</v>
      </c>
      <c r="C4121" s="1">
        <v>41563</v>
      </c>
      <c r="D4121" s="1">
        <v>41571</v>
      </c>
      <c r="E4121">
        <v>296</v>
      </c>
      <c r="F4121" t="s">
        <v>887</v>
      </c>
      <c r="G4121" t="s">
        <v>16</v>
      </c>
      <c r="H4121" t="s">
        <v>6632</v>
      </c>
      <c r="I4121">
        <v>2.1818</v>
      </c>
      <c r="J4121">
        <v>47961.81</v>
      </c>
      <c r="K4121">
        <v>21982.679438995325</v>
      </c>
    </row>
    <row r="4122" spans="1:11" x14ac:dyDescent="0.25">
      <c r="A4122" t="s">
        <v>907</v>
      </c>
      <c r="B4122" t="s">
        <v>908</v>
      </c>
      <c r="C4122" s="1">
        <v>41597</v>
      </c>
      <c r="D4122" s="1">
        <v>41604</v>
      </c>
      <c r="E4122">
        <v>1</v>
      </c>
      <c r="F4122" t="s">
        <v>887</v>
      </c>
      <c r="G4122" t="s">
        <v>16</v>
      </c>
      <c r="H4122" t="s">
        <v>3404</v>
      </c>
      <c r="I4122">
        <v>2.2827999999999999</v>
      </c>
      <c r="J4122">
        <v>9706.56</v>
      </c>
      <c r="K4122">
        <v>4252.0413527247238</v>
      </c>
    </row>
    <row r="4123" spans="1:11" x14ac:dyDescent="0.25">
      <c r="A4123" t="s">
        <v>2024</v>
      </c>
      <c r="B4123" t="s">
        <v>2025</v>
      </c>
      <c r="C4123" s="1">
        <v>41576</v>
      </c>
      <c r="D4123" s="1">
        <v>41584</v>
      </c>
      <c r="E4123">
        <v>18637</v>
      </c>
      <c r="F4123" t="s">
        <v>301</v>
      </c>
      <c r="G4123" t="s">
        <v>16</v>
      </c>
      <c r="H4123" t="s">
        <v>3405</v>
      </c>
      <c r="I4123">
        <v>2.1846000000000001</v>
      </c>
      <c r="J4123">
        <v>24767.99</v>
      </c>
      <c r="K4123">
        <v>11337.540053098966</v>
      </c>
    </row>
    <row r="4124" spans="1:11" x14ac:dyDescent="0.25">
      <c r="A4124" t="s">
        <v>2024</v>
      </c>
      <c r="B4124" t="s">
        <v>2025</v>
      </c>
      <c r="C4124" s="1">
        <v>41576</v>
      </c>
      <c r="D4124" s="1">
        <v>41584</v>
      </c>
      <c r="E4124">
        <v>18637</v>
      </c>
      <c r="F4124" t="s">
        <v>301</v>
      </c>
      <c r="G4124" t="s">
        <v>16</v>
      </c>
      <c r="H4124" t="s">
        <v>3406</v>
      </c>
      <c r="I4124">
        <v>2.1846000000000001</v>
      </c>
      <c r="J4124">
        <v>61920</v>
      </c>
      <c r="K4124">
        <v>28343.861576489977</v>
      </c>
    </row>
    <row r="4125" spans="1:11" x14ac:dyDescent="0.25">
      <c r="A4125" t="s">
        <v>964</v>
      </c>
      <c r="B4125" t="s">
        <v>965</v>
      </c>
      <c r="C4125" s="1">
        <v>41618</v>
      </c>
      <c r="D4125" s="1">
        <v>41626</v>
      </c>
      <c r="E4125">
        <v>18802</v>
      </c>
      <c r="F4125" t="s">
        <v>301</v>
      </c>
      <c r="G4125" t="s">
        <v>16</v>
      </c>
      <c r="H4125" t="s">
        <v>3407</v>
      </c>
      <c r="I4125">
        <v>2.3224999999999998</v>
      </c>
      <c r="J4125">
        <v>145999.99</v>
      </c>
      <c r="K4125">
        <v>62863.28955866523</v>
      </c>
    </row>
    <row r="4126" spans="1:11" x14ac:dyDescent="0.25">
      <c r="A4126" t="s">
        <v>1573</v>
      </c>
      <c r="B4126" t="s">
        <v>1574</v>
      </c>
      <c r="C4126" s="1">
        <v>41613</v>
      </c>
      <c r="D4126" s="1">
        <v>41618</v>
      </c>
      <c r="E4126">
        <v>18794</v>
      </c>
      <c r="F4126" t="s">
        <v>301</v>
      </c>
      <c r="G4126" t="s">
        <v>16</v>
      </c>
      <c r="H4126" t="s">
        <v>6633</v>
      </c>
      <c r="I4126">
        <v>2.3740000000000001</v>
      </c>
      <c r="J4126">
        <v>3430</v>
      </c>
      <c r="K4126">
        <v>1444.8188711036225</v>
      </c>
    </row>
    <row r="4127" spans="1:11" x14ac:dyDescent="0.25">
      <c r="A4127" t="s">
        <v>1020</v>
      </c>
      <c r="B4127" t="s">
        <v>1021</v>
      </c>
      <c r="C4127" s="1">
        <v>41632</v>
      </c>
      <c r="D4127" s="1">
        <v>41638</v>
      </c>
      <c r="E4127">
        <v>19971</v>
      </c>
      <c r="F4127" t="s">
        <v>309</v>
      </c>
      <c r="G4127" t="s">
        <v>16</v>
      </c>
      <c r="H4127" t="s">
        <v>6634</v>
      </c>
      <c r="I4127">
        <v>2.3706</v>
      </c>
      <c r="J4127">
        <v>50439.51</v>
      </c>
      <c r="K4127">
        <v>21277.107061503419</v>
      </c>
    </row>
    <row r="4128" spans="1:11" x14ac:dyDescent="0.25">
      <c r="A4128" t="s">
        <v>1561</v>
      </c>
      <c r="B4128" t="s">
        <v>1562</v>
      </c>
      <c r="C4128" s="1">
        <v>41597</v>
      </c>
      <c r="D4128" s="1">
        <v>41605</v>
      </c>
      <c r="E4128">
        <v>5</v>
      </c>
      <c r="F4128" t="s">
        <v>887</v>
      </c>
      <c r="G4128" t="s">
        <v>16</v>
      </c>
      <c r="H4128" t="s">
        <v>6635</v>
      </c>
      <c r="I4128">
        <v>2.2827999999999999</v>
      </c>
      <c r="J4128">
        <v>56183.46</v>
      </c>
      <c r="K4128">
        <v>24611.64359558437</v>
      </c>
    </row>
    <row r="4129" spans="1:11" x14ac:dyDescent="0.25">
      <c r="A4129" t="s">
        <v>964</v>
      </c>
      <c r="B4129" t="s">
        <v>965</v>
      </c>
      <c r="C4129" s="1">
        <v>41605</v>
      </c>
      <c r="D4129" s="1">
        <v>41610</v>
      </c>
      <c r="E4129">
        <v>18802</v>
      </c>
      <c r="F4129" t="s">
        <v>301</v>
      </c>
      <c r="G4129" t="s">
        <v>16</v>
      </c>
      <c r="H4129" t="s">
        <v>3408</v>
      </c>
      <c r="I4129">
        <v>2.3039999999999998</v>
      </c>
      <c r="J4129">
        <v>15949.99</v>
      </c>
      <c r="K4129">
        <v>6922.7387152777774</v>
      </c>
    </row>
    <row r="4130" spans="1:11" x14ac:dyDescent="0.25">
      <c r="A4130" t="s">
        <v>967</v>
      </c>
      <c r="B4130" t="s">
        <v>968</v>
      </c>
      <c r="C4130" s="1">
        <v>41614</v>
      </c>
      <c r="D4130" s="1">
        <v>41635</v>
      </c>
      <c r="E4130">
        <v>53</v>
      </c>
      <c r="F4130" t="s">
        <v>301</v>
      </c>
      <c r="G4130" t="s">
        <v>16</v>
      </c>
      <c r="H4130" t="s">
        <v>3409</v>
      </c>
      <c r="I4130">
        <v>2.3746999999999998</v>
      </c>
      <c r="J4130">
        <v>42630</v>
      </c>
      <c r="K4130">
        <v>17951.741272581799</v>
      </c>
    </row>
    <row r="4131" spans="1:11" x14ac:dyDescent="0.25">
      <c r="A4131" t="s">
        <v>2585</v>
      </c>
      <c r="B4131" t="s">
        <v>2586</v>
      </c>
      <c r="C4131" s="1">
        <v>41618</v>
      </c>
      <c r="D4131" s="1">
        <v>41625</v>
      </c>
      <c r="E4131">
        <v>1044</v>
      </c>
      <c r="F4131" t="s">
        <v>301</v>
      </c>
      <c r="G4131" t="s">
        <v>16</v>
      </c>
      <c r="H4131" t="s">
        <v>3410</v>
      </c>
      <c r="I4131">
        <v>2.3224999999999998</v>
      </c>
      <c r="J4131">
        <v>80696.399999999994</v>
      </c>
      <c r="K4131">
        <v>34745.489773950481</v>
      </c>
    </row>
    <row r="4132" spans="1:11" x14ac:dyDescent="0.25">
      <c r="A4132" t="s">
        <v>972</v>
      </c>
      <c r="B4132" t="s">
        <v>973</v>
      </c>
      <c r="C4132" s="1">
        <v>41646</v>
      </c>
      <c r="D4132" s="1">
        <v>41649</v>
      </c>
      <c r="E4132">
        <v>19543</v>
      </c>
      <c r="F4132" t="s">
        <v>675</v>
      </c>
      <c r="G4132" t="s">
        <v>16</v>
      </c>
      <c r="H4132" t="s">
        <v>3411</v>
      </c>
      <c r="I4132">
        <v>2.3788999999999998</v>
      </c>
      <c r="J4132">
        <v>164.69</v>
      </c>
      <c r="K4132">
        <v>69.229475808146617</v>
      </c>
    </row>
    <row r="4133" spans="1:11" x14ac:dyDescent="0.25">
      <c r="A4133" t="s">
        <v>972</v>
      </c>
      <c r="B4133" t="s">
        <v>973</v>
      </c>
      <c r="C4133" s="1">
        <v>41625</v>
      </c>
      <c r="D4133" s="1">
        <v>41645</v>
      </c>
      <c r="E4133">
        <v>19543</v>
      </c>
      <c r="F4133" t="s">
        <v>301</v>
      </c>
      <c r="G4133" t="s">
        <v>16</v>
      </c>
      <c r="H4133" t="s">
        <v>6636</v>
      </c>
      <c r="I4133">
        <v>2.3254999999999999</v>
      </c>
      <c r="J4133">
        <v>215973</v>
      </c>
      <c r="K4133">
        <v>92871.64050741776</v>
      </c>
    </row>
    <row r="4134" spans="1:11" x14ac:dyDescent="0.25">
      <c r="A4134" t="s">
        <v>972</v>
      </c>
      <c r="B4134" t="s">
        <v>973</v>
      </c>
      <c r="C4134" s="1">
        <v>41605</v>
      </c>
      <c r="D4134" s="1">
        <v>41610</v>
      </c>
      <c r="E4134">
        <v>19543</v>
      </c>
      <c r="F4134" t="s">
        <v>301</v>
      </c>
      <c r="G4134" t="s">
        <v>16</v>
      </c>
      <c r="H4134" t="s">
        <v>6637</v>
      </c>
      <c r="I4134">
        <v>2.3039999999999998</v>
      </c>
      <c r="J4134">
        <v>307044.01</v>
      </c>
      <c r="K4134">
        <v>133265.62934027778</v>
      </c>
    </row>
    <row r="4135" spans="1:11" x14ac:dyDescent="0.25">
      <c r="A4135" t="s">
        <v>972</v>
      </c>
      <c r="B4135" t="s">
        <v>973</v>
      </c>
      <c r="C4135" s="1">
        <v>41605</v>
      </c>
      <c r="D4135" s="1">
        <v>41611</v>
      </c>
      <c r="E4135">
        <v>19543</v>
      </c>
      <c r="F4135" t="s">
        <v>301</v>
      </c>
      <c r="G4135" t="s">
        <v>16</v>
      </c>
      <c r="H4135" t="s">
        <v>6638</v>
      </c>
      <c r="I4135">
        <v>2.3039999999999998</v>
      </c>
      <c r="J4135">
        <v>134235.21</v>
      </c>
      <c r="K4135">
        <v>58261.809895833336</v>
      </c>
    </row>
    <row r="4136" spans="1:11" x14ac:dyDescent="0.25">
      <c r="A4136" t="s">
        <v>2494</v>
      </c>
      <c r="B4136" t="s">
        <v>2495</v>
      </c>
      <c r="C4136" s="1">
        <v>41606</v>
      </c>
      <c r="D4136" s="1">
        <v>41611</v>
      </c>
      <c r="E4136">
        <v>697</v>
      </c>
      <c r="F4136" t="s">
        <v>278</v>
      </c>
      <c r="G4136" t="s">
        <v>16</v>
      </c>
      <c r="H4136" t="s">
        <v>6639</v>
      </c>
      <c r="I4136">
        <v>2.3058000000000001</v>
      </c>
      <c r="J4136">
        <v>98658</v>
      </c>
      <c r="K4136">
        <v>42786.885245901642</v>
      </c>
    </row>
    <row r="4137" spans="1:11" x14ac:dyDescent="0.25">
      <c r="A4137" t="s">
        <v>1020</v>
      </c>
      <c r="B4137" t="s">
        <v>1021</v>
      </c>
      <c r="C4137" s="1">
        <v>41646</v>
      </c>
      <c r="D4137" s="1">
        <v>41648</v>
      </c>
      <c r="E4137">
        <v>19971</v>
      </c>
      <c r="F4137" t="s">
        <v>309</v>
      </c>
      <c r="G4137" t="s">
        <v>16</v>
      </c>
      <c r="H4137" t="s">
        <v>3412</v>
      </c>
      <c r="I4137">
        <v>2.3788999999999998</v>
      </c>
      <c r="J4137">
        <v>68161.5</v>
      </c>
      <c r="K4137">
        <v>28652.528479549372</v>
      </c>
    </row>
    <row r="4138" spans="1:11" x14ac:dyDescent="0.25">
      <c r="A4138" t="s">
        <v>1020</v>
      </c>
      <c r="B4138" t="s">
        <v>1021</v>
      </c>
      <c r="C4138" s="1">
        <v>41646</v>
      </c>
      <c r="D4138" s="1">
        <v>41648</v>
      </c>
      <c r="E4138">
        <v>19971</v>
      </c>
      <c r="F4138" t="s">
        <v>309</v>
      </c>
      <c r="G4138" t="s">
        <v>16</v>
      </c>
      <c r="H4138" t="s">
        <v>6640</v>
      </c>
      <c r="I4138">
        <v>2.3788999999999998</v>
      </c>
      <c r="J4138">
        <v>68161.5</v>
      </c>
      <c r="K4138">
        <v>28652.528479549372</v>
      </c>
    </row>
    <row r="4139" spans="1:11" x14ac:dyDescent="0.25">
      <c r="A4139" t="s">
        <v>3413</v>
      </c>
      <c r="B4139" t="s">
        <v>3414</v>
      </c>
      <c r="C4139" s="1">
        <v>41642</v>
      </c>
      <c r="D4139" s="1">
        <v>41648</v>
      </c>
      <c r="E4139">
        <v>286</v>
      </c>
      <c r="F4139" t="s">
        <v>311</v>
      </c>
      <c r="G4139" t="s">
        <v>16</v>
      </c>
      <c r="H4139" t="s">
        <v>3415</v>
      </c>
      <c r="I4139">
        <v>2.3975</v>
      </c>
      <c r="J4139">
        <v>632781.6</v>
      </c>
      <c r="K4139">
        <v>263933.93117831071</v>
      </c>
    </row>
    <row r="4140" spans="1:11" x14ac:dyDescent="0.25">
      <c r="A4140" t="s">
        <v>982</v>
      </c>
      <c r="B4140" t="s">
        <v>983</v>
      </c>
      <c r="C4140" s="1">
        <v>41659</v>
      </c>
      <c r="D4140" s="1">
        <v>41661</v>
      </c>
      <c r="E4140">
        <v>20657</v>
      </c>
      <c r="F4140" t="s">
        <v>887</v>
      </c>
      <c r="G4140" t="s">
        <v>16</v>
      </c>
      <c r="H4140" t="s">
        <v>3416</v>
      </c>
      <c r="I4140">
        <v>2.3601000000000001</v>
      </c>
      <c r="J4140">
        <v>52090.95</v>
      </c>
      <c r="K4140">
        <v>22071.501207575951</v>
      </c>
    </row>
    <row r="4141" spans="1:11" x14ac:dyDescent="0.25">
      <c r="A4141" t="s">
        <v>1582</v>
      </c>
      <c r="B4141" t="s">
        <v>1583</v>
      </c>
      <c r="C4141" s="1">
        <v>41654</v>
      </c>
      <c r="D4141" s="1">
        <v>41656</v>
      </c>
      <c r="E4141">
        <v>20372</v>
      </c>
      <c r="F4141" t="s">
        <v>309</v>
      </c>
      <c r="G4141" t="s">
        <v>16</v>
      </c>
      <c r="H4141" t="s">
        <v>3417</v>
      </c>
      <c r="I4141">
        <v>2.3616999999999999</v>
      </c>
      <c r="J4141">
        <v>24788.63</v>
      </c>
      <c r="K4141">
        <v>10496.096032518948</v>
      </c>
    </row>
    <row r="4142" spans="1:11" x14ac:dyDescent="0.25">
      <c r="A4142" t="s">
        <v>1582</v>
      </c>
      <c r="B4142" t="s">
        <v>1583</v>
      </c>
      <c r="C4142" s="1">
        <v>41653</v>
      </c>
      <c r="D4142" s="1">
        <v>41656</v>
      </c>
      <c r="E4142">
        <v>20372</v>
      </c>
      <c r="F4142" t="s">
        <v>309</v>
      </c>
      <c r="G4142" t="s">
        <v>16</v>
      </c>
      <c r="H4142" t="s">
        <v>3418</v>
      </c>
      <c r="I4142">
        <v>2.3491</v>
      </c>
      <c r="J4142">
        <v>33408.11</v>
      </c>
      <c r="K4142">
        <v>14221.66361585288</v>
      </c>
    </row>
    <row r="4143" spans="1:11" x14ac:dyDescent="0.25">
      <c r="A4143" t="s">
        <v>1582</v>
      </c>
      <c r="B4143" t="s">
        <v>1583</v>
      </c>
      <c r="C4143" s="1">
        <v>41653</v>
      </c>
      <c r="D4143" s="1">
        <v>41656</v>
      </c>
      <c r="E4143">
        <v>20372</v>
      </c>
      <c r="F4143" t="s">
        <v>309</v>
      </c>
      <c r="G4143" t="s">
        <v>16</v>
      </c>
      <c r="H4143" t="s">
        <v>6641</v>
      </c>
      <c r="I4143">
        <v>2.3491</v>
      </c>
      <c r="J4143">
        <v>24937.59</v>
      </c>
      <c r="K4143">
        <v>10615.806053382146</v>
      </c>
    </row>
    <row r="4144" spans="1:11" x14ac:dyDescent="0.25">
      <c r="A4144" t="s">
        <v>1601</v>
      </c>
      <c r="B4144" t="s">
        <v>1602</v>
      </c>
      <c r="C4144" s="1">
        <v>41682</v>
      </c>
      <c r="D4144" s="1">
        <v>41685</v>
      </c>
      <c r="E4144">
        <v>21474</v>
      </c>
      <c r="F4144" t="s">
        <v>301</v>
      </c>
      <c r="G4144" t="s">
        <v>16</v>
      </c>
      <c r="H4144" t="s">
        <v>3419</v>
      </c>
      <c r="I4144">
        <v>2.4085999999999999</v>
      </c>
      <c r="J4144">
        <v>207022.4</v>
      </c>
      <c r="K4144">
        <v>85951.341027983057</v>
      </c>
    </row>
    <row r="4145" spans="1:11" x14ac:dyDescent="0.25">
      <c r="A4145" t="s">
        <v>982</v>
      </c>
      <c r="B4145" t="s">
        <v>983</v>
      </c>
      <c r="C4145" s="1">
        <v>41659</v>
      </c>
      <c r="D4145" s="1">
        <v>41661</v>
      </c>
      <c r="E4145">
        <v>20657</v>
      </c>
      <c r="F4145" t="s">
        <v>887</v>
      </c>
      <c r="G4145" t="s">
        <v>16</v>
      </c>
      <c r="H4145" t="s">
        <v>6642</v>
      </c>
      <c r="I4145">
        <v>2.3601000000000001</v>
      </c>
      <c r="J4145">
        <v>42251.69</v>
      </c>
      <c r="K4145">
        <v>17902.499894072283</v>
      </c>
    </row>
    <row r="4146" spans="1:11" x14ac:dyDescent="0.25">
      <c r="A4146" t="s">
        <v>979</v>
      </c>
      <c r="B4146" t="s">
        <v>980</v>
      </c>
      <c r="C4146" s="1">
        <v>41663</v>
      </c>
      <c r="D4146" s="1">
        <v>41674</v>
      </c>
      <c r="E4146">
        <v>20659</v>
      </c>
      <c r="F4146" t="s">
        <v>887</v>
      </c>
      <c r="G4146" t="s">
        <v>16</v>
      </c>
      <c r="H4146" t="s">
        <v>3420</v>
      </c>
      <c r="I4146">
        <v>2.3761000000000001</v>
      </c>
      <c r="J4146">
        <v>38745.64</v>
      </c>
      <c r="K4146">
        <v>16306.401245738816</v>
      </c>
    </row>
    <row r="4147" spans="1:11" x14ac:dyDescent="0.25">
      <c r="A4147" t="s">
        <v>976</v>
      </c>
      <c r="B4147" t="s">
        <v>977</v>
      </c>
      <c r="C4147" s="1">
        <v>41659</v>
      </c>
      <c r="D4147" s="1">
        <v>41663</v>
      </c>
      <c r="E4147">
        <v>20661</v>
      </c>
      <c r="F4147" t="s">
        <v>309</v>
      </c>
      <c r="G4147" t="s">
        <v>16</v>
      </c>
      <c r="H4147" t="s">
        <v>6643</v>
      </c>
      <c r="I4147">
        <v>2.3601000000000001</v>
      </c>
      <c r="J4147">
        <v>24930.82</v>
      </c>
      <c r="K4147">
        <v>10563.459175458667</v>
      </c>
    </row>
    <row r="4148" spans="1:11" x14ac:dyDescent="0.25">
      <c r="A4148" t="s">
        <v>989</v>
      </c>
      <c r="B4148" t="s">
        <v>990</v>
      </c>
      <c r="C4148" s="1">
        <v>41675</v>
      </c>
      <c r="D4148" s="1">
        <v>41682</v>
      </c>
      <c r="E4148">
        <v>21501</v>
      </c>
      <c r="F4148" t="s">
        <v>309</v>
      </c>
      <c r="G4148" t="s">
        <v>16</v>
      </c>
      <c r="H4148" t="s">
        <v>3421</v>
      </c>
      <c r="I4148">
        <v>2.4177</v>
      </c>
      <c r="J4148">
        <v>80166.45</v>
      </c>
      <c r="K4148">
        <v>33158.146171981636</v>
      </c>
    </row>
    <row r="4149" spans="1:11" x14ac:dyDescent="0.25">
      <c r="A4149" t="s">
        <v>1009</v>
      </c>
      <c r="B4149" t="s">
        <v>1010</v>
      </c>
      <c r="C4149" s="1">
        <v>41676</v>
      </c>
      <c r="D4149" s="1">
        <v>41684</v>
      </c>
      <c r="E4149">
        <v>21373</v>
      </c>
      <c r="F4149" t="s">
        <v>331</v>
      </c>
      <c r="G4149" t="s">
        <v>16</v>
      </c>
      <c r="H4149" t="s">
        <v>6644</v>
      </c>
      <c r="I4149">
        <v>2.4106000000000001</v>
      </c>
      <c r="J4149">
        <v>31164.98</v>
      </c>
      <c r="K4149">
        <v>12928.308304986311</v>
      </c>
    </row>
    <row r="4150" spans="1:11" x14ac:dyDescent="0.25">
      <c r="A4150" t="s">
        <v>976</v>
      </c>
      <c r="B4150" t="s">
        <v>977</v>
      </c>
      <c r="C4150" s="1">
        <v>41675</v>
      </c>
      <c r="D4150" s="1">
        <v>41684</v>
      </c>
      <c r="E4150">
        <v>20661</v>
      </c>
      <c r="F4150" t="s">
        <v>309</v>
      </c>
      <c r="G4150" t="s">
        <v>16</v>
      </c>
      <c r="H4150" t="s">
        <v>3422</v>
      </c>
      <c r="I4150">
        <v>2.4177</v>
      </c>
      <c r="J4150">
        <v>33699.269999999997</v>
      </c>
      <c r="K4150">
        <v>13938.565578855938</v>
      </c>
    </row>
    <row r="4151" spans="1:11" x14ac:dyDescent="0.25">
      <c r="A4151" t="s">
        <v>2042</v>
      </c>
      <c r="B4151" t="s">
        <v>2043</v>
      </c>
      <c r="C4151" s="1">
        <v>41676</v>
      </c>
      <c r="D4151" s="1">
        <v>41683</v>
      </c>
      <c r="E4151">
        <v>19553</v>
      </c>
      <c r="F4151" t="s">
        <v>301</v>
      </c>
      <c r="G4151" t="s">
        <v>16</v>
      </c>
      <c r="H4151" t="s">
        <v>6645</v>
      </c>
      <c r="I4151">
        <v>2.4106000000000001</v>
      </c>
      <c r="J4151">
        <v>242200</v>
      </c>
      <c r="K4151">
        <v>100472.91130838795</v>
      </c>
    </row>
    <row r="4152" spans="1:11" x14ac:dyDescent="0.25">
      <c r="A4152" t="s">
        <v>1036</v>
      </c>
      <c r="B4152" t="s">
        <v>1037</v>
      </c>
      <c r="C4152" s="1">
        <v>41674</v>
      </c>
      <c r="D4152" s="1">
        <v>41683</v>
      </c>
      <c r="E4152">
        <v>21505</v>
      </c>
      <c r="F4152" t="s">
        <v>309</v>
      </c>
      <c r="G4152" t="s">
        <v>16</v>
      </c>
      <c r="H4152" t="s">
        <v>6646</v>
      </c>
      <c r="I4152">
        <v>2.4089999999999998</v>
      </c>
      <c r="J4152">
        <v>144979.20000000001</v>
      </c>
      <c r="K4152">
        <v>60182.316313823161</v>
      </c>
    </row>
    <row r="4153" spans="1:11" x14ac:dyDescent="0.25">
      <c r="A4153" t="s">
        <v>986</v>
      </c>
      <c r="B4153" t="s">
        <v>987</v>
      </c>
      <c r="C4153" s="1">
        <v>41668</v>
      </c>
      <c r="D4153" s="1">
        <v>41684</v>
      </c>
      <c r="E4153">
        <v>20371</v>
      </c>
      <c r="F4153" t="s">
        <v>887</v>
      </c>
      <c r="G4153" t="s">
        <v>16</v>
      </c>
      <c r="H4153" t="s">
        <v>6647</v>
      </c>
      <c r="I4153">
        <v>2.4165000000000001</v>
      </c>
      <c r="J4153">
        <v>35413.71</v>
      </c>
      <c r="K4153">
        <v>14654.95965238982</v>
      </c>
    </row>
    <row r="4154" spans="1:11" x14ac:dyDescent="0.25">
      <c r="A4154" t="s">
        <v>976</v>
      </c>
      <c r="B4154" t="s">
        <v>977</v>
      </c>
      <c r="C4154" s="1">
        <v>41654</v>
      </c>
      <c r="D4154" s="1">
        <v>41655</v>
      </c>
      <c r="E4154">
        <v>20661</v>
      </c>
      <c r="F4154" t="s">
        <v>309</v>
      </c>
      <c r="G4154" t="s">
        <v>16</v>
      </c>
      <c r="H4154" t="s">
        <v>3423</v>
      </c>
      <c r="I4154">
        <v>2.3616999999999999</v>
      </c>
      <c r="J4154">
        <v>24673.52</v>
      </c>
      <c r="K4154">
        <v>10447.355718338486</v>
      </c>
    </row>
    <row r="4155" spans="1:11" x14ac:dyDescent="0.25">
      <c r="A4155" t="s">
        <v>976</v>
      </c>
      <c r="B4155" t="s">
        <v>977</v>
      </c>
      <c r="C4155" s="1">
        <v>41655</v>
      </c>
      <c r="D4155" s="1">
        <v>41660</v>
      </c>
      <c r="E4155">
        <v>20661</v>
      </c>
      <c r="F4155" t="s">
        <v>309</v>
      </c>
      <c r="G4155" t="s">
        <v>16</v>
      </c>
      <c r="H4155" t="s">
        <v>2898</v>
      </c>
      <c r="I4155">
        <v>2.347</v>
      </c>
      <c r="J4155">
        <v>26048.04</v>
      </c>
      <c r="K4155">
        <v>11098.44056242011</v>
      </c>
    </row>
    <row r="4156" spans="1:11" x14ac:dyDescent="0.25">
      <c r="A4156" t="s">
        <v>982</v>
      </c>
      <c r="B4156" t="s">
        <v>983</v>
      </c>
      <c r="C4156" s="1">
        <v>41657</v>
      </c>
      <c r="D4156" s="1">
        <v>41660</v>
      </c>
      <c r="E4156">
        <v>20657</v>
      </c>
      <c r="F4156" t="s">
        <v>887</v>
      </c>
      <c r="G4156" t="s">
        <v>16</v>
      </c>
      <c r="H4156" t="s">
        <v>6648</v>
      </c>
      <c r="I4156">
        <v>2.3601000000000001</v>
      </c>
      <c r="J4156">
        <v>51766.43</v>
      </c>
      <c r="K4156">
        <v>21933.998559383075</v>
      </c>
    </row>
    <row r="4157" spans="1:11" x14ac:dyDescent="0.25">
      <c r="A4157" t="s">
        <v>976</v>
      </c>
      <c r="B4157" t="s">
        <v>977</v>
      </c>
      <c r="C4157" s="1">
        <v>41653</v>
      </c>
      <c r="D4157" s="1">
        <v>41655</v>
      </c>
      <c r="E4157">
        <v>20661</v>
      </c>
      <c r="F4157" t="s">
        <v>309</v>
      </c>
      <c r="G4157" t="s">
        <v>16</v>
      </c>
      <c r="H4157" t="s">
        <v>6649</v>
      </c>
      <c r="I4157">
        <v>2.3491</v>
      </c>
      <c r="J4157">
        <v>23982.880000000001</v>
      </c>
      <c r="K4157">
        <v>10209.390830530841</v>
      </c>
    </row>
    <row r="4158" spans="1:11" x14ac:dyDescent="0.25">
      <c r="A4158" t="s">
        <v>1020</v>
      </c>
      <c r="B4158" t="s">
        <v>1021</v>
      </c>
      <c r="C4158" s="1">
        <v>41647</v>
      </c>
      <c r="D4158" s="1">
        <v>41649</v>
      </c>
      <c r="E4158">
        <v>19971</v>
      </c>
      <c r="F4158" t="s">
        <v>309</v>
      </c>
      <c r="G4158" t="s">
        <v>16</v>
      </c>
      <c r="H4158" t="s">
        <v>3424</v>
      </c>
      <c r="I4158">
        <v>2.3633999999999999</v>
      </c>
      <c r="J4158">
        <v>68161.5</v>
      </c>
      <c r="K4158">
        <v>28840.441736481342</v>
      </c>
    </row>
    <row r="4159" spans="1:11" x14ac:dyDescent="0.25">
      <c r="A4159" t="s">
        <v>993</v>
      </c>
      <c r="B4159" t="s">
        <v>994</v>
      </c>
      <c r="C4159" s="1">
        <v>41649</v>
      </c>
      <c r="D4159" s="1">
        <v>41655</v>
      </c>
      <c r="E4159">
        <v>20658</v>
      </c>
      <c r="F4159" t="s">
        <v>887</v>
      </c>
      <c r="G4159" t="s">
        <v>16</v>
      </c>
      <c r="H4159" t="s">
        <v>6650</v>
      </c>
      <c r="I4159">
        <v>2.3959999999999999</v>
      </c>
      <c r="J4159">
        <v>48297.37</v>
      </c>
      <c r="K4159">
        <v>20157.5</v>
      </c>
    </row>
    <row r="4160" spans="1:11" x14ac:dyDescent="0.25">
      <c r="A4160" t="s">
        <v>1020</v>
      </c>
      <c r="B4160" t="s">
        <v>1021</v>
      </c>
      <c r="C4160" s="1">
        <v>41646</v>
      </c>
      <c r="D4160" s="1">
        <v>41649</v>
      </c>
      <c r="E4160">
        <v>19971</v>
      </c>
      <c r="F4160" t="s">
        <v>309</v>
      </c>
      <c r="G4160" t="s">
        <v>16</v>
      </c>
      <c r="H4160" t="s">
        <v>3425</v>
      </c>
      <c r="I4160">
        <v>2.3788999999999998</v>
      </c>
      <c r="J4160">
        <v>68161.5</v>
      </c>
      <c r="K4160">
        <v>28652.528479549372</v>
      </c>
    </row>
    <row r="4161" spans="1:11" x14ac:dyDescent="0.25">
      <c r="A4161" t="s">
        <v>976</v>
      </c>
      <c r="B4161" t="s">
        <v>977</v>
      </c>
      <c r="C4161" s="1">
        <v>41660</v>
      </c>
      <c r="D4161" s="1">
        <v>41663</v>
      </c>
      <c r="E4161">
        <v>20661</v>
      </c>
      <c r="F4161" t="s">
        <v>309</v>
      </c>
      <c r="G4161" t="s">
        <v>16</v>
      </c>
      <c r="H4161" t="s">
        <v>6651</v>
      </c>
      <c r="I4161">
        <v>2.3334999999999999</v>
      </c>
      <c r="J4161">
        <v>20313</v>
      </c>
      <c r="K4161">
        <v>8704.9496464538242</v>
      </c>
    </row>
    <row r="4162" spans="1:11" x14ac:dyDescent="0.25">
      <c r="A4162" t="s">
        <v>986</v>
      </c>
      <c r="B4162" t="s">
        <v>987</v>
      </c>
      <c r="C4162" s="1">
        <v>41663</v>
      </c>
      <c r="D4162" s="1">
        <v>41670</v>
      </c>
      <c r="E4162">
        <v>20371</v>
      </c>
      <c r="F4162" t="s">
        <v>887</v>
      </c>
      <c r="G4162" t="s">
        <v>16</v>
      </c>
      <c r="H4162" t="s">
        <v>3426</v>
      </c>
      <c r="I4162">
        <v>2.3761000000000001</v>
      </c>
      <c r="J4162">
        <v>33194.11</v>
      </c>
      <c r="K4162">
        <v>13969.997053996043</v>
      </c>
    </row>
    <row r="4163" spans="1:11" x14ac:dyDescent="0.25">
      <c r="A4163" t="s">
        <v>976</v>
      </c>
      <c r="B4163" t="s">
        <v>977</v>
      </c>
      <c r="C4163" s="1">
        <v>41654</v>
      </c>
      <c r="D4163" s="1">
        <v>41657</v>
      </c>
      <c r="E4163">
        <v>20661</v>
      </c>
      <c r="F4163" t="s">
        <v>309</v>
      </c>
      <c r="G4163" t="s">
        <v>16</v>
      </c>
      <c r="H4163" t="s">
        <v>3427</v>
      </c>
      <c r="I4163">
        <v>2.3616999999999999</v>
      </c>
      <c r="J4163">
        <v>33814.370000000003</v>
      </c>
      <c r="K4163">
        <v>14317.809205233518</v>
      </c>
    </row>
    <row r="4164" spans="1:11" x14ac:dyDescent="0.25">
      <c r="A4164" t="s">
        <v>1020</v>
      </c>
      <c r="B4164" t="s">
        <v>1021</v>
      </c>
      <c r="C4164" s="1">
        <v>41703</v>
      </c>
      <c r="D4164" s="1">
        <v>41705</v>
      </c>
      <c r="E4164">
        <v>19971</v>
      </c>
      <c r="F4164" t="s">
        <v>309</v>
      </c>
      <c r="G4164" t="s">
        <v>16</v>
      </c>
      <c r="H4164" t="s">
        <v>6652</v>
      </c>
      <c r="I4164">
        <v>2.3334000000000001</v>
      </c>
      <c r="J4164">
        <v>64071.81</v>
      </c>
      <c r="K4164">
        <v>27458.562612496786</v>
      </c>
    </row>
    <row r="4165" spans="1:11" x14ac:dyDescent="0.25">
      <c r="A4165" t="s">
        <v>976</v>
      </c>
      <c r="B4165" t="s">
        <v>977</v>
      </c>
      <c r="C4165" s="1">
        <v>41684</v>
      </c>
      <c r="D4165" s="1">
        <v>41689</v>
      </c>
      <c r="E4165">
        <v>20661</v>
      </c>
      <c r="F4165" t="s">
        <v>309</v>
      </c>
      <c r="G4165" t="s">
        <v>16</v>
      </c>
      <c r="H4165" t="s">
        <v>3428</v>
      </c>
      <c r="I4165">
        <v>2.4238</v>
      </c>
      <c r="J4165">
        <v>25662.09</v>
      </c>
      <c r="K4165">
        <v>10587.544351844212</v>
      </c>
    </row>
    <row r="4166" spans="1:11" x14ac:dyDescent="0.25">
      <c r="A4166" t="s">
        <v>3429</v>
      </c>
      <c r="B4166" t="s">
        <v>3430</v>
      </c>
      <c r="C4166" s="1">
        <v>41688</v>
      </c>
      <c r="D4166" s="1">
        <v>41708</v>
      </c>
      <c r="E4166">
        <v>21737</v>
      </c>
      <c r="F4166" t="s">
        <v>1413</v>
      </c>
      <c r="G4166" t="s">
        <v>16</v>
      </c>
      <c r="H4166" t="s">
        <v>3431</v>
      </c>
      <c r="I4166">
        <v>2.387</v>
      </c>
      <c r="J4166">
        <v>135308.88</v>
      </c>
      <c r="K4166">
        <v>56685.747800586512</v>
      </c>
    </row>
    <row r="4167" spans="1:11" x14ac:dyDescent="0.25">
      <c r="A4167" t="s">
        <v>976</v>
      </c>
      <c r="B4167" t="s">
        <v>977</v>
      </c>
      <c r="C4167" s="1">
        <v>41689</v>
      </c>
      <c r="D4167" s="1">
        <v>41702</v>
      </c>
      <c r="E4167">
        <v>20661</v>
      </c>
      <c r="F4167" t="s">
        <v>309</v>
      </c>
      <c r="G4167" t="s">
        <v>16</v>
      </c>
      <c r="H4167" t="s">
        <v>6653</v>
      </c>
      <c r="I4167">
        <v>2.3982999999999999</v>
      </c>
      <c r="J4167">
        <v>25161.040000000001</v>
      </c>
      <c r="K4167">
        <v>10491.197931868406</v>
      </c>
    </row>
    <row r="4168" spans="1:11" x14ac:dyDescent="0.25">
      <c r="A4168" t="s">
        <v>1020</v>
      </c>
      <c r="B4168" t="s">
        <v>1021</v>
      </c>
      <c r="C4168" s="1">
        <v>41701</v>
      </c>
      <c r="D4168" s="1">
        <v>41704</v>
      </c>
      <c r="E4168">
        <v>19971</v>
      </c>
      <c r="F4168" t="s">
        <v>309</v>
      </c>
      <c r="G4168" t="s">
        <v>16</v>
      </c>
      <c r="H4168" t="s">
        <v>3432</v>
      </c>
      <c r="I4168">
        <v>2.3334000000000001</v>
      </c>
      <c r="J4168">
        <v>50439.51</v>
      </c>
      <c r="K4168">
        <v>21616.315248135768</v>
      </c>
    </row>
    <row r="4169" spans="1:11" x14ac:dyDescent="0.25">
      <c r="A4169" t="s">
        <v>976</v>
      </c>
      <c r="B4169" t="s">
        <v>977</v>
      </c>
      <c r="C4169" s="1">
        <v>41689</v>
      </c>
      <c r="D4169" s="1">
        <v>41693</v>
      </c>
      <c r="E4169">
        <v>20661</v>
      </c>
      <c r="F4169" t="s">
        <v>309</v>
      </c>
      <c r="G4169" t="s">
        <v>16</v>
      </c>
      <c r="H4169" t="s">
        <v>3433</v>
      </c>
      <c r="I4169">
        <v>2.3982999999999999</v>
      </c>
      <c r="J4169">
        <v>33733.120000000003</v>
      </c>
      <c r="K4169">
        <v>14065.42967935621</v>
      </c>
    </row>
    <row r="4170" spans="1:11" x14ac:dyDescent="0.25">
      <c r="A4170" t="s">
        <v>1024</v>
      </c>
      <c r="B4170" t="s">
        <v>1025</v>
      </c>
      <c r="C4170" s="1">
        <v>41708</v>
      </c>
      <c r="D4170" s="1">
        <v>41714</v>
      </c>
      <c r="E4170">
        <v>1</v>
      </c>
      <c r="F4170" t="s">
        <v>331</v>
      </c>
      <c r="G4170" t="s">
        <v>16</v>
      </c>
      <c r="H4170" t="s">
        <v>3434</v>
      </c>
      <c r="I4170">
        <v>2.3382000000000001</v>
      </c>
      <c r="J4170">
        <v>43123.73</v>
      </c>
      <c r="K4170">
        <v>18443.1314686511</v>
      </c>
    </row>
    <row r="4171" spans="1:11" x14ac:dyDescent="0.25">
      <c r="A4171" t="s">
        <v>976</v>
      </c>
      <c r="B4171" t="s">
        <v>977</v>
      </c>
      <c r="C4171" s="1">
        <v>41711</v>
      </c>
      <c r="D4171" s="1">
        <v>41713</v>
      </c>
      <c r="E4171">
        <v>20661</v>
      </c>
      <c r="F4171" t="s">
        <v>309</v>
      </c>
      <c r="G4171" t="s">
        <v>16</v>
      </c>
      <c r="H4171" t="s">
        <v>6654</v>
      </c>
      <c r="I4171">
        <v>2.3649</v>
      </c>
      <c r="J4171">
        <v>43740.66</v>
      </c>
      <c r="K4171">
        <v>18495.775719903591</v>
      </c>
    </row>
    <row r="4172" spans="1:11" x14ac:dyDescent="0.25">
      <c r="A4172" t="s">
        <v>976</v>
      </c>
      <c r="B4172" t="s">
        <v>977</v>
      </c>
      <c r="C4172" s="1">
        <v>41712</v>
      </c>
      <c r="D4172" s="1">
        <v>41718</v>
      </c>
      <c r="E4172">
        <v>20661</v>
      </c>
      <c r="F4172" t="s">
        <v>309</v>
      </c>
      <c r="G4172" t="s">
        <v>16</v>
      </c>
      <c r="H4172" t="s">
        <v>6655</v>
      </c>
      <c r="I4172">
        <v>2.3485999999999998</v>
      </c>
      <c r="J4172">
        <v>42589.59</v>
      </c>
      <c r="K4172">
        <v>18134.033040960574</v>
      </c>
    </row>
    <row r="4173" spans="1:11" x14ac:dyDescent="0.25">
      <c r="A4173" t="s">
        <v>976</v>
      </c>
      <c r="B4173" t="s">
        <v>977</v>
      </c>
      <c r="C4173" s="1">
        <v>41715</v>
      </c>
      <c r="D4173" s="1">
        <v>41718</v>
      </c>
      <c r="E4173">
        <v>20661</v>
      </c>
      <c r="F4173" t="s">
        <v>309</v>
      </c>
      <c r="G4173" t="s">
        <v>16</v>
      </c>
      <c r="H4173" t="s">
        <v>3435</v>
      </c>
      <c r="I4173">
        <v>2.3637999999999999</v>
      </c>
      <c r="J4173">
        <v>42589.59</v>
      </c>
      <c r="K4173">
        <v>18017.425332092393</v>
      </c>
    </row>
    <row r="4174" spans="1:11" x14ac:dyDescent="0.25">
      <c r="A4174" t="s">
        <v>976</v>
      </c>
      <c r="B4174" t="s">
        <v>977</v>
      </c>
      <c r="C4174" s="1">
        <v>41682</v>
      </c>
      <c r="D4174" s="1">
        <v>41687</v>
      </c>
      <c r="E4174">
        <v>20661</v>
      </c>
      <c r="F4174" t="s">
        <v>309</v>
      </c>
      <c r="G4174" t="s">
        <v>16</v>
      </c>
      <c r="H4174" t="s">
        <v>1435</v>
      </c>
      <c r="I4174">
        <v>2.4085999999999999</v>
      </c>
      <c r="J4174">
        <v>24599.040000000001</v>
      </c>
      <c r="K4174">
        <v>10213.003404467325</v>
      </c>
    </row>
    <row r="4175" spans="1:11" x14ac:dyDescent="0.25">
      <c r="A4175" t="s">
        <v>1024</v>
      </c>
      <c r="B4175" t="s">
        <v>1025</v>
      </c>
      <c r="C4175" s="1">
        <v>41709</v>
      </c>
      <c r="D4175" s="1">
        <v>41713</v>
      </c>
      <c r="E4175">
        <v>1</v>
      </c>
      <c r="F4175" t="s">
        <v>331</v>
      </c>
      <c r="G4175" t="s">
        <v>16</v>
      </c>
      <c r="H4175" t="s">
        <v>6656</v>
      </c>
      <c r="I4175">
        <v>2.3410000000000002</v>
      </c>
      <c r="J4175">
        <v>30593.91</v>
      </c>
      <c r="K4175">
        <v>13068.735583084152</v>
      </c>
    </row>
    <row r="4176" spans="1:11" x14ac:dyDescent="0.25">
      <c r="A4176" t="s">
        <v>976</v>
      </c>
      <c r="B4176" t="s">
        <v>977</v>
      </c>
      <c r="C4176" s="1">
        <v>41688</v>
      </c>
      <c r="D4176" s="1">
        <v>41695</v>
      </c>
      <c r="E4176">
        <v>20661</v>
      </c>
      <c r="F4176" t="s">
        <v>309</v>
      </c>
      <c r="G4176" t="s">
        <v>16</v>
      </c>
      <c r="H4176" t="s">
        <v>6657</v>
      </c>
      <c r="I4176">
        <v>2.387</v>
      </c>
      <c r="J4176">
        <v>33848.230000000003</v>
      </c>
      <c r="K4176">
        <v>14180.238793464599</v>
      </c>
    </row>
    <row r="4177" spans="1:11" x14ac:dyDescent="0.25">
      <c r="A4177" t="s">
        <v>1024</v>
      </c>
      <c r="B4177" t="s">
        <v>1025</v>
      </c>
      <c r="C4177" s="1">
        <v>41706</v>
      </c>
      <c r="D4177" s="1">
        <v>41711</v>
      </c>
      <c r="E4177">
        <v>1</v>
      </c>
      <c r="F4177" t="s">
        <v>331</v>
      </c>
      <c r="G4177" t="s">
        <v>16</v>
      </c>
      <c r="H4177" t="s">
        <v>6658</v>
      </c>
      <c r="I4177">
        <v>2.3382000000000001</v>
      </c>
      <c r="J4177">
        <v>31332.94</v>
      </c>
      <c r="K4177">
        <v>13400.453340176204</v>
      </c>
    </row>
    <row r="4178" spans="1:11" x14ac:dyDescent="0.25">
      <c r="A4178" t="s">
        <v>1024</v>
      </c>
      <c r="B4178" t="s">
        <v>1025</v>
      </c>
      <c r="C4178" s="1">
        <v>41706</v>
      </c>
      <c r="D4178" s="1">
        <v>41711</v>
      </c>
      <c r="E4178">
        <v>1</v>
      </c>
      <c r="F4178" t="s">
        <v>331</v>
      </c>
      <c r="G4178" t="s">
        <v>16</v>
      </c>
      <c r="H4178" t="s">
        <v>6659</v>
      </c>
      <c r="I4178">
        <v>2.3382000000000001</v>
      </c>
      <c r="J4178">
        <v>31677.26</v>
      </c>
      <c r="K4178">
        <v>13547.711915148404</v>
      </c>
    </row>
    <row r="4179" spans="1:11" x14ac:dyDescent="0.25">
      <c r="A4179" t="s">
        <v>976</v>
      </c>
      <c r="B4179" t="s">
        <v>977</v>
      </c>
      <c r="C4179" s="1">
        <v>41709</v>
      </c>
      <c r="D4179" s="1">
        <v>41711</v>
      </c>
      <c r="E4179">
        <v>20661</v>
      </c>
      <c r="F4179" t="s">
        <v>309</v>
      </c>
      <c r="G4179" t="s">
        <v>16</v>
      </c>
      <c r="H4179" t="s">
        <v>6660</v>
      </c>
      <c r="I4179">
        <v>2.3410000000000002</v>
      </c>
      <c r="J4179">
        <v>57553.5</v>
      </c>
      <c r="K4179">
        <v>24585.006407518154</v>
      </c>
    </row>
    <row r="4180" spans="1:11" x14ac:dyDescent="0.25">
      <c r="A4180" t="s">
        <v>976</v>
      </c>
      <c r="B4180" t="s">
        <v>977</v>
      </c>
      <c r="C4180" s="1">
        <v>41714</v>
      </c>
      <c r="D4180" s="1">
        <v>41716</v>
      </c>
      <c r="E4180">
        <v>20661</v>
      </c>
      <c r="F4180" t="s">
        <v>309</v>
      </c>
      <c r="G4180" t="s">
        <v>16</v>
      </c>
      <c r="H4180" t="s">
        <v>6661</v>
      </c>
      <c r="I4180">
        <v>2.3637999999999999</v>
      </c>
      <c r="J4180">
        <v>42589.59</v>
      </c>
      <c r="K4180">
        <v>18017.425332092393</v>
      </c>
    </row>
    <row r="4181" spans="1:11" x14ac:dyDescent="0.25">
      <c r="A4181" t="s">
        <v>1024</v>
      </c>
      <c r="B4181" t="s">
        <v>1025</v>
      </c>
      <c r="C4181" s="1">
        <v>41710</v>
      </c>
      <c r="D4181" s="1">
        <v>41715</v>
      </c>
      <c r="E4181">
        <v>1</v>
      </c>
      <c r="F4181" t="s">
        <v>331</v>
      </c>
      <c r="G4181" t="s">
        <v>16</v>
      </c>
      <c r="H4181" t="s">
        <v>6662</v>
      </c>
      <c r="I4181">
        <v>2.3460999999999999</v>
      </c>
      <c r="J4181">
        <v>16258.53</v>
      </c>
      <c r="K4181">
        <v>6930.0242956395723</v>
      </c>
    </row>
    <row r="4182" spans="1:11" x14ac:dyDescent="0.25">
      <c r="A4182" t="s">
        <v>976</v>
      </c>
      <c r="B4182" t="s">
        <v>977</v>
      </c>
      <c r="C4182" s="1">
        <v>41691</v>
      </c>
      <c r="D4182" s="1">
        <v>41696</v>
      </c>
      <c r="E4182">
        <v>20661</v>
      </c>
      <c r="F4182" t="s">
        <v>309</v>
      </c>
      <c r="G4182" t="s">
        <v>16</v>
      </c>
      <c r="H4182" t="s">
        <v>3436</v>
      </c>
      <c r="I4182">
        <v>2.3799000000000001</v>
      </c>
      <c r="J4182">
        <v>34085.21</v>
      </c>
      <c r="K4182">
        <v>14322.118576410774</v>
      </c>
    </row>
    <row r="4183" spans="1:11" x14ac:dyDescent="0.25">
      <c r="A4183" t="s">
        <v>976</v>
      </c>
      <c r="B4183" t="s">
        <v>977</v>
      </c>
      <c r="C4183" s="1">
        <v>41690</v>
      </c>
      <c r="D4183" s="1">
        <v>41697</v>
      </c>
      <c r="E4183">
        <v>20661</v>
      </c>
      <c r="F4183" t="s">
        <v>309</v>
      </c>
      <c r="G4183" t="s">
        <v>16</v>
      </c>
      <c r="H4183" t="s">
        <v>6663</v>
      </c>
      <c r="I4183">
        <v>2.3986000000000001</v>
      </c>
      <c r="J4183">
        <v>9018.9699999999993</v>
      </c>
      <c r="K4183">
        <v>3760.0975569081966</v>
      </c>
    </row>
    <row r="4184" spans="1:11" x14ac:dyDescent="0.25">
      <c r="A4184" t="s">
        <v>1024</v>
      </c>
      <c r="B4184" t="s">
        <v>1025</v>
      </c>
      <c r="C4184" s="1">
        <v>41705</v>
      </c>
      <c r="D4184" s="1">
        <v>41712</v>
      </c>
      <c r="E4184">
        <v>1</v>
      </c>
      <c r="F4184" t="s">
        <v>331</v>
      </c>
      <c r="G4184" t="s">
        <v>16</v>
      </c>
      <c r="H4184" t="s">
        <v>3437</v>
      </c>
      <c r="I4184">
        <v>2.3094000000000001</v>
      </c>
      <c r="J4184">
        <v>42594.66</v>
      </c>
      <c r="K4184">
        <v>18444.037412314887</v>
      </c>
    </row>
    <row r="4185" spans="1:11" x14ac:dyDescent="0.25">
      <c r="A4185" t="s">
        <v>1024</v>
      </c>
      <c r="B4185" t="s">
        <v>1025</v>
      </c>
      <c r="C4185" s="1">
        <v>41706</v>
      </c>
      <c r="D4185" s="1">
        <v>41712</v>
      </c>
      <c r="E4185">
        <v>1</v>
      </c>
      <c r="F4185" t="s">
        <v>331</v>
      </c>
      <c r="G4185" t="s">
        <v>16</v>
      </c>
      <c r="H4185" t="s">
        <v>6664</v>
      </c>
      <c r="I4185">
        <v>2.3382000000000001</v>
      </c>
      <c r="J4185">
        <v>20230.78</v>
      </c>
      <c r="K4185">
        <v>8652.2880848515961</v>
      </c>
    </row>
    <row r="4186" spans="1:11" x14ac:dyDescent="0.25">
      <c r="A4186" t="s">
        <v>976</v>
      </c>
      <c r="B4186" t="s">
        <v>977</v>
      </c>
      <c r="C4186" s="1">
        <v>41714</v>
      </c>
      <c r="D4186" s="1">
        <v>41717</v>
      </c>
      <c r="E4186">
        <v>20661</v>
      </c>
      <c r="F4186" t="s">
        <v>309</v>
      </c>
      <c r="G4186" t="s">
        <v>16</v>
      </c>
      <c r="H4186" t="s">
        <v>3438</v>
      </c>
      <c r="I4186">
        <v>2.3637999999999999</v>
      </c>
      <c r="J4186">
        <v>42589.59</v>
      </c>
      <c r="K4186">
        <v>18017.425332092393</v>
      </c>
    </row>
    <row r="4187" spans="1:11" x14ac:dyDescent="0.25">
      <c r="A4187" t="s">
        <v>976</v>
      </c>
      <c r="B4187" t="s">
        <v>977</v>
      </c>
      <c r="C4187" s="1">
        <v>41713</v>
      </c>
      <c r="D4187" s="1">
        <v>41717</v>
      </c>
      <c r="E4187">
        <v>20661</v>
      </c>
      <c r="F4187" t="s">
        <v>309</v>
      </c>
      <c r="G4187" t="s">
        <v>16</v>
      </c>
      <c r="H4187" t="s">
        <v>3439</v>
      </c>
      <c r="I4187">
        <v>2.3637999999999999</v>
      </c>
      <c r="J4187">
        <v>51798.15</v>
      </c>
      <c r="K4187">
        <v>21913.084863355612</v>
      </c>
    </row>
    <row r="4188" spans="1:11" x14ac:dyDescent="0.25">
      <c r="A4188" t="s">
        <v>1036</v>
      </c>
      <c r="B4188" t="s">
        <v>1037</v>
      </c>
      <c r="C4188" s="1">
        <v>41708</v>
      </c>
      <c r="D4188" s="1">
        <v>41718</v>
      </c>
      <c r="E4188">
        <v>21505</v>
      </c>
      <c r="F4188" t="s">
        <v>309</v>
      </c>
      <c r="G4188" t="s">
        <v>16</v>
      </c>
      <c r="H4188" t="s">
        <v>6665</v>
      </c>
      <c r="I4188">
        <v>2.3382000000000001</v>
      </c>
      <c r="J4188">
        <v>29190.400000000001</v>
      </c>
      <c r="K4188">
        <v>12484.133093832863</v>
      </c>
    </row>
    <row r="4189" spans="1:11" x14ac:dyDescent="0.25">
      <c r="A4189" t="s">
        <v>972</v>
      </c>
      <c r="B4189" t="s">
        <v>973</v>
      </c>
      <c r="C4189" s="1">
        <v>41709</v>
      </c>
      <c r="D4189" s="1">
        <v>41715</v>
      </c>
      <c r="E4189">
        <v>19543</v>
      </c>
      <c r="F4189" t="s">
        <v>675</v>
      </c>
      <c r="G4189" t="s">
        <v>16</v>
      </c>
      <c r="H4189" t="s">
        <v>6666</v>
      </c>
      <c r="I4189">
        <v>2.3410000000000002</v>
      </c>
      <c r="J4189">
        <v>63716.1</v>
      </c>
      <c r="K4189">
        <v>27217.471166168303</v>
      </c>
    </row>
    <row r="4190" spans="1:11" x14ac:dyDescent="0.25">
      <c r="A4190" t="s">
        <v>972</v>
      </c>
      <c r="B4190" t="s">
        <v>973</v>
      </c>
      <c r="C4190" s="1">
        <v>41705</v>
      </c>
      <c r="D4190" s="1">
        <v>41715</v>
      </c>
      <c r="E4190">
        <v>19543</v>
      </c>
      <c r="F4190" t="s">
        <v>675</v>
      </c>
      <c r="G4190" t="s">
        <v>16</v>
      </c>
      <c r="H4190" t="s">
        <v>3440</v>
      </c>
      <c r="I4190">
        <v>2.3094000000000001</v>
      </c>
      <c r="J4190">
        <v>17937</v>
      </c>
      <c r="K4190">
        <v>7766.9524551831646</v>
      </c>
    </row>
    <row r="4191" spans="1:11" x14ac:dyDescent="0.25">
      <c r="A4191" t="s">
        <v>972</v>
      </c>
      <c r="B4191" t="s">
        <v>973</v>
      </c>
      <c r="C4191" s="1">
        <v>41709</v>
      </c>
      <c r="D4191" s="1">
        <v>41715</v>
      </c>
      <c r="E4191">
        <v>19543</v>
      </c>
      <c r="F4191" t="s">
        <v>675</v>
      </c>
      <c r="G4191" t="s">
        <v>16</v>
      </c>
      <c r="H4191" t="s">
        <v>6667</v>
      </c>
      <c r="I4191">
        <v>2.3410000000000002</v>
      </c>
      <c r="J4191">
        <v>61434.09</v>
      </c>
      <c r="K4191">
        <v>26242.669799231098</v>
      </c>
    </row>
    <row r="4192" spans="1:11" x14ac:dyDescent="0.25">
      <c r="A4192" t="s">
        <v>1009</v>
      </c>
      <c r="B4192" t="s">
        <v>1010</v>
      </c>
      <c r="C4192" s="1">
        <v>41710</v>
      </c>
      <c r="D4192" s="1">
        <v>41715</v>
      </c>
      <c r="E4192">
        <v>21373</v>
      </c>
      <c r="F4192" t="s">
        <v>331</v>
      </c>
      <c r="G4192" t="s">
        <v>16</v>
      </c>
      <c r="H4192" t="s">
        <v>6668</v>
      </c>
      <c r="I4192">
        <v>2.3460999999999999</v>
      </c>
      <c r="J4192">
        <v>26151.37</v>
      </c>
      <c r="K4192">
        <v>11146.74140062231</v>
      </c>
    </row>
    <row r="4193" spans="1:11" x14ac:dyDescent="0.25">
      <c r="A4193" t="s">
        <v>1024</v>
      </c>
      <c r="B4193" t="s">
        <v>1025</v>
      </c>
      <c r="C4193" s="1">
        <v>41712</v>
      </c>
      <c r="D4193" s="1">
        <v>41719</v>
      </c>
      <c r="E4193">
        <v>1</v>
      </c>
      <c r="F4193" t="s">
        <v>331</v>
      </c>
      <c r="G4193" t="s">
        <v>16</v>
      </c>
      <c r="H4193" t="s">
        <v>3441</v>
      </c>
      <c r="I4193">
        <v>2.3485999999999998</v>
      </c>
      <c r="J4193">
        <v>37883.379999999997</v>
      </c>
      <c r="K4193">
        <v>16130.196712935365</v>
      </c>
    </row>
    <row r="4194" spans="1:11" x14ac:dyDescent="0.25">
      <c r="A4194" t="s">
        <v>1039</v>
      </c>
      <c r="C4194" s="1">
        <v>41729</v>
      </c>
      <c r="D4194" s="1">
        <v>41737</v>
      </c>
      <c r="E4194">
        <v>22692</v>
      </c>
      <c r="F4194" t="s">
        <v>421</v>
      </c>
      <c r="G4194" t="s">
        <v>16</v>
      </c>
      <c r="H4194" t="s">
        <v>6669</v>
      </c>
      <c r="I4194">
        <v>2.2603</v>
      </c>
      <c r="J4194">
        <v>149.52000000000001</v>
      </c>
      <c r="K4194">
        <v>66.15051099411582</v>
      </c>
    </row>
    <row r="4195" spans="1:11" x14ac:dyDescent="0.25">
      <c r="A4195" t="s">
        <v>1039</v>
      </c>
      <c r="C4195" s="1">
        <v>41736</v>
      </c>
      <c r="D4195" s="1">
        <v>41737</v>
      </c>
      <c r="E4195">
        <v>22692</v>
      </c>
      <c r="F4195" t="s">
        <v>421</v>
      </c>
      <c r="G4195" t="s">
        <v>16</v>
      </c>
      <c r="H4195" t="s">
        <v>6670</v>
      </c>
      <c r="I4195">
        <v>2.242</v>
      </c>
      <c r="J4195">
        <v>117.36</v>
      </c>
      <c r="K4195">
        <v>52.346119536128455</v>
      </c>
    </row>
    <row r="4196" spans="1:11" x14ac:dyDescent="0.25">
      <c r="A4196" t="s">
        <v>3003</v>
      </c>
      <c r="C4196" s="1">
        <v>41743</v>
      </c>
      <c r="D4196" s="1">
        <v>41745</v>
      </c>
      <c r="E4196">
        <v>22754</v>
      </c>
      <c r="F4196" t="s">
        <v>421</v>
      </c>
      <c r="G4196" t="s">
        <v>16</v>
      </c>
      <c r="H4196" t="s">
        <v>3442</v>
      </c>
      <c r="I4196">
        <v>2.2059000000000002</v>
      </c>
      <c r="J4196">
        <v>148.47</v>
      </c>
      <c r="K4196">
        <v>67.305861553107576</v>
      </c>
    </row>
    <row r="4197" spans="1:11" x14ac:dyDescent="0.25">
      <c r="A4197" t="s">
        <v>3003</v>
      </c>
      <c r="C4197" s="1">
        <v>41743</v>
      </c>
      <c r="D4197" s="1">
        <v>41745</v>
      </c>
      <c r="E4197">
        <v>22754</v>
      </c>
      <c r="F4197" t="s">
        <v>421</v>
      </c>
      <c r="G4197" t="s">
        <v>16</v>
      </c>
      <c r="H4197" t="s">
        <v>6671</v>
      </c>
      <c r="I4197">
        <v>2.2059000000000002</v>
      </c>
      <c r="J4197">
        <v>104.62</v>
      </c>
      <c r="K4197">
        <v>47.427353914502021</v>
      </c>
    </row>
    <row r="4198" spans="1:11" x14ac:dyDescent="0.25">
      <c r="A4198" t="s">
        <v>3003</v>
      </c>
      <c r="C4198" s="1">
        <v>41735</v>
      </c>
      <c r="D4198" s="1">
        <v>41745</v>
      </c>
      <c r="E4198">
        <v>22754</v>
      </c>
      <c r="F4198" t="s">
        <v>421</v>
      </c>
      <c r="G4198" t="s">
        <v>16</v>
      </c>
      <c r="H4198" t="s">
        <v>6672</v>
      </c>
      <c r="I4198">
        <v>2.242</v>
      </c>
      <c r="J4198">
        <v>1252.07</v>
      </c>
      <c r="K4198">
        <v>558.46119536128458</v>
      </c>
    </row>
    <row r="4199" spans="1:11" x14ac:dyDescent="0.25">
      <c r="A4199" t="s">
        <v>3443</v>
      </c>
      <c r="C4199" s="1">
        <v>41717</v>
      </c>
      <c r="D4199" s="1">
        <v>41732</v>
      </c>
      <c r="E4199">
        <v>79</v>
      </c>
      <c r="F4199" t="s">
        <v>519</v>
      </c>
      <c r="G4199" t="s">
        <v>16</v>
      </c>
      <c r="H4199" t="s">
        <v>3444</v>
      </c>
      <c r="I4199">
        <v>2.3521999999999998</v>
      </c>
      <c r="J4199">
        <v>198.64</v>
      </c>
      <c r="K4199">
        <v>84.448601309412467</v>
      </c>
    </row>
    <row r="4200" spans="1:11" x14ac:dyDescent="0.25">
      <c r="A4200" t="s">
        <v>1048</v>
      </c>
      <c r="C4200" s="1">
        <v>41745</v>
      </c>
      <c r="D4200" s="1">
        <v>41752</v>
      </c>
      <c r="E4200">
        <v>22793</v>
      </c>
      <c r="F4200" t="s">
        <v>421</v>
      </c>
      <c r="G4200" t="s">
        <v>16</v>
      </c>
      <c r="H4200" t="s">
        <v>3445</v>
      </c>
      <c r="I4200">
        <v>2.2256999999999998</v>
      </c>
      <c r="J4200">
        <v>52.18</v>
      </c>
      <c r="K4200">
        <v>23.444309655389315</v>
      </c>
    </row>
    <row r="4201" spans="1:11" x14ac:dyDescent="0.25">
      <c r="A4201" t="s">
        <v>1048</v>
      </c>
      <c r="C4201" s="1">
        <v>41746</v>
      </c>
      <c r="D4201" s="1">
        <v>41752</v>
      </c>
      <c r="E4201">
        <v>22793</v>
      </c>
      <c r="F4201" t="s">
        <v>421</v>
      </c>
      <c r="G4201" t="s">
        <v>16</v>
      </c>
      <c r="H4201" t="s">
        <v>6673</v>
      </c>
      <c r="I4201">
        <v>2.2342</v>
      </c>
      <c r="J4201">
        <v>151.72999999999999</v>
      </c>
      <c r="K4201">
        <v>67.912451884343383</v>
      </c>
    </row>
    <row r="4202" spans="1:11" x14ac:dyDescent="0.25">
      <c r="A4202" t="s">
        <v>1048</v>
      </c>
      <c r="C4202" s="1">
        <v>41751</v>
      </c>
      <c r="D4202" s="1">
        <v>41752</v>
      </c>
      <c r="E4202">
        <v>22793</v>
      </c>
      <c r="F4202" t="s">
        <v>421</v>
      </c>
      <c r="G4202" t="s">
        <v>16</v>
      </c>
      <c r="H4202" t="s">
        <v>6674</v>
      </c>
      <c r="I4202">
        <v>2.2482000000000002</v>
      </c>
      <c r="J4202">
        <v>125.97</v>
      </c>
      <c r="K4202">
        <v>56.031491860154787</v>
      </c>
    </row>
    <row r="4203" spans="1:11" x14ac:dyDescent="0.25">
      <c r="A4203" t="s">
        <v>1048</v>
      </c>
      <c r="C4203" s="1">
        <v>41751</v>
      </c>
      <c r="D4203" s="1">
        <v>41752</v>
      </c>
      <c r="E4203">
        <v>22793</v>
      </c>
      <c r="F4203" t="s">
        <v>421</v>
      </c>
      <c r="G4203" t="s">
        <v>16</v>
      </c>
      <c r="H4203" t="s">
        <v>3446</v>
      </c>
      <c r="I4203">
        <v>2.2482000000000002</v>
      </c>
      <c r="J4203">
        <v>142.43</v>
      </c>
      <c r="K4203">
        <v>63.352904545858912</v>
      </c>
    </row>
    <row r="4204" spans="1:11" x14ac:dyDescent="0.25">
      <c r="A4204" t="s">
        <v>1048</v>
      </c>
      <c r="C4204" s="1">
        <v>41751</v>
      </c>
      <c r="D4204" s="1">
        <v>41752</v>
      </c>
      <c r="E4204">
        <v>22793</v>
      </c>
      <c r="F4204" t="s">
        <v>421</v>
      </c>
      <c r="G4204" t="s">
        <v>16</v>
      </c>
      <c r="H4204" t="s">
        <v>6675</v>
      </c>
      <c r="I4204">
        <v>2.2482000000000002</v>
      </c>
      <c r="J4204">
        <v>715.4</v>
      </c>
      <c r="K4204">
        <v>318.21012365447916</v>
      </c>
    </row>
    <row r="4205" spans="1:11" x14ac:dyDescent="0.25">
      <c r="A4205" t="s">
        <v>1048</v>
      </c>
      <c r="C4205" s="1">
        <v>41751</v>
      </c>
      <c r="D4205" s="1">
        <v>41752</v>
      </c>
      <c r="E4205">
        <v>22793</v>
      </c>
      <c r="F4205" t="s">
        <v>421</v>
      </c>
      <c r="G4205" t="s">
        <v>16</v>
      </c>
      <c r="H4205" t="s">
        <v>3447</v>
      </c>
      <c r="I4205">
        <v>2.2482000000000002</v>
      </c>
      <c r="J4205">
        <v>1601.7</v>
      </c>
      <c r="K4205">
        <v>712.43661595943422</v>
      </c>
    </row>
    <row r="4206" spans="1:11" x14ac:dyDescent="0.25">
      <c r="A4206" t="s">
        <v>1054</v>
      </c>
      <c r="B4206" t="s">
        <v>1055</v>
      </c>
      <c r="C4206" s="1">
        <v>41758</v>
      </c>
      <c r="D4206" s="1">
        <v>41761</v>
      </c>
      <c r="E4206">
        <v>23599</v>
      </c>
      <c r="F4206" t="s">
        <v>301</v>
      </c>
      <c r="G4206" t="s">
        <v>16</v>
      </c>
      <c r="H4206" t="s">
        <v>3448</v>
      </c>
      <c r="I4206">
        <v>2.2370000000000001</v>
      </c>
      <c r="J4206">
        <v>106633.81</v>
      </c>
      <c r="K4206">
        <v>47668.220831470717</v>
      </c>
    </row>
    <row r="4207" spans="1:11" x14ac:dyDescent="0.25">
      <c r="A4207" t="s">
        <v>1054</v>
      </c>
      <c r="B4207" t="s">
        <v>1055</v>
      </c>
      <c r="C4207" s="1">
        <v>41758</v>
      </c>
      <c r="D4207" s="1">
        <v>41761</v>
      </c>
      <c r="E4207">
        <v>23599</v>
      </c>
      <c r="F4207" t="s">
        <v>301</v>
      </c>
      <c r="G4207" t="s">
        <v>16</v>
      </c>
      <c r="H4207" t="s">
        <v>3449</v>
      </c>
      <c r="I4207">
        <v>2.2370000000000001</v>
      </c>
      <c r="J4207">
        <v>382964.4</v>
      </c>
      <c r="K4207">
        <v>171195.52972731338</v>
      </c>
    </row>
    <row r="4208" spans="1:11" x14ac:dyDescent="0.25">
      <c r="A4208" t="s">
        <v>1057</v>
      </c>
      <c r="B4208" t="s">
        <v>1058</v>
      </c>
      <c r="C4208" s="1">
        <v>41786</v>
      </c>
      <c r="D4208" s="1">
        <v>41789</v>
      </c>
      <c r="E4208">
        <v>19681</v>
      </c>
      <c r="F4208" t="s">
        <v>309</v>
      </c>
      <c r="G4208" t="s">
        <v>16</v>
      </c>
      <c r="H4208" t="s">
        <v>6676</v>
      </c>
      <c r="I4208">
        <v>2.2208999999999999</v>
      </c>
      <c r="J4208">
        <v>22500.639999999999</v>
      </c>
      <c r="K4208">
        <v>10131.316133099193</v>
      </c>
    </row>
    <row r="4209" spans="1:11" x14ac:dyDescent="0.25">
      <c r="A4209" t="s">
        <v>1057</v>
      </c>
      <c r="B4209" t="s">
        <v>1058</v>
      </c>
      <c r="C4209" s="1">
        <v>41783</v>
      </c>
      <c r="D4209" s="1">
        <v>41789</v>
      </c>
      <c r="E4209">
        <v>19681</v>
      </c>
      <c r="F4209" t="s">
        <v>309</v>
      </c>
      <c r="G4209" t="s">
        <v>16</v>
      </c>
      <c r="H4209" t="s">
        <v>3450</v>
      </c>
      <c r="I4209">
        <v>2.2187000000000001</v>
      </c>
      <c r="J4209">
        <v>27412.09</v>
      </c>
      <c r="K4209">
        <v>12355.023211790689</v>
      </c>
    </row>
    <row r="4210" spans="1:11" x14ac:dyDescent="0.25">
      <c r="A4210" t="s">
        <v>1057</v>
      </c>
      <c r="B4210" t="s">
        <v>1058</v>
      </c>
      <c r="C4210" s="1">
        <v>41786</v>
      </c>
      <c r="D4210" s="1">
        <v>41789</v>
      </c>
      <c r="E4210">
        <v>19681</v>
      </c>
      <c r="F4210" t="s">
        <v>309</v>
      </c>
      <c r="G4210" t="s">
        <v>16</v>
      </c>
      <c r="H4210" t="s">
        <v>3451</v>
      </c>
      <c r="I4210">
        <v>2.2208999999999999</v>
      </c>
      <c r="J4210">
        <v>32328.93</v>
      </c>
      <c r="K4210">
        <v>14556.679724436039</v>
      </c>
    </row>
    <row r="4211" spans="1:11" x14ac:dyDescent="0.25">
      <c r="A4211" t="s">
        <v>1060</v>
      </c>
      <c r="B4211" t="s">
        <v>1061</v>
      </c>
      <c r="C4211" s="1">
        <v>41783</v>
      </c>
      <c r="D4211" s="1">
        <v>41788</v>
      </c>
      <c r="E4211">
        <v>19976</v>
      </c>
      <c r="F4211" t="s">
        <v>309</v>
      </c>
      <c r="G4211" t="s">
        <v>16</v>
      </c>
      <c r="H4211" t="s">
        <v>3452</v>
      </c>
      <c r="I4211">
        <v>2.2187000000000001</v>
      </c>
      <c r="J4211">
        <v>26096.14</v>
      </c>
      <c r="K4211">
        <v>11761.905620408348</v>
      </c>
    </row>
    <row r="4212" spans="1:11" x14ac:dyDescent="0.25">
      <c r="A4212" t="s">
        <v>1060</v>
      </c>
      <c r="B4212" t="s">
        <v>1061</v>
      </c>
      <c r="C4212" s="1">
        <v>41786</v>
      </c>
      <c r="D4212" s="1">
        <v>41788</v>
      </c>
      <c r="E4212">
        <v>19976</v>
      </c>
      <c r="F4212" t="s">
        <v>309</v>
      </c>
      <c r="G4212" t="s">
        <v>16</v>
      </c>
      <c r="H4212" t="s">
        <v>3453</v>
      </c>
      <c r="I4212">
        <v>2.2208999999999999</v>
      </c>
      <c r="J4212">
        <v>26541.98</v>
      </c>
      <c r="K4212">
        <v>11951.001846098428</v>
      </c>
    </row>
    <row r="4213" spans="1:11" x14ac:dyDescent="0.25">
      <c r="A4213" t="s">
        <v>1060</v>
      </c>
      <c r="B4213" t="s">
        <v>1061</v>
      </c>
      <c r="C4213" s="1">
        <v>41788</v>
      </c>
      <c r="D4213" s="1">
        <v>41790</v>
      </c>
      <c r="E4213">
        <v>19976</v>
      </c>
      <c r="F4213" t="s">
        <v>309</v>
      </c>
      <c r="G4213" t="s">
        <v>16</v>
      </c>
      <c r="H4213" t="s">
        <v>3454</v>
      </c>
      <c r="I4213">
        <v>2.2404999999999999</v>
      </c>
      <c r="J4213">
        <v>26283.11</v>
      </c>
      <c r="K4213">
        <v>11730.912742691364</v>
      </c>
    </row>
    <row r="4214" spans="1:11" x14ac:dyDescent="0.25">
      <c r="A4214" t="s">
        <v>1060</v>
      </c>
      <c r="B4214" t="s">
        <v>1061</v>
      </c>
      <c r="C4214" s="1">
        <v>41788</v>
      </c>
      <c r="D4214" s="1">
        <v>41792</v>
      </c>
      <c r="E4214">
        <v>19976</v>
      </c>
      <c r="F4214" t="s">
        <v>309</v>
      </c>
      <c r="G4214" t="s">
        <v>16</v>
      </c>
      <c r="H4214" t="s">
        <v>6677</v>
      </c>
      <c r="I4214">
        <v>2.2404999999999999</v>
      </c>
      <c r="J4214">
        <v>36393.65</v>
      </c>
      <c r="K4214">
        <v>16243.539388529347</v>
      </c>
    </row>
    <row r="4215" spans="1:11" x14ac:dyDescent="0.25">
      <c r="A4215" t="s">
        <v>1060</v>
      </c>
      <c r="B4215" t="s">
        <v>1061</v>
      </c>
      <c r="C4215" s="1">
        <v>41790</v>
      </c>
      <c r="D4215" s="1">
        <v>41792</v>
      </c>
      <c r="E4215">
        <v>19976</v>
      </c>
      <c r="F4215" t="s">
        <v>309</v>
      </c>
      <c r="G4215" t="s">
        <v>16</v>
      </c>
      <c r="H4215" t="s">
        <v>6678</v>
      </c>
      <c r="I4215">
        <v>2.2389999999999999</v>
      </c>
      <c r="J4215">
        <v>35379.72</v>
      </c>
      <c r="K4215">
        <v>15801.572130415365</v>
      </c>
    </row>
    <row r="4216" spans="1:11" x14ac:dyDescent="0.25">
      <c r="A4216" t="s">
        <v>1060</v>
      </c>
      <c r="B4216" t="s">
        <v>1061</v>
      </c>
      <c r="C4216" s="1">
        <v>41790</v>
      </c>
      <c r="D4216" s="1">
        <v>41793</v>
      </c>
      <c r="E4216">
        <v>19976</v>
      </c>
      <c r="F4216" t="s">
        <v>309</v>
      </c>
      <c r="G4216" t="s">
        <v>16</v>
      </c>
      <c r="H4216" t="s">
        <v>3455</v>
      </c>
      <c r="I4216">
        <v>2.2389999999999999</v>
      </c>
      <c r="J4216">
        <v>36408.03</v>
      </c>
      <c r="K4216">
        <v>16260.844126842341</v>
      </c>
    </row>
    <row r="4217" spans="1:11" x14ac:dyDescent="0.25">
      <c r="A4217" t="s">
        <v>1060</v>
      </c>
      <c r="B4217" t="s">
        <v>1061</v>
      </c>
      <c r="C4217" s="1">
        <v>41782</v>
      </c>
      <c r="D4217" s="1">
        <v>41786</v>
      </c>
      <c r="E4217">
        <v>19976</v>
      </c>
      <c r="F4217" t="s">
        <v>309</v>
      </c>
      <c r="G4217" t="s">
        <v>16</v>
      </c>
      <c r="H4217" t="s">
        <v>6679</v>
      </c>
      <c r="I4217">
        <v>2.2130999999999998</v>
      </c>
      <c r="J4217">
        <v>36141.97</v>
      </c>
      <c r="K4217">
        <v>16330.924946907053</v>
      </c>
    </row>
    <row r="4218" spans="1:11" x14ac:dyDescent="0.25">
      <c r="A4218" t="s">
        <v>1060</v>
      </c>
      <c r="B4218" t="s">
        <v>1061</v>
      </c>
      <c r="C4218" s="1">
        <v>41796</v>
      </c>
      <c r="D4218" s="1">
        <v>41800</v>
      </c>
      <c r="E4218">
        <v>19976</v>
      </c>
      <c r="F4218" t="s">
        <v>309</v>
      </c>
      <c r="G4218" t="s">
        <v>16</v>
      </c>
      <c r="H4218" t="s">
        <v>3456</v>
      </c>
      <c r="I4218">
        <v>2.2694999999999999</v>
      </c>
      <c r="J4218">
        <v>36609.379999999997</v>
      </c>
      <c r="K4218">
        <v>16131.03326723948</v>
      </c>
    </row>
    <row r="4219" spans="1:11" x14ac:dyDescent="0.25">
      <c r="A4219" t="s">
        <v>1060</v>
      </c>
      <c r="B4219" t="s">
        <v>1061</v>
      </c>
      <c r="C4219" s="1">
        <v>41782</v>
      </c>
      <c r="D4219" s="1">
        <v>41786</v>
      </c>
      <c r="E4219">
        <v>19976</v>
      </c>
      <c r="F4219" t="s">
        <v>309</v>
      </c>
      <c r="G4219" t="s">
        <v>16</v>
      </c>
      <c r="H4219" t="s">
        <v>6680</v>
      </c>
      <c r="I4219">
        <v>2.2130999999999998</v>
      </c>
      <c r="J4219">
        <v>25794.12</v>
      </c>
      <c r="K4219">
        <v>11655.198590212824</v>
      </c>
    </row>
    <row r="4220" spans="1:11" x14ac:dyDescent="0.25">
      <c r="A4220" t="s">
        <v>1060</v>
      </c>
      <c r="B4220" t="s">
        <v>1061</v>
      </c>
      <c r="C4220" s="1">
        <v>41783</v>
      </c>
      <c r="D4220" s="1">
        <v>41786</v>
      </c>
      <c r="E4220">
        <v>19976</v>
      </c>
      <c r="F4220" t="s">
        <v>309</v>
      </c>
      <c r="G4220" t="s">
        <v>16</v>
      </c>
      <c r="H4220" t="s">
        <v>3457</v>
      </c>
      <c r="I4220">
        <v>2.2187000000000001</v>
      </c>
      <c r="J4220">
        <v>36774.769999999997</v>
      </c>
      <c r="K4220">
        <v>16574.917744625232</v>
      </c>
    </row>
    <row r="4221" spans="1:11" x14ac:dyDescent="0.25">
      <c r="A4221" t="s">
        <v>1060</v>
      </c>
      <c r="B4221" t="s">
        <v>1061</v>
      </c>
      <c r="C4221" s="1">
        <v>41783</v>
      </c>
      <c r="D4221" s="1">
        <v>41792</v>
      </c>
      <c r="E4221">
        <v>19976</v>
      </c>
      <c r="F4221" t="s">
        <v>309</v>
      </c>
      <c r="G4221" t="s">
        <v>16</v>
      </c>
      <c r="H4221" t="s">
        <v>6681</v>
      </c>
      <c r="I4221">
        <v>2.2187000000000001</v>
      </c>
      <c r="J4221">
        <v>23910.080000000002</v>
      </c>
      <c r="K4221">
        <v>10776.616937846487</v>
      </c>
    </row>
    <row r="4222" spans="1:11" x14ac:dyDescent="0.25">
      <c r="A4222" t="s">
        <v>1060</v>
      </c>
      <c r="B4222" t="s">
        <v>1061</v>
      </c>
      <c r="C4222" s="1">
        <v>41790</v>
      </c>
      <c r="D4222" s="1">
        <v>41793</v>
      </c>
      <c r="E4222">
        <v>19976</v>
      </c>
      <c r="F4222" t="s">
        <v>309</v>
      </c>
      <c r="G4222" t="s">
        <v>16</v>
      </c>
      <c r="H4222" t="s">
        <v>6682</v>
      </c>
      <c r="I4222">
        <v>2.2389999999999999</v>
      </c>
      <c r="J4222">
        <v>35329.379999999997</v>
      </c>
      <c r="K4222">
        <v>15779.088878963823</v>
      </c>
    </row>
    <row r="4223" spans="1:11" x14ac:dyDescent="0.25">
      <c r="A4223" t="s">
        <v>1060</v>
      </c>
      <c r="B4223" t="s">
        <v>1061</v>
      </c>
      <c r="C4223" s="1">
        <v>41794</v>
      </c>
      <c r="D4223" s="1">
        <v>41794</v>
      </c>
      <c r="E4223">
        <v>19976</v>
      </c>
      <c r="F4223" t="s">
        <v>309</v>
      </c>
      <c r="G4223" t="s">
        <v>16</v>
      </c>
      <c r="H4223" t="s">
        <v>6683</v>
      </c>
      <c r="I4223">
        <v>2.2654000000000001</v>
      </c>
      <c r="J4223">
        <v>35264.660000000003</v>
      </c>
      <c r="K4223">
        <v>15566.637238456784</v>
      </c>
    </row>
    <row r="4224" spans="1:11" x14ac:dyDescent="0.25">
      <c r="A4224" t="s">
        <v>1060</v>
      </c>
      <c r="B4224" t="s">
        <v>1061</v>
      </c>
      <c r="C4224" s="1">
        <v>41786</v>
      </c>
      <c r="D4224" s="1">
        <v>41791</v>
      </c>
      <c r="E4224">
        <v>19976</v>
      </c>
      <c r="F4224" t="s">
        <v>309</v>
      </c>
      <c r="G4224" t="s">
        <v>16</v>
      </c>
      <c r="H4224" t="s">
        <v>3458</v>
      </c>
      <c r="I4224">
        <v>2.2208999999999999</v>
      </c>
      <c r="J4224">
        <v>34099.72</v>
      </c>
      <c r="K4224">
        <v>15354.00963573326</v>
      </c>
    </row>
    <row r="4225" spans="1:11" x14ac:dyDescent="0.25">
      <c r="A4225" t="s">
        <v>1072</v>
      </c>
      <c r="B4225" t="s">
        <v>1073</v>
      </c>
      <c r="C4225" s="1">
        <v>41823</v>
      </c>
      <c r="D4225" s="1">
        <v>41826</v>
      </c>
      <c r="E4225">
        <v>19972</v>
      </c>
      <c r="F4225" t="s">
        <v>368</v>
      </c>
      <c r="G4225" t="s">
        <v>16</v>
      </c>
      <c r="H4225" t="s">
        <v>6684</v>
      </c>
      <c r="I4225">
        <v>2.2134</v>
      </c>
      <c r="J4225">
        <v>33498.89</v>
      </c>
      <c r="K4225">
        <v>15134.584801662601</v>
      </c>
    </row>
    <row r="4226" spans="1:11" x14ac:dyDescent="0.25">
      <c r="A4226" t="s">
        <v>1072</v>
      </c>
      <c r="B4226" t="s">
        <v>1073</v>
      </c>
      <c r="C4226" s="1">
        <v>41822</v>
      </c>
      <c r="D4226" s="1">
        <v>41826</v>
      </c>
      <c r="E4226">
        <v>19972</v>
      </c>
      <c r="F4226" t="s">
        <v>368</v>
      </c>
      <c r="G4226" t="s">
        <v>16</v>
      </c>
      <c r="H4226" t="s">
        <v>3459</v>
      </c>
      <c r="I4226">
        <v>2.2054</v>
      </c>
      <c r="J4226">
        <v>33139.83</v>
      </c>
      <c r="K4226">
        <v>15026.675433028022</v>
      </c>
    </row>
    <row r="4227" spans="1:11" x14ac:dyDescent="0.25">
      <c r="A4227" t="s">
        <v>6685</v>
      </c>
      <c r="B4227" t="s">
        <v>6686</v>
      </c>
      <c r="C4227" s="1">
        <v>41796</v>
      </c>
      <c r="D4227" s="1">
        <v>41809</v>
      </c>
      <c r="E4227">
        <v>23053</v>
      </c>
      <c r="F4227" t="s">
        <v>402</v>
      </c>
      <c r="G4227" t="s">
        <v>16</v>
      </c>
      <c r="H4227" t="s">
        <v>6687</v>
      </c>
      <c r="I4227">
        <v>2.2694999999999999</v>
      </c>
      <c r="J4227">
        <v>14921.95</v>
      </c>
      <c r="K4227">
        <v>6574.9944921788938</v>
      </c>
    </row>
    <row r="4228" spans="1:11" x14ac:dyDescent="0.25">
      <c r="A4228" t="s">
        <v>1072</v>
      </c>
      <c r="B4228" t="s">
        <v>1073</v>
      </c>
      <c r="C4228" s="1">
        <v>41829</v>
      </c>
      <c r="D4228" s="1">
        <v>41831</v>
      </c>
      <c r="E4228">
        <v>19972</v>
      </c>
      <c r="F4228" t="s">
        <v>368</v>
      </c>
      <c r="G4228" t="s">
        <v>16</v>
      </c>
      <c r="H4228" t="s">
        <v>6688</v>
      </c>
      <c r="I4228">
        <v>2.2149999999999999</v>
      </c>
      <c r="J4228">
        <v>24695.31</v>
      </c>
      <c r="K4228">
        <v>11149.124153498871</v>
      </c>
    </row>
    <row r="4229" spans="1:11" x14ac:dyDescent="0.25">
      <c r="A4229" t="s">
        <v>1072</v>
      </c>
      <c r="B4229" t="s">
        <v>1073</v>
      </c>
      <c r="C4229" s="1">
        <v>41829</v>
      </c>
      <c r="D4229" s="1">
        <v>41832</v>
      </c>
      <c r="E4229">
        <v>19972</v>
      </c>
      <c r="F4229" t="s">
        <v>368</v>
      </c>
      <c r="G4229" t="s">
        <v>16</v>
      </c>
      <c r="H4229" t="s">
        <v>6689</v>
      </c>
      <c r="I4229">
        <v>2.2149999999999999</v>
      </c>
      <c r="J4229">
        <v>32966.949999999997</v>
      </c>
      <c r="K4229">
        <v>14883.498871331829</v>
      </c>
    </row>
    <row r="4230" spans="1:11" x14ac:dyDescent="0.25">
      <c r="A4230" t="s">
        <v>1072</v>
      </c>
      <c r="B4230" t="s">
        <v>1073</v>
      </c>
      <c r="C4230" s="1">
        <v>41831</v>
      </c>
      <c r="D4230" s="1">
        <v>41834</v>
      </c>
      <c r="E4230">
        <v>19972</v>
      </c>
      <c r="F4230" t="s">
        <v>368</v>
      </c>
      <c r="G4230" t="s">
        <v>16</v>
      </c>
      <c r="H4230" t="s">
        <v>6690</v>
      </c>
      <c r="I4230">
        <v>2.2237</v>
      </c>
      <c r="J4230">
        <v>32900.46</v>
      </c>
      <c r="K4230">
        <v>14795.36808022665</v>
      </c>
    </row>
    <row r="4231" spans="1:11" x14ac:dyDescent="0.25">
      <c r="A4231" t="s">
        <v>1072</v>
      </c>
      <c r="B4231" t="s">
        <v>1073</v>
      </c>
      <c r="C4231" s="1">
        <v>41831</v>
      </c>
      <c r="D4231" s="1">
        <v>41834</v>
      </c>
      <c r="E4231">
        <v>19972</v>
      </c>
      <c r="F4231" t="s">
        <v>368</v>
      </c>
      <c r="G4231" t="s">
        <v>16</v>
      </c>
      <c r="H4231" t="s">
        <v>3460</v>
      </c>
      <c r="I4231">
        <v>2.2237</v>
      </c>
      <c r="J4231">
        <v>33897.85</v>
      </c>
      <c r="K4231">
        <v>15243.895309619104</v>
      </c>
    </row>
    <row r="4232" spans="1:11" x14ac:dyDescent="0.25">
      <c r="A4232" t="s">
        <v>1072</v>
      </c>
      <c r="B4232" t="s">
        <v>1073</v>
      </c>
      <c r="C4232" s="1">
        <v>41830</v>
      </c>
      <c r="D4232" s="1">
        <v>41834</v>
      </c>
      <c r="E4232">
        <v>19972</v>
      </c>
      <c r="F4232" t="s">
        <v>368</v>
      </c>
      <c r="G4232" t="s">
        <v>16</v>
      </c>
      <c r="H4232" t="s">
        <v>6691</v>
      </c>
      <c r="I4232">
        <v>2.2139000000000002</v>
      </c>
      <c r="J4232">
        <v>33286.129999999997</v>
      </c>
      <c r="K4232">
        <v>15035.064817742445</v>
      </c>
    </row>
    <row r="4233" spans="1:11" x14ac:dyDescent="0.25">
      <c r="A4233" t="s">
        <v>1072</v>
      </c>
      <c r="B4233" t="s">
        <v>1073</v>
      </c>
      <c r="C4233" s="1">
        <v>41832</v>
      </c>
      <c r="D4233" s="1">
        <v>41835</v>
      </c>
      <c r="E4233">
        <v>19972</v>
      </c>
      <c r="F4233" t="s">
        <v>368</v>
      </c>
      <c r="G4233" t="s">
        <v>16</v>
      </c>
      <c r="H4233" t="s">
        <v>6692</v>
      </c>
      <c r="I4233">
        <v>2.2227999999999999</v>
      </c>
      <c r="J4233">
        <v>25001.17</v>
      </c>
      <c r="K4233">
        <v>11247.602123447903</v>
      </c>
    </row>
    <row r="4234" spans="1:11" x14ac:dyDescent="0.25">
      <c r="A4234" t="s">
        <v>1072</v>
      </c>
      <c r="B4234" t="s">
        <v>1073</v>
      </c>
      <c r="C4234" s="1">
        <v>41832</v>
      </c>
      <c r="D4234" s="1">
        <v>41835</v>
      </c>
      <c r="E4234">
        <v>19972</v>
      </c>
      <c r="F4234" t="s">
        <v>368</v>
      </c>
      <c r="G4234" t="s">
        <v>16</v>
      </c>
      <c r="H4234" t="s">
        <v>6693</v>
      </c>
      <c r="I4234">
        <v>2.2227999999999999</v>
      </c>
      <c r="J4234">
        <v>33033.440000000002</v>
      </c>
      <c r="K4234">
        <v>14861.184092136045</v>
      </c>
    </row>
    <row r="4235" spans="1:11" x14ac:dyDescent="0.25">
      <c r="A4235" t="s">
        <v>1072</v>
      </c>
      <c r="B4235" t="s">
        <v>1073</v>
      </c>
      <c r="C4235" s="1">
        <v>41834</v>
      </c>
      <c r="D4235" s="1">
        <v>41836</v>
      </c>
      <c r="E4235">
        <v>19972</v>
      </c>
      <c r="F4235" t="s">
        <v>368</v>
      </c>
      <c r="G4235" t="s">
        <v>16</v>
      </c>
      <c r="H4235" t="s">
        <v>3461</v>
      </c>
      <c r="I4235">
        <v>2.2227999999999999</v>
      </c>
      <c r="J4235">
        <v>25227.23</v>
      </c>
      <c r="K4235">
        <v>11349.302681302861</v>
      </c>
    </row>
    <row r="4236" spans="1:11" x14ac:dyDescent="0.25">
      <c r="A4236" t="s">
        <v>1075</v>
      </c>
      <c r="B4236" t="s">
        <v>1076</v>
      </c>
      <c r="C4236" s="1">
        <v>41832</v>
      </c>
      <c r="D4236" s="1">
        <v>41834</v>
      </c>
      <c r="E4236">
        <v>19680</v>
      </c>
      <c r="F4236" t="s">
        <v>368</v>
      </c>
      <c r="G4236" t="s">
        <v>16</v>
      </c>
      <c r="H4236" t="s">
        <v>6694</v>
      </c>
      <c r="I4236">
        <v>2.2227999999999999</v>
      </c>
      <c r="J4236">
        <v>33937.74</v>
      </c>
      <c r="K4236">
        <v>15268.013316537701</v>
      </c>
    </row>
    <row r="4237" spans="1:11" x14ac:dyDescent="0.25">
      <c r="A4237" t="s">
        <v>1072</v>
      </c>
      <c r="B4237" t="s">
        <v>1073</v>
      </c>
      <c r="C4237" s="1">
        <v>41826</v>
      </c>
      <c r="D4237" s="1">
        <v>41829</v>
      </c>
      <c r="E4237">
        <v>19972</v>
      </c>
      <c r="F4237" t="s">
        <v>368</v>
      </c>
      <c r="G4237" t="s">
        <v>16</v>
      </c>
      <c r="H4237" t="s">
        <v>3462</v>
      </c>
      <c r="I4237">
        <v>2.2149000000000001</v>
      </c>
      <c r="J4237">
        <v>34163.82</v>
      </c>
      <c r="K4237">
        <v>15424.54286875254</v>
      </c>
    </row>
    <row r="4238" spans="1:11" x14ac:dyDescent="0.25">
      <c r="A4238" t="s">
        <v>1072</v>
      </c>
      <c r="B4238" t="s">
        <v>1073</v>
      </c>
      <c r="C4238" s="1">
        <v>41826</v>
      </c>
      <c r="D4238" s="1">
        <v>41830</v>
      </c>
      <c r="E4238">
        <v>19972</v>
      </c>
      <c r="F4238" t="s">
        <v>368</v>
      </c>
      <c r="G4238" t="s">
        <v>16</v>
      </c>
      <c r="H4238" t="s">
        <v>3463</v>
      </c>
      <c r="I4238">
        <v>2.2149000000000001</v>
      </c>
      <c r="J4238">
        <v>32820.67</v>
      </c>
      <c r="K4238">
        <v>14818.127229220281</v>
      </c>
    </row>
    <row r="4239" spans="1:11" x14ac:dyDescent="0.25">
      <c r="A4239" t="s">
        <v>1072</v>
      </c>
      <c r="B4239" t="s">
        <v>1073</v>
      </c>
      <c r="C4239" s="1">
        <v>41827</v>
      </c>
      <c r="D4239" s="1">
        <v>41830</v>
      </c>
      <c r="E4239">
        <v>19972</v>
      </c>
      <c r="F4239" t="s">
        <v>368</v>
      </c>
      <c r="G4239" t="s">
        <v>16</v>
      </c>
      <c r="H4239" t="s">
        <v>6695</v>
      </c>
      <c r="I4239">
        <v>2.2149000000000001</v>
      </c>
      <c r="J4239">
        <v>24721.89</v>
      </c>
      <c r="K4239">
        <v>11161.628064472437</v>
      </c>
    </row>
    <row r="4240" spans="1:11" x14ac:dyDescent="0.25">
      <c r="A4240" t="s">
        <v>1075</v>
      </c>
      <c r="B4240" t="s">
        <v>1076</v>
      </c>
      <c r="C4240" s="1">
        <v>41831</v>
      </c>
      <c r="D4240" s="1">
        <v>41837</v>
      </c>
      <c r="E4240">
        <v>19680</v>
      </c>
      <c r="F4240" t="s">
        <v>368</v>
      </c>
      <c r="G4240" t="s">
        <v>16</v>
      </c>
      <c r="H4240" t="s">
        <v>3464</v>
      </c>
      <c r="I4240">
        <v>2.2237</v>
      </c>
      <c r="J4240">
        <v>24562.3</v>
      </c>
      <c r="K4240">
        <v>11045.68961640509</v>
      </c>
    </row>
    <row r="4241" spans="1:11" x14ac:dyDescent="0.25">
      <c r="A4241" t="s">
        <v>6696</v>
      </c>
      <c r="C4241" s="1">
        <v>41813</v>
      </c>
      <c r="D4241" s="1">
        <v>41814</v>
      </c>
      <c r="E4241">
        <v>25611</v>
      </c>
      <c r="F4241" t="s">
        <v>291</v>
      </c>
      <c r="G4241" t="s">
        <v>16</v>
      </c>
      <c r="H4241" t="s">
        <v>6697</v>
      </c>
      <c r="I4241">
        <v>2.238</v>
      </c>
      <c r="J4241">
        <v>49</v>
      </c>
      <c r="K4241">
        <v>21.894548704200179</v>
      </c>
    </row>
    <row r="4242" spans="1:11" x14ac:dyDescent="0.25">
      <c r="A4242" t="s">
        <v>1994</v>
      </c>
      <c r="B4242" t="s">
        <v>1995</v>
      </c>
      <c r="C4242" s="1">
        <v>41526</v>
      </c>
      <c r="D4242" s="1">
        <v>41543</v>
      </c>
      <c r="E4242">
        <v>3</v>
      </c>
      <c r="F4242" t="s">
        <v>887</v>
      </c>
      <c r="G4242" t="s">
        <v>16</v>
      </c>
      <c r="H4242" t="s">
        <v>6698</v>
      </c>
      <c r="I4242">
        <v>2.2978999999999998</v>
      </c>
      <c r="J4242">
        <v>62889.82</v>
      </c>
      <c r="K4242">
        <v>27368.3885286566</v>
      </c>
    </row>
    <row r="4243" spans="1:11" x14ac:dyDescent="0.25">
      <c r="A4243" t="s">
        <v>1650</v>
      </c>
      <c r="B4243" t="s">
        <v>1651</v>
      </c>
      <c r="C4243" s="1">
        <v>41529</v>
      </c>
      <c r="D4243" s="1">
        <v>41561</v>
      </c>
      <c r="E4243">
        <v>23</v>
      </c>
      <c r="F4243" t="s">
        <v>887</v>
      </c>
      <c r="G4243" t="s">
        <v>16</v>
      </c>
      <c r="H4243" t="s">
        <v>3465</v>
      </c>
      <c r="I4243">
        <v>2.2947000000000002</v>
      </c>
      <c r="J4243">
        <v>61476.38</v>
      </c>
      <c r="K4243">
        <v>26790.595720573496</v>
      </c>
    </row>
    <row r="4244" spans="1:11" x14ac:dyDescent="0.25">
      <c r="A4244" t="s">
        <v>1991</v>
      </c>
      <c r="B4244" t="s">
        <v>1992</v>
      </c>
      <c r="C4244" s="1">
        <v>41527</v>
      </c>
      <c r="D4244" s="1">
        <v>41543</v>
      </c>
      <c r="E4244">
        <v>2</v>
      </c>
      <c r="F4244" t="s">
        <v>887</v>
      </c>
      <c r="G4244" t="s">
        <v>16</v>
      </c>
      <c r="H4244" t="s">
        <v>3466</v>
      </c>
      <c r="I4244">
        <v>2.2867999999999999</v>
      </c>
      <c r="J4244">
        <v>53368.65</v>
      </c>
      <c r="K4244">
        <v>23337.698967990204</v>
      </c>
    </row>
    <row r="4245" spans="1:11" x14ac:dyDescent="0.25">
      <c r="A4245" t="s">
        <v>1083</v>
      </c>
      <c r="B4245" t="s">
        <v>1084</v>
      </c>
      <c r="C4245" s="1">
        <v>41849</v>
      </c>
      <c r="D4245" s="1">
        <v>41853</v>
      </c>
      <c r="E4245">
        <v>19679</v>
      </c>
      <c r="F4245" t="s">
        <v>368</v>
      </c>
      <c r="G4245" t="s">
        <v>16</v>
      </c>
      <c r="H4245" t="s">
        <v>3467</v>
      </c>
      <c r="I4245">
        <v>2.2302</v>
      </c>
      <c r="J4245">
        <v>53342.44</v>
      </c>
      <c r="K4245">
        <v>23918.231548740023</v>
      </c>
    </row>
    <row r="4246" spans="1:11" x14ac:dyDescent="0.25">
      <c r="A4246" t="s">
        <v>1083</v>
      </c>
      <c r="B4246" t="s">
        <v>1084</v>
      </c>
      <c r="C4246" s="1">
        <v>41851</v>
      </c>
      <c r="D4246" s="1">
        <v>41853</v>
      </c>
      <c r="E4246">
        <v>19679</v>
      </c>
      <c r="F4246" t="s">
        <v>368</v>
      </c>
      <c r="G4246" t="s">
        <v>16</v>
      </c>
      <c r="H4246" t="s">
        <v>3468</v>
      </c>
      <c r="I4246">
        <v>2.2446999999999999</v>
      </c>
      <c r="J4246">
        <v>39159.39</v>
      </c>
      <c r="K4246">
        <v>17445.266628057201</v>
      </c>
    </row>
    <row r="4247" spans="1:11" x14ac:dyDescent="0.25">
      <c r="A4247" t="s">
        <v>1072</v>
      </c>
      <c r="B4247" t="s">
        <v>1073</v>
      </c>
      <c r="C4247" s="1">
        <v>41872</v>
      </c>
      <c r="D4247" s="1">
        <v>41873</v>
      </c>
      <c r="E4247">
        <v>19972</v>
      </c>
      <c r="F4247" t="s">
        <v>368</v>
      </c>
      <c r="G4247" t="s">
        <v>16</v>
      </c>
      <c r="H4247" t="s">
        <v>3469</v>
      </c>
      <c r="I4247">
        <v>2.2549999999999999</v>
      </c>
      <c r="J4247">
        <v>25014.46</v>
      </c>
      <c r="K4247">
        <v>11092.886917960088</v>
      </c>
    </row>
    <row r="4248" spans="1:11" x14ac:dyDescent="0.25">
      <c r="A4248" t="s">
        <v>1060</v>
      </c>
      <c r="B4248" t="s">
        <v>1061</v>
      </c>
      <c r="C4248" s="1">
        <v>41830</v>
      </c>
      <c r="D4248" s="1">
        <v>41852</v>
      </c>
      <c r="E4248">
        <v>19976</v>
      </c>
      <c r="F4248" t="s">
        <v>309</v>
      </c>
      <c r="G4248" t="s">
        <v>16</v>
      </c>
      <c r="H4248" t="s">
        <v>3470</v>
      </c>
      <c r="I4248">
        <v>2.2139000000000002</v>
      </c>
      <c r="J4248">
        <v>14489.87</v>
      </c>
      <c r="K4248">
        <v>6544.9523465377843</v>
      </c>
    </row>
    <row r="4249" spans="1:11" x14ac:dyDescent="0.25">
      <c r="A4249" t="s">
        <v>3471</v>
      </c>
      <c r="B4249" t="s">
        <v>3472</v>
      </c>
      <c r="C4249" s="1">
        <v>41852</v>
      </c>
      <c r="D4249" s="1">
        <v>41855</v>
      </c>
      <c r="E4249">
        <v>1</v>
      </c>
      <c r="F4249" t="s">
        <v>368</v>
      </c>
      <c r="G4249" t="s">
        <v>16</v>
      </c>
      <c r="H4249" t="s">
        <v>3473</v>
      </c>
      <c r="I4249">
        <v>2.2673999999999999</v>
      </c>
      <c r="J4249">
        <v>37042.15</v>
      </c>
      <c r="K4249">
        <v>16336.839551909676</v>
      </c>
    </row>
    <row r="4250" spans="1:11" x14ac:dyDescent="0.25">
      <c r="A4250" t="s">
        <v>1072</v>
      </c>
      <c r="B4250" t="s">
        <v>1073</v>
      </c>
      <c r="C4250" s="1">
        <v>41860</v>
      </c>
      <c r="D4250" s="1">
        <v>41863</v>
      </c>
      <c r="E4250">
        <v>19972</v>
      </c>
      <c r="F4250" t="s">
        <v>368</v>
      </c>
      <c r="G4250" t="s">
        <v>16</v>
      </c>
      <c r="H4250" t="s">
        <v>6699</v>
      </c>
      <c r="I4250">
        <v>2.2986</v>
      </c>
      <c r="J4250">
        <v>33246.22</v>
      </c>
      <c r="K4250">
        <v>14463.682241364309</v>
      </c>
    </row>
    <row r="4251" spans="1:11" x14ac:dyDescent="0.25">
      <c r="A4251" t="s">
        <v>2590</v>
      </c>
      <c r="B4251" t="s">
        <v>2591</v>
      </c>
      <c r="C4251" s="1">
        <v>41850</v>
      </c>
      <c r="D4251" s="1">
        <v>41852</v>
      </c>
      <c r="E4251">
        <v>1</v>
      </c>
      <c r="F4251" t="s">
        <v>368</v>
      </c>
      <c r="G4251" t="s">
        <v>16</v>
      </c>
      <c r="H4251" t="s">
        <v>6700</v>
      </c>
      <c r="I4251">
        <v>2.2277999999999998</v>
      </c>
      <c r="J4251">
        <v>49950.48</v>
      </c>
      <c r="K4251">
        <v>22421.43819014274</v>
      </c>
    </row>
    <row r="4252" spans="1:11" x14ac:dyDescent="0.25">
      <c r="A4252" t="s">
        <v>1088</v>
      </c>
      <c r="B4252" t="s">
        <v>1089</v>
      </c>
      <c r="C4252" s="1">
        <v>41864</v>
      </c>
      <c r="D4252" s="1">
        <v>41866</v>
      </c>
      <c r="E4252">
        <v>2</v>
      </c>
      <c r="F4252" t="s">
        <v>368</v>
      </c>
      <c r="G4252" t="s">
        <v>16</v>
      </c>
      <c r="H4252" t="s">
        <v>6701</v>
      </c>
      <c r="I4252">
        <v>2.2770000000000001</v>
      </c>
      <c r="J4252">
        <v>27736.37</v>
      </c>
      <c r="K4252">
        <v>12181.102327624067</v>
      </c>
    </row>
    <row r="4253" spans="1:11" x14ac:dyDescent="0.25">
      <c r="A4253" t="s">
        <v>1072</v>
      </c>
      <c r="B4253" t="s">
        <v>1073</v>
      </c>
      <c r="C4253" s="1">
        <v>41863</v>
      </c>
      <c r="D4253" s="1">
        <v>41865</v>
      </c>
      <c r="E4253">
        <v>19972</v>
      </c>
      <c r="F4253" t="s">
        <v>368</v>
      </c>
      <c r="G4253" t="s">
        <v>16</v>
      </c>
      <c r="H4253" t="s">
        <v>4069</v>
      </c>
      <c r="I4253">
        <v>2.2778999999999998</v>
      </c>
      <c r="J4253">
        <v>33459.01</v>
      </c>
      <c r="K4253">
        <v>14688.533298213266</v>
      </c>
    </row>
    <row r="4254" spans="1:11" x14ac:dyDescent="0.25">
      <c r="A4254" t="s">
        <v>3044</v>
      </c>
      <c r="B4254" t="s">
        <v>3045</v>
      </c>
      <c r="C4254" s="1">
        <v>41871</v>
      </c>
      <c r="D4254" s="1">
        <v>41873</v>
      </c>
      <c r="E4254">
        <v>2</v>
      </c>
      <c r="F4254" t="s">
        <v>368</v>
      </c>
      <c r="G4254" t="s">
        <v>16</v>
      </c>
      <c r="H4254" t="s">
        <v>599</v>
      </c>
      <c r="I4254">
        <v>2.2587000000000002</v>
      </c>
      <c r="J4254">
        <v>28615.45</v>
      </c>
      <c r="K4254">
        <v>12668.991012529332</v>
      </c>
    </row>
    <row r="4255" spans="1:11" x14ac:dyDescent="0.25">
      <c r="A4255" t="s">
        <v>1072</v>
      </c>
      <c r="B4255" t="s">
        <v>1073</v>
      </c>
      <c r="C4255" s="1">
        <v>41860</v>
      </c>
      <c r="D4255" s="1">
        <v>41862</v>
      </c>
      <c r="E4255">
        <v>19972</v>
      </c>
      <c r="F4255" t="s">
        <v>368</v>
      </c>
      <c r="G4255" t="s">
        <v>16</v>
      </c>
      <c r="H4255" t="s">
        <v>3474</v>
      </c>
      <c r="I4255">
        <v>2.2986</v>
      </c>
      <c r="J4255">
        <v>24868.17</v>
      </c>
      <c r="K4255">
        <v>10818.833202819107</v>
      </c>
    </row>
    <row r="4256" spans="1:11" x14ac:dyDescent="0.25">
      <c r="A4256" t="s">
        <v>1072</v>
      </c>
      <c r="B4256" t="s">
        <v>1073</v>
      </c>
      <c r="C4256" s="1">
        <v>41859</v>
      </c>
      <c r="D4256" s="1">
        <v>41862</v>
      </c>
      <c r="E4256">
        <v>19972</v>
      </c>
      <c r="F4256" t="s">
        <v>368</v>
      </c>
      <c r="G4256" t="s">
        <v>16</v>
      </c>
      <c r="H4256" t="s">
        <v>3475</v>
      </c>
      <c r="I4256">
        <v>2.2801999999999998</v>
      </c>
      <c r="J4256">
        <v>24668.7</v>
      </c>
      <c r="K4256">
        <v>10818.656258222964</v>
      </c>
    </row>
    <row r="4257" spans="1:11" x14ac:dyDescent="0.25">
      <c r="A4257" t="s">
        <v>1075</v>
      </c>
      <c r="B4257" t="s">
        <v>1076</v>
      </c>
      <c r="C4257" s="1">
        <v>41859</v>
      </c>
      <c r="D4257" s="1">
        <v>41863</v>
      </c>
      <c r="E4257">
        <v>19680</v>
      </c>
      <c r="F4257" t="s">
        <v>368</v>
      </c>
      <c r="G4257" t="s">
        <v>16</v>
      </c>
      <c r="H4257" t="s">
        <v>6702</v>
      </c>
      <c r="I4257">
        <v>2.2801999999999998</v>
      </c>
      <c r="J4257">
        <v>25386.82</v>
      </c>
      <c r="K4257">
        <v>11133.593544425927</v>
      </c>
    </row>
    <row r="4258" spans="1:11" x14ac:dyDescent="0.25">
      <c r="A4258" t="s">
        <v>1075</v>
      </c>
      <c r="B4258" t="s">
        <v>1076</v>
      </c>
      <c r="C4258" s="1">
        <v>41861</v>
      </c>
      <c r="D4258" s="1">
        <v>41863</v>
      </c>
      <c r="E4258">
        <v>19680</v>
      </c>
      <c r="F4258" t="s">
        <v>368</v>
      </c>
      <c r="G4258" t="s">
        <v>16</v>
      </c>
      <c r="H4258" t="s">
        <v>3476</v>
      </c>
      <c r="I4258">
        <v>2.2986</v>
      </c>
      <c r="J4258">
        <v>25267.13</v>
      </c>
      <c r="K4258">
        <v>10992.399721569651</v>
      </c>
    </row>
    <row r="4259" spans="1:11" x14ac:dyDescent="0.25">
      <c r="A4259" t="s">
        <v>6703</v>
      </c>
      <c r="C4259" s="1">
        <v>41866</v>
      </c>
      <c r="D4259" s="1">
        <v>41869</v>
      </c>
      <c r="E4259">
        <v>27259</v>
      </c>
      <c r="F4259" t="s">
        <v>291</v>
      </c>
      <c r="G4259" t="s">
        <v>16</v>
      </c>
      <c r="H4259" t="s">
        <v>6704</v>
      </c>
      <c r="I4259">
        <v>2.2703000000000002</v>
      </c>
      <c r="J4259">
        <v>35</v>
      </c>
      <c r="K4259">
        <v>15.416464784389728</v>
      </c>
    </row>
    <row r="4260" spans="1:11" x14ac:dyDescent="0.25">
      <c r="A4260" t="s">
        <v>1072</v>
      </c>
      <c r="B4260" t="s">
        <v>1073</v>
      </c>
      <c r="C4260" s="1">
        <v>41919</v>
      </c>
      <c r="D4260" s="1">
        <v>41919</v>
      </c>
      <c r="E4260">
        <v>19972</v>
      </c>
      <c r="F4260" t="s">
        <v>368</v>
      </c>
      <c r="G4260" t="s">
        <v>16</v>
      </c>
      <c r="H4260" t="s">
        <v>6705</v>
      </c>
      <c r="I4260">
        <v>2.4098000000000002</v>
      </c>
      <c r="J4260">
        <v>31577.599999999999</v>
      </c>
      <c r="K4260">
        <v>13103.826043655075</v>
      </c>
    </row>
    <row r="4261" spans="1:11" x14ac:dyDescent="0.25">
      <c r="A4261" t="s">
        <v>3044</v>
      </c>
      <c r="B4261" t="s">
        <v>3045</v>
      </c>
      <c r="C4261" s="1">
        <v>41871</v>
      </c>
      <c r="D4261" s="1">
        <v>41883</v>
      </c>
      <c r="E4261">
        <v>2</v>
      </c>
      <c r="F4261" t="s">
        <v>368</v>
      </c>
      <c r="G4261" t="s">
        <v>16</v>
      </c>
      <c r="H4261" t="s">
        <v>6706</v>
      </c>
      <c r="I4261">
        <v>2.2587000000000002</v>
      </c>
      <c r="J4261">
        <v>38254.980000000003</v>
      </c>
      <c r="K4261">
        <v>16936.724664630096</v>
      </c>
    </row>
    <row r="4262" spans="1:11" x14ac:dyDescent="0.25">
      <c r="A4262" t="s">
        <v>1072</v>
      </c>
      <c r="B4262" t="s">
        <v>1073</v>
      </c>
      <c r="C4262" s="1">
        <v>41897</v>
      </c>
      <c r="D4262" s="1">
        <v>41904</v>
      </c>
      <c r="E4262">
        <v>19972</v>
      </c>
      <c r="F4262" t="s">
        <v>368</v>
      </c>
      <c r="G4262" t="s">
        <v>16</v>
      </c>
      <c r="H4262" t="s">
        <v>3477</v>
      </c>
      <c r="I4262">
        <v>2.3250999999999999</v>
      </c>
      <c r="J4262">
        <v>15242.4</v>
      </c>
      <c r="K4262">
        <v>6555.5890069244333</v>
      </c>
    </row>
    <row r="4263" spans="1:11" x14ac:dyDescent="0.25">
      <c r="A4263" t="s">
        <v>1102</v>
      </c>
      <c r="B4263" t="s">
        <v>1103</v>
      </c>
      <c r="C4263" s="1">
        <v>41906</v>
      </c>
      <c r="D4263" s="1">
        <v>41911</v>
      </c>
      <c r="E4263">
        <v>19980</v>
      </c>
      <c r="F4263" t="s">
        <v>301</v>
      </c>
      <c r="G4263" t="s">
        <v>16</v>
      </c>
      <c r="H4263" t="s">
        <v>6707</v>
      </c>
      <c r="I4263">
        <v>2.4026000000000001</v>
      </c>
      <c r="J4263">
        <v>62370.01</v>
      </c>
      <c r="K4263">
        <v>25959.381503371347</v>
      </c>
    </row>
    <row r="4264" spans="1:11" x14ac:dyDescent="0.25">
      <c r="A4264" t="s">
        <v>1102</v>
      </c>
      <c r="B4264" t="s">
        <v>1103</v>
      </c>
      <c r="C4264" s="1">
        <v>41906</v>
      </c>
      <c r="D4264" s="1">
        <v>41911</v>
      </c>
      <c r="E4264">
        <v>19980</v>
      </c>
      <c r="F4264" t="s">
        <v>301</v>
      </c>
      <c r="G4264" t="s">
        <v>16</v>
      </c>
      <c r="H4264" t="s">
        <v>6708</v>
      </c>
      <c r="I4264">
        <v>2.4026000000000001</v>
      </c>
      <c r="J4264">
        <v>62370.01</v>
      </c>
      <c r="K4264">
        <v>25959.381503371347</v>
      </c>
    </row>
    <row r="4265" spans="1:11" x14ac:dyDescent="0.25">
      <c r="A4265" t="s">
        <v>1102</v>
      </c>
      <c r="B4265" t="s">
        <v>1103</v>
      </c>
      <c r="C4265" s="1">
        <v>41906</v>
      </c>
      <c r="D4265" s="1">
        <v>41911</v>
      </c>
      <c r="E4265">
        <v>19980</v>
      </c>
      <c r="F4265" t="s">
        <v>301</v>
      </c>
      <c r="G4265" t="s">
        <v>16</v>
      </c>
      <c r="H4265" t="s">
        <v>6709</v>
      </c>
      <c r="I4265">
        <v>2.4026000000000001</v>
      </c>
      <c r="J4265">
        <v>62370.01</v>
      </c>
      <c r="K4265">
        <v>25959.381503371347</v>
      </c>
    </row>
    <row r="4266" spans="1:11" x14ac:dyDescent="0.25">
      <c r="A4266" t="s">
        <v>361</v>
      </c>
      <c r="B4266" t="s">
        <v>2119</v>
      </c>
      <c r="C4266" s="1">
        <v>41907</v>
      </c>
      <c r="D4266" s="1">
        <v>41911</v>
      </c>
      <c r="E4266">
        <v>20126</v>
      </c>
      <c r="F4266" t="s">
        <v>278</v>
      </c>
      <c r="G4266" t="s">
        <v>16</v>
      </c>
      <c r="H4266" t="s">
        <v>3478</v>
      </c>
      <c r="I4266">
        <v>2.407</v>
      </c>
      <c r="J4266">
        <v>278088.71999999997</v>
      </c>
      <c r="K4266">
        <v>115533.32779393435</v>
      </c>
    </row>
    <row r="4267" spans="1:11" x14ac:dyDescent="0.25">
      <c r="A4267" t="s">
        <v>1107</v>
      </c>
      <c r="B4267" t="s">
        <v>1108</v>
      </c>
      <c r="C4267" s="1">
        <v>41871</v>
      </c>
      <c r="D4267" s="1">
        <v>41878</v>
      </c>
      <c r="E4267">
        <v>2</v>
      </c>
      <c r="F4267" t="s">
        <v>368</v>
      </c>
      <c r="G4267" t="s">
        <v>16</v>
      </c>
      <c r="H4267" t="s">
        <v>3479</v>
      </c>
      <c r="I4267">
        <v>2.2587000000000002</v>
      </c>
      <c r="J4267">
        <v>37739.660000000003</v>
      </c>
      <c r="K4267">
        <v>16708.575729401869</v>
      </c>
    </row>
    <row r="4268" spans="1:11" x14ac:dyDescent="0.25">
      <c r="A4268" t="s">
        <v>1107</v>
      </c>
      <c r="B4268" t="s">
        <v>1108</v>
      </c>
      <c r="C4268" s="1">
        <v>41871</v>
      </c>
      <c r="D4268" s="1">
        <v>41878</v>
      </c>
      <c r="E4268">
        <v>2</v>
      </c>
      <c r="F4268" t="s">
        <v>368</v>
      </c>
      <c r="G4268" t="s">
        <v>16</v>
      </c>
      <c r="H4268" t="s">
        <v>3480</v>
      </c>
      <c r="I4268">
        <v>2.2587000000000002</v>
      </c>
      <c r="J4268">
        <v>37178.870000000003</v>
      </c>
      <c r="K4268">
        <v>16460.295745340241</v>
      </c>
    </row>
    <row r="4269" spans="1:11" x14ac:dyDescent="0.25">
      <c r="A4269" t="s">
        <v>1107</v>
      </c>
      <c r="B4269" t="s">
        <v>1108</v>
      </c>
      <c r="C4269" s="1">
        <v>41871</v>
      </c>
      <c r="D4269" s="1">
        <v>41877</v>
      </c>
      <c r="E4269">
        <v>2</v>
      </c>
      <c r="F4269" t="s">
        <v>368</v>
      </c>
      <c r="G4269" t="s">
        <v>16</v>
      </c>
      <c r="H4269" t="s">
        <v>581</v>
      </c>
      <c r="I4269">
        <v>2.2587000000000002</v>
      </c>
      <c r="J4269">
        <v>38270.14</v>
      </c>
      <c r="K4269">
        <v>16943.436490016382</v>
      </c>
    </row>
    <row r="4270" spans="1:11" x14ac:dyDescent="0.25">
      <c r="A4270" t="s">
        <v>1072</v>
      </c>
      <c r="B4270" t="s">
        <v>1073</v>
      </c>
      <c r="C4270" s="1">
        <v>41874</v>
      </c>
      <c r="D4270" s="1">
        <v>41884</v>
      </c>
      <c r="E4270">
        <v>19972</v>
      </c>
      <c r="F4270" t="s">
        <v>368</v>
      </c>
      <c r="G4270" t="s">
        <v>16</v>
      </c>
      <c r="H4270" t="s">
        <v>3481</v>
      </c>
      <c r="I4270">
        <v>2.2778</v>
      </c>
      <c r="J4270">
        <v>28274.41</v>
      </c>
      <c r="K4270">
        <v>12413.034506980419</v>
      </c>
    </row>
    <row r="4271" spans="1:11" x14ac:dyDescent="0.25">
      <c r="A4271" t="s">
        <v>1072</v>
      </c>
      <c r="B4271" t="s">
        <v>1073</v>
      </c>
      <c r="C4271" s="1">
        <v>41897</v>
      </c>
      <c r="D4271" s="1">
        <v>41898</v>
      </c>
      <c r="E4271">
        <v>19972</v>
      </c>
      <c r="F4271" t="s">
        <v>368</v>
      </c>
      <c r="G4271" t="s">
        <v>16</v>
      </c>
      <c r="H4271" t="s">
        <v>6710</v>
      </c>
      <c r="I4271">
        <v>2.3250999999999999</v>
      </c>
      <c r="J4271">
        <v>23391.040000000001</v>
      </c>
      <c r="K4271">
        <v>10060.229667541182</v>
      </c>
    </row>
    <row r="4272" spans="1:11" x14ac:dyDescent="0.25">
      <c r="A4272" t="s">
        <v>1072</v>
      </c>
      <c r="B4272" t="s">
        <v>1073</v>
      </c>
      <c r="C4272" s="1">
        <v>41897</v>
      </c>
      <c r="D4272" s="1">
        <v>41898</v>
      </c>
      <c r="E4272">
        <v>19972</v>
      </c>
      <c r="F4272" t="s">
        <v>368</v>
      </c>
      <c r="G4272" t="s">
        <v>16</v>
      </c>
      <c r="H4272" t="s">
        <v>6711</v>
      </c>
      <c r="I4272">
        <v>2.3250999999999999</v>
      </c>
      <c r="J4272">
        <v>20422.150000000001</v>
      </c>
      <c r="K4272">
        <v>8783.3426519289496</v>
      </c>
    </row>
    <row r="4273" spans="1:11" x14ac:dyDescent="0.25">
      <c r="A4273" t="s">
        <v>1072</v>
      </c>
      <c r="B4273" t="s">
        <v>1073</v>
      </c>
      <c r="C4273" s="1">
        <v>41874</v>
      </c>
      <c r="D4273" s="1">
        <v>41883</v>
      </c>
      <c r="E4273">
        <v>19972</v>
      </c>
      <c r="F4273" t="s">
        <v>368</v>
      </c>
      <c r="G4273" t="s">
        <v>16</v>
      </c>
      <c r="H4273" t="s">
        <v>3482</v>
      </c>
      <c r="I4273">
        <v>2.2778</v>
      </c>
      <c r="J4273">
        <v>28690.21</v>
      </c>
      <c r="K4273">
        <v>12595.579067521292</v>
      </c>
    </row>
    <row r="4274" spans="1:11" x14ac:dyDescent="0.25">
      <c r="A4274" t="s">
        <v>1072</v>
      </c>
      <c r="B4274" t="s">
        <v>1073</v>
      </c>
      <c r="C4274" s="1">
        <v>41873</v>
      </c>
      <c r="D4274" s="1">
        <v>41883</v>
      </c>
      <c r="E4274">
        <v>19972</v>
      </c>
      <c r="F4274" t="s">
        <v>368</v>
      </c>
      <c r="G4274" t="s">
        <v>16</v>
      </c>
      <c r="H4274" t="s">
        <v>3483</v>
      </c>
      <c r="I4274">
        <v>2.2582</v>
      </c>
      <c r="J4274">
        <v>39260.769999999997</v>
      </c>
      <c r="K4274">
        <v>17385.869276414844</v>
      </c>
    </row>
    <row r="4275" spans="1:11" x14ac:dyDescent="0.25">
      <c r="A4275" t="s">
        <v>1072</v>
      </c>
      <c r="B4275" t="s">
        <v>1073</v>
      </c>
      <c r="C4275" s="1">
        <v>41876</v>
      </c>
      <c r="D4275" s="1">
        <v>41883</v>
      </c>
      <c r="E4275">
        <v>19972</v>
      </c>
      <c r="F4275" t="s">
        <v>368</v>
      </c>
      <c r="G4275" t="s">
        <v>16</v>
      </c>
      <c r="H4275" t="s">
        <v>6712</v>
      </c>
      <c r="I4275">
        <v>2.2778</v>
      </c>
      <c r="J4275">
        <v>10472.540000000001</v>
      </c>
      <c r="K4275">
        <v>4597.6556326279742</v>
      </c>
    </row>
    <row r="4276" spans="1:11" x14ac:dyDescent="0.25">
      <c r="A4276" t="s">
        <v>1072</v>
      </c>
      <c r="B4276" t="s">
        <v>1073</v>
      </c>
      <c r="C4276" s="1">
        <v>41876</v>
      </c>
      <c r="D4276" s="1">
        <v>41883</v>
      </c>
      <c r="E4276">
        <v>19972</v>
      </c>
      <c r="F4276" t="s">
        <v>368</v>
      </c>
      <c r="G4276" t="s">
        <v>16</v>
      </c>
      <c r="H4276" t="s">
        <v>6713</v>
      </c>
      <c r="I4276">
        <v>2.2778</v>
      </c>
      <c r="J4276">
        <v>453.36</v>
      </c>
      <c r="K4276">
        <v>199.034155764334</v>
      </c>
    </row>
    <row r="4277" spans="1:11" x14ac:dyDescent="0.25">
      <c r="A4277" t="s">
        <v>508</v>
      </c>
      <c r="B4277" t="s">
        <v>6714</v>
      </c>
      <c r="C4277" s="1">
        <v>41893</v>
      </c>
      <c r="D4277" s="1">
        <v>41900</v>
      </c>
      <c r="E4277">
        <v>3</v>
      </c>
      <c r="F4277" t="s">
        <v>278</v>
      </c>
      <c r="G4277" t="s">
        <v>16</v>
      </c>
      <c r="H4277" t="s">
        <v>6715</v>
      </c>
      <c r="I4277">
        <v>2.2967</v>
      </c>
      <c r="J4277">
        <v>39377.4</v>
      </c>
      <c r="K4277">
        <v>17145.208342404319</v>
      </c>
    </row>
    <row r="4278" spans="1:11" x14ac:dyDescent="0.25">
      <c r="A4278" t="s">
        <v>517</v>
      </c>
      <c r="B4278" t="s">
        <v>2184</v>
      </c>
      <c r="C4278" s="1">
        <v>41894</v>
      </c>
      <c r="D4278" s="1">
        <v>41905</v>
      </c>
      <c r="E4278">
        <v>7</v>
      </c>
      <c r="F4278" t="s">
        <v>311</v>
      </c>
      <c r="G4278" t="s">
        <v>16</v>
      </c>
      <c r="H4278" t="s">
        <v>3484</v>
      </c>
      <c r="I4278">
        <v>2.2879999999999998</v>
      </c>
      <c r="J4278">
        <v>7006.45</v>
      </c>
      <c r="K4278">
        <v>3062.2596153846152</v>
      </c>
    </row>
    <row r="4279" spans="1:11" x14ac:dyDescent="0.25">
      <c r="A4279" t="s">
        <v>1111</v>
      </c>
      <c r="B4279" t="s">
        <v>458</v>
      </c>
      <c r="C4279" s="1">
        <v>41941</v>
      </c>
      <c r="D4279" s="1">
        <v>41946</v>
      </c>
      <c r="E4279">
        <v>20492</v>
      </c>
      <c r="F4279" t="s">
        <v>301</v>
      </c>
      <c r="G4279" t="s">
        <v>16</v>
      </c>
      <c r="H4279" t="s">
        <v>6716</v>
      </c>
      <c r="I4279">
        <v>2.4868999999999999</v>
      </c>
      <c r="J4279">
        <v>251923.84</v>
      </c>
      <c r="K4279">
        <v>101300.34983312558</v>
      </c>
    </row>
    <row r="4280" spans="1:11" x14ac:dyDescent="0.25">
      <c r="A4280" t="s">
        <v>434</v>
      </c>
      <c r="B4280" t="s">
        <v>3485</v>
      </c>
      <c r="C4280" s="1">
        <v>41940</v>
      </c>
      <c r="D4280" s="1">
        <v>41946</v>
      </c>
      <c r="E4280">
        <v>20866</v>
      </c>
      <c r="F4280" t="s">
        <v>280</v>
      </c>
      <c r="G4280" t="s">
        <v>16</v>
      </c>
      <c r="H4280" t="s">
        <v>3486</v>
      </c>
      <c r="I4280">
        <v>2.5341</v>
      </c>
      <c r="J4280">
        <v>48076.95</v>
      </c>
      <c r="K4280">
        <v>18972.001894163608</v>
      </c>
    </row>
    <row r="4281" spans="1:11" x14ac:dyDescent="0.25">
      <c r="A4281" t="s">
        <v>1111</v>
      </c>
      <c r="B4281" t="s">
        <v>458</v>
      </c>
      <c r="C4281" s="1">
        <v>41941</v>
      </c>
      <c r="D4281" s="1">
        <v>41946</v>
      </c>
      <c r="E4281">
        <v>20492</v>
      </c>
      <c r="F4281" t="s">
        <v>301</v>
      </c>
      <c r="G4281" t="s">
        <v>16</v>
      </c>
      <c r="H4281" t="s">
        <v>3487</v>
      </c>
      <c r="I4281">
        <v>2.4868999999999999</v>
      </c>
      <c r="J4281">
        <v>24834.61</v>
      </c>
      <c r="K4281">
        <v>9986.1715388636458</v>
      </c>
    </row>
    <row r="4282" spans="1:11" x14ac:dyDescent="0.25">
      <c r="A4282" t="s">
        <v>1102</v>
      </c>
      <c r="B4282" t="s">
        <v>1103</v>
      </c>
      <c r="C4282" s="1">
        <v>41919</v>
      </c>
      <c r="D4282" s="1">
        <v>41923</v>
      </c>
      <c r="E4282">
        <v>19980</v>
      </c>
      <c r="F4282" t="s">
        <v>301</v>
      </c>
      <c r="G4282" t="s">
        <v>16</v>
      </c>
      <c r="H4282" t="s">
        <v>3488</v>
      </c>
      <c r="I4282">
        <v>2.4098000000000002</v>
      </c>
      <c r="J4282">
        <v>62550</v>
      </c>
      <c r="K4282">
        <v>25956.510913768776</v>
      </c>
    </row>
    <row r="4283" spans="1:11" x14ac:dyDescent="0.25">
      <c r="A4283" t="s">
        <v>1102</v>
      </c>
      <c r="B4283" t="s">
        <v>1103</v>
      </c>
      <c r="C4283" s="1">
        <v>41919</v>
      </c>
      <c r="D4283" s="1">
        <v>41923</v>
      </c>
      <c r="E4283">
        <v>19980</v>
      </c>
      <c r="F4283" t="s">
        <v>301</v>
      </c>
      <c r="G4283" t="s">
        <v>16</v>
      </c>
      <c r="H4283" t="s">
        <v>3489</v>
      </c>
      <c r="I4283">
        <v>2.4098000000000002</v>
      </c>
      <c r="J4283">
        <v>62550</v>
      </c>
      <c r="K4283">
        <v>25956.510913768776</v>
      </c>
    </row>
    <row r="4284" spans="1:11" x14ac:dyDescent="0.25">
      <c r="A4284" t="s">
        <v>337</v>
      </c>
      <c r="B4284" t="s">
        <v>1105</v>
      </c>
      <c r="C4284" s="1">
        <v>41919</v>
      </c>
      <c r="D4284" s="1">
        <v>41923</v>
      </c>
      <c r="E4284">
        <v>20192</v>
      </c>
      <c r="F4284" t="s">
        <v>311</v>
      </c>
      <c r="G4284" t="s">
        <v>16</v>
      </c>
      <c r="H4284" t="s">
        <v>3490</v>
      </c>
      <c r="I4284">
        <v>2.4098000000000002</v>
      </c>
      <c r="J4284">
        <v>732396.8</v>
      </c>
      <c r="K4284">
        <v>303924.30907129223</v>
      </c>
    </row>
    <row r="4285" spans="1:11" x14ac:dyDescent="0.25">
      <c r="A4285" t="s">
        <v>551</v>
      </c>
      <c r="B4285" t="s">
        <v>3491</v>
      </c>
      <c r="C4285" s="1">
        <v>41908</v>
      </c>
      <c r="D4285" s="1">
        <v>41934</v>
      </c>
      <c r="E4285">
        <v>6</v>
      </c>
      <c r="F4285" t="s">
        <v>278</v>
      </c>
      <c r="G4285" t="s">
        <v>16</v>
      </c>
      <c r="H4285" t="s">
        <v>3492</v>
      </c>
      <c r="I4285">
        <v>2.4085000000000001</v>
      </c>
      <c r="J4285">
        <v>32627.8</v>
      </c>
      <c r="K4285">
        <v>13546.937928171061</v>
      </c>
    </row>
    <row r="4286" spans="1:11" x14ac:dyDescent="0.25">
      <c r="A4286" t="s">
        <v>3493</v>
      </c>
      <c r="B4286" t="s">
        <v>3494</v>
      </c>
      <c r="C4286" s="1">
        <v>41920</v>
      </c>
      <c r="D4286" s="1">
        <v>41928</v>
      </c>
      <c r="E4286">
        <v>4</v>
      </c>
      <c r="F4286" t="s">
        <v>545</v>
      </c>
      <c r="G4286" t="s">
        <v>16</v>
      </c>
      <c r="H4286" t="s">
        <v>3495</v>
      </c>
      <c r="I4286">
        <v>2.4037999999999999</v>
      </c>
      <c r="J4286">
        <v>75770.14</v>
      </c>
      <c r="K4286">
        <v>31520.983442882105</v>
      </c>
    </row>
    <row r="4287" spans="1:11" x14ac:dyDescent="0.25">
      <c r="A4287" t="s">
        <v>337</v>
      </c>
      <c r="B4287" t="s">
        <v>1105</v>
      </c>
      <c r="C4287" s="1">
        <v>41925</v>
      </c>
      <c r="D4287" s="1">
        <v>41932</v>
      </c>
      <c r="E4287">
        <v>20192</v>
      </c>
      <c r="F4287" t="s">
        <v>311</v>
      </c>
      <c r="G4287" t="s">
        <v>16</v>
      </c>
      <c r="H4287" t="s">
        <v>6717</v>
      </c>
      <c r="I4287">
        <v>2.4102999999999999</v>
      </c>
      <c r="J4287">
        <v>468426.23999999999</v>
      </c>
      <c r="K4287">
        <v>194343.5422976393</v>
      </c>
    </row>
    <row r="4288" spans="1:11" x14ac:dyDescent="0.25">
      <c r="A4288" t="s">
        <v>469</v>
      </c>
      <c r="B4288" t="s">
        <v>3496</v>
      </c>
      <c r="C4288" s="1">
        <v>41932</v>
      </c>
      <c r="D4288" s="1">
        <v>41942</v>
      </c>
      <c r="E4288">
        <v>19878</v>
      </c>
      <c r="F4288" t="s">
        <v>318</v>
      </c>
      <c r="G4288" t="s">
        <v>16</v>
      </c>
      <c r="H4288" t="s">
        <v>3497</v>
      </c>
      <c r="I4288">
        <v>2.4477000000000002</v>
      </c>
      <c r="J4288">
        <v>96128.91</v>
      </c>
      <c r="K4288">
        <v>39273.158475303346</v>
      </c>
    </row>
    <row r="4289" spans="1:11" x14ac:dyDescent="0.25">
      <c r="A4289" t="s">
        <v>337</v>
      </c>
      <c r="B4289" t="s">
        <v>1105</v>
      </c>
      <c r="C4289" s="1">
        <v>41997</v>
      </c>
      <c r="D4289" s="1">
        <v>42016</v>
      </c>
      <c r="E4289">
        <v>20192</v>
      </c>
      <c r="F4289" t="s">
        <v>311</v>
      </c>
      <c r="G4289" t="s">
        <v>16</v>
      </c>
      <c r="H4289" t="s">
        <v>6718</v>
      </c>
      <c r="I4289">
        <v>2.6775000000000002</v>
      </c>
      <c r="J4289">
        <v>38454</v>
      </c>
      <c r="K4289">
        <v>14361.904761904761</v>
      </c>
    </row>
    <row r="4290" spans="1:11" x14ac:dyDescent="0.25">
      <c r="A4290" t="s">
        <v>1116</v>
      </c>
      <c r="B4290" t="s">
        <v>1117</v>
      </c>
      <c r="C4290" s="1">
        <v>41985</v>
      </c>
      <c r="D4290" s="1">
        <v>41990</v>
      </c>
      <c r="E4290">
        <v>21004</v>
      </c>
      <c r="F4290" t="s">
        <v>368</v>
      </c>
      <c r="G4290" t="s">
        <v>16</v>
      </c>
      <c r="H4290" t="s">
        <v>3498</v>
      </c>
      <c r="I4290">
        <v>2.6271</v>
      </c>
      <c r="J4290">
        <v>34011.410000000003</v>
      </c>
      <c r="K4290">
        <v>12946.370522629515</v>
      </c>
    </row>
    <row r="4291" spans="1:11" x14ac:dyDescent="0.25">
      <c r="A4291" t="s">
        <v>1116</v>
      </c>
      <c r="B4291" t="s">
        <v>1117</v>
      </c>
      <c r="C4291" s="1">
        <v>41985</v>
      </c>
      <c r="D4291" s="1">
        <v>41990</v>
      </c>
      <c r="E4291">
        <v>21004</v>
      </c>
      <c r="F4291" t="s">
        <v>368</v>
      </c>
      <c r="G4291" t="s">
        <v>16</v>
      </c>
      <c r="H4291" t="s">
        <v>3499</v>
      </c>
      <c r="I4291">
        <v>2.6271</v>
      </c>
      <c r="J4291">
        <v>45937.61</v>
      </c>
      <c r="K4291">
        <v>17486.053062312054</v>
      </c>
    </row>
    <row r="4292" spans="1:11" x14ac:dyDescent="0.25">
      <c r="A4292" t="s">
        <v>337</v>
      </c>
      <c r="B4292" t="s">
        <v>1105</v>
      </c>
      <c r="C4292" s="1">
        <v>41997</v>
      </c>
      <c r="D4292" s="1">
        <v>42018</v>
      </c>
      <c r="E4292">
        <v>20192</v>
      </c>
      <c r="F4292" t="s">
        <v>311</v>
      </c>
      <c r="G4292" t="s">
        <v>16</v>
      </c>
      <c r="H4292" t="s">
        <v>6719</v>
      </c>
      <c r="I4292">
        <v>2.6775000000000002</v>
      </c>
      <c r="J4292">
        <v>914940</v>
      </c>
      <c r="K4292">
        <v>341714.28571428574</v>
      </c>
    </row>
    <row r="4293" spans="1:11" x14ac:dyDescent="0.25">
      <c r="A4293" t="s">
        <v>2613</v>
      </c>
      <c r="B4293" t="s">
        <v>2614</v>
      </c>
      <c r="C4293" s="1">
        <v>41984</v>
      </c>
      <c r="D4293" s="1">
        <v>42015</v>
      </c>
      <c r="E4293">
        <v>105</v>
      </c>
      <c r="F4293" t="s">
        <v>301</v>
      </c>
      <c r="G4293" t="s">
        <v>16</v>
      </c>
      <c r="H4293" t="s">
        <v>3500</v>
      </c>
      <c r="I4293">
        <v>2.5931000000000002</v>
      </c>
      <c r="J4293">
        <v>13272</v>
      </c>
      <c r="K4293">
        <v>5118.1982954764571</v>
      </c>
    </row>
    <row r="4294" spans="1:11" x14ac:dyDescent="0.25">
      <c r="A4294" t="s">
        <v>1120</v>
      </c>
      <c r="B4294" t="s">
        <v>1121</v>
      </c>
      <c r="C4294" s="1">
        <v>42011</v>
      </c>
      <c r="D4294" s="1">
        <v>42014</v>
      </c>
      <c r="E4294">
        <v>21633</v>
      </c>
      <c r="F4294" t="s">
        <v>368</v>
      </c>
      <c r="G4294" t="s">
        <v>16</v>
      </c>
      <c r="H4294" t="s">
        <v>3501</v>
      </c>
      <c r="I4294">
        <v>2.7023000000000001</v>
      </c>
      <c r="J4294">
        <v>67814.259999999995</v>
      </c>
      <c r="K4294">
        <v>25095.015357288237</v>
      </c>
    </row>
    <row r="4295" spans="1:11" x14ac:dyDescent="0.25">
      <c r="A4295" t="s">
        <v>337</v>
      </c>
      <c r="B4295" t="s">
        <v>1105</v>
      </c>
      <c r="C4295" s="1">
        <v>42011</v>
      </c>
      <c r="D4295" s="1">
        <v>42017</v>
      </c>
      <c r="E4295">
        <v>20192</v>
      </c>
      <c r="F4295" t="s">
        <v>1255</v>
      </c>
      <c r="G4295" t="s">
        <v>16</v>
      </c>
      <c r="H4295" t="s">
        <v>6720</v>
      </c>
      <c r="I4295">
        <v>2.7023000000000001</v>
      </c>
      <c r="J4295">
        <v>389443.9</v>
      </c>
      <c r="K4295">
        <v>144115.71624172002</v>
      </c>
    </row>
    <row r="4296" spans="1:11" x14ac:dyDescent="0.25">
      <c r="A4296" t="s">
        <v>1116</v>
      </c>
      <c r="B4296" t="s">
        <v>1117</v>
      </c>
      <c r="C4296" s="1">
        <v>42010</v>
      </c>
      <c r="D4296" s="1">
        <v>42011</v>
      </c>
      <c r="E4296">
        <v>21004</v>
      </c>
      <c r="F4296" t="s">
        <v>368</v>
      </c>
      <c r="G4296" t="s">
        <v>16</v>
      </c>
      <c r="H4296" t="s">
        <v>6721</v>
      </c>
      <c r="I4296">
        <v>2.7107000000000001</v>
      </c>
      <c r="J4296">
        <v>35346.33</v>
      </c>
      <c r="K4296">
        <v>13039.558047736748</v>
      </c>
    </row>
    <row r="4297" spans="1:11" x14ac:dyDescent="0.25">
      <c r="A4297" t="s">
        <v>1102</v>
      </c>
      <c r="B4297" t="s">
        <v>1103</v>
      </c>
      <c r="C4297" s="1">
        <v>41970</v>
      </c>
      <c r="D4297" s="1">
        <v>41982</v>
      </c>
      <c r="E4297">
        <v>19980</v>
      </c>
      <c r="F4297" t="s">
        <v>301</v>
      </c>
      <c r="G4297" t="s">
        <v>16</v>
      </c>
      <c r="H4297" t="s">
        <v>6722</v>
      </c>
      <c r="I4297">
        <v>2.5103</v>
      </c>
      <c r="J4297">
        <v>28960</v>
      </c>
      <c r="K4297">
        <v>11536.469744652033</v>
      </c>
    </row>
    <row r="4298" spans="1:11" x14ac:dyDescent="0.25">
      <c r="A4298" t="s">
        <v>339</v>
      </c>
      <c r="B4298" t="s">
        <v>3502</v>
      </c>
      <c r="C4298" s="1">
        <v>42017</v>
      </c>
      <c r="D4298" s="1">
        <v>42024</v>
      </c>
      <c r="E4298">
        <v>22198</v>
      </c>
      <c r="F4298" t="s">
        <v>338</v>
      </c>
      <c r="G4298" t="s">
        <v>16</v>
      </c>
      <c r="H4298" t="s">
        <v>3503</v>
      </c>
      <c r="I4298">
        <v>2.6575000000000002</v>
      </c>
      <c r="J4298">
        <v>328059.90000000002</v>
      </c>
      <c r="K4298">
        <v>123446.81091251176</v>
      </c>
    </row>
    <row r="4299" spans="1:11" x14ac:dyDescent="0.25">
      <c r="A4299" t="s">
        <v>1072</v>
      </c>
      <c r="B4299" t="s">
        <v>1073</v>
      </c>
      <c r="C4299" s="1">
        <v>41992</v>
      </c>
      <c r="D4299" s="1">
        <v>42024</v>
      </c>
      <c r="E4299">
        <v>19972</v>
      </c>
      <c r="F4299" t="s">
        <v>368</v>
      </c>
      <c r="G4299" t="s">
        <v>16</v>
      </c>
      <c r="H4299" t="s">
        <v>6723</v>
      </c>
      <c r="I4299">
        <v>2.6676000000000002</v>
      </c>
      <c r="J4299">
        <v>29009.13</v>
      </c>
      <c r="K4299">
        <v>10874.61763382816</v>
      </c>
    </row>
    <row r="4300" spans="1:11" x14ac:dyDescent="0.25">
      <c r="A4300" t="s">
        <v>1102</v>
      </c>
      <c r="B4300" t="s">
        <v>1103</v>
      </c>
      <c r="C4300" s="1">
        <v>41985</v>
      </c>
      <c r="D4300" s="1">
        <v>41988</v>
      </c>
      <c r="E4300">
        <v>19980</v>
      </c>
      <c r="F4300" t="s">
        <v>301</v>
      </c>
      <c r="G4300" t="s">
        <v>16</v>
      </c>
      <c r="H4300" t="s">
        <v>6724</v>
      </c>
      <c r="I4300">
        <v>2.6271</v>
      </c>
      <c r="J4300">
        <v>22694.99</v>
      </c>
      <c r="K4300">
        <v>8638.799436641164</v>
      </c>
    </row>
    <row r="4301" spans="1:11" x14ac:dyDescent="0.25">
      <c r="A4301" t="s">
        <v>433</v>
      </c>
      <c r="B4301" t="s">
        <v>2627</v>
      </c>
      <c r="C4301" s="1">
        <v>41969</v>
      </c>
      <c r="D4301" s="1">
        <v>41974</v>
      </c>
      <c r="E4301">
        <v>20447</v>
      </c>
      <c r="F4301" t="s">
        <v>318</v>
      </c>
      <c r="G4301" t="s">
        <v>16</v>
      </c>
      <c r="H4301" t="s">
        <v>3504</v>
      </c>
      <c r="I4301">
        <v>2.5236999999999998</v>
      </c>
      <c r="J4301">
        <v>152726.65</v>
      </c>
      <c r="K4301">
        <v>60516.959226532475</v>
      </c>
    </row>
    <row r="4302" spans="1:11" x14ac:dyDescent="0.25">
      <c r="A4302" t="s">
        <v>1128</v>
      </c>
      <c r="B4302" t="s">
        <v>1129</v>
      </c>
      <c r="C4302" s="1">
        <v>41984</v>
      </c>
      <c r="D4302" s="1">
        <v>42003</v>
      </c>
      <c r="E4302">
        <v>19900</v>
      </c>
      <c r="F4302" t="s">
        <v>301</v>
      </c>
      <c r="G4302" t="s">
        <v>16</v>
      </c>
      <c r="H4302" t="s">
        <v>3505</v>
      </c>
      <c r="I4302">
        <v>2.5931000000000002</v>
      </c>
      <c r="J4302">
        <v>59723.99</v>
      </c>
      <c r="K4302">
        <v>23031.888473255949</v>
      </c>
    </row>
    <row r="4303" spans="1:11" x14ac:dyDescent="0.25">
      <c r="A4303" t="s">
        <v>2142</v>
      </c>
      <c r="B4303" t="s">
        <v>592</v>
      </c>
      <c r="C4303" s="1">
        <v>41984</v>
      </c>
      <c r="D4303" s="1">
        <v>42011</v>
      </c>
      <c r="E4303">
        <v>14</v>
      </c>
      <c r="F4303" t="s">
        <v>301</v>
      </c>
      <c r="G4303" t="s">
        <v>16</v>
      </c>
      <c r="H4303" t="s">
        <v>6725</v>
      </c>
      <c r="I4303">
        <v>2.5931000000000002</v>
      </c>
      <c r="J4303">
        <v>16590.009999999998</v>
      </c>
      <c r="K4303">
        <v>6397.7517257336776</v>
      </c>
    </row>
    <row r="4304" spans="1:11" x14ac:dyDescent="0.25">
      <c r="A4304" t="s">
        <v>1107</v>
      </c>
      <c r="B4304" t="s">
        <v>1108</v>
      </c>
      <c r="C4304" s="1">
        <v>41992</v>
      </c>
      <c r="D4304" s="1">
        <v>42016</v>
      </c>
      <c r="E4304">
        <v>2</v>
      </c>
      <c r="F4304" t="s">
        <v>368</v>
      </c>
      <c r="G4304" t="s">
        <v>16</v>
      </c>
      <c r="H4304" t="s">
        <v>1142</v>
      </c>
      <c r="I4304">
        <v>2.6676000000000002</v>
      </c>
      <c r="J4304">
        <v>15756.89</v>
      </c>
      <c r="K4304">
        <v>5906.7663817663815</v>
      </c>
    </row>
    <row r="4305" spans="1:11" x14ac:dyDescent="0.25">
      <c r="A4305" t="s">
        <v>1143</v>
      </c>
      <c r="B4305" t="s">
        <v>575</v>
      </c>
      <c r="C4305" s="1">
        <v>41982</v>
      </c>
      <c r="D4305" s="1">
        <v>41982</v>
      </c>
      <c r="E4305">
        <v>13</v>
      </c>
      <c r="F4305" t="s">
        <v>301</v>
      </c>
      <c r="G4305" t="s">
        <v>16</v>
      </c>
      <c r="H4305" t="s">
        <v>6726</v>
      </c>
      <c r="I4305">
        <v>2.5922999999999998</v>
      </c>
      <c r="J4305">
        <v>11366.41</v>
      </c>
      <c r="K4305">
        <v>4384.6815569185665</v>
      </c>
    </row>
    <row r="4306" spans="1:11" x14ac:dyDescent="0.25">
      <c r="A4306" t="s">
        <v>3506</v>
      </c>
      <c r="C4306" s="1">
        <v>42023</v>
      </c>
      <c r="D4306" s="1">
        <v>42025</v>
      </c>
      <c r="E4306">
        <v>22235</v>
      </c>
      <c r="F4306" t="s">
        <v>291</v>
      </c>
      <c r="G4306" t="s">
        <v>16</v>
      </c>
      <c r="H4306" t="s">
        <v>3507</v>
      </c>
      <c r="I4306">
        <v>2.6193</v>
      </c>
      <c r="J4306">
        <v>35</v>
      </c>
      <c r="K4306">
        <v>13.36234871912343</v>
      </c>
    </row>
    <row r="4307" spans="1:11" x14ac:dyDescent="0.25">
      <c r="A4307" t="s">
        <v>2134</v>
      </c>
      <c r="B4307" t="s">
        <v>2135</v>
      </c>
      <c r="C4307" s="1">
        <v>41975</v>
      </c>
      <c r="D4307" s="1">
        <v>41975</v>
      </c>
      <c r="E4307">
        <v>21</v>
      </c>
      <c r="F4307" t="s">
        <v>301</v>
      </c>
      <c r="G4307" t="s">
        <v>16</v>
      </c>
      <c r="H4307" t="s">
        <v>3508</v>
      </c>
      <c r="I4307">
        <v>2.5623999999999998</v>
      </c>
      <c r="J4307">
        <v>12520.81</v>
      </c>
      <c r="K4307">
        <v>4886.3604433343744</v>
      </c>
    </row>
    <row r="4308" spans="1:11" x14ac:dyDescent="0.25">
      <c r="A4308" t="s">
        <v>1123</v>
      </c>
      <c r="B4308" t="s">
        <v>1124</v>
      </c>
      <c r="C4308" s="1">
        <v>41971</v>
      </c>
      <c r="D4308" s="1">
        <v>41975</v>
      </c>
      <c r="E4308">
        <v>21159</v>
      </c>
      <c r="F4308" t="s">
        <v>368</v>
      </c>
      <c r="G4308" t="s">
        <v>16</v>
      </c>
      <c r="H4308" t="s">
        <v>6727</v>
      </c>
      <c r="I4308">
        <v>2.5065</v>
      </c>
      <c r="J4308">
        <v>60177.55</v>
      </c>
      <c r="K4308">
        <v>24008.597646120088</v>
      </c>
    </row>
    <row r="4309" spans="1:11" x14ac:dyDescent="0.25">
      <c r="A4309" t="s">
        <v>1123</v>
      </c>
      <c r="B4309" t="s">
        <v>1124</v>
      </c>
      <c r="C4309" s="1">
        <v>41972</v>
      </c>
      <c r="D4309" s="1">
        <v>41975</v>
      </c>
      <c r="E4309">
        <v>21159</v>
      </c>
      <c r="F4309" t="s">
        <v>368</v>
      </c>
      <c r="G4309" t="s">
        <v>16</v>
      </c>
      <c r="H4309" t="s">
        <v>3509</v>
      </c>
      <c r="I4309">
        <v>2.5600999999999998</v>
      </c>
      <c r="J4309">
        <v>61464.56</v>
      </c>
      <c r="K4309">
        <v>24008.655911878443</v>
      </c>
    </row>
    <row r="4310" spans="1:11" x14ac:dyDescent="0.25">
      <c r="A4310" t="s">
        <v>1116</v>
      </c>
      <c r="B4310" t="s">
        <v>1117</v>
      </c>
      <c r="C4310" s="1">
        <v>42023</v>
      </c>
      <c r="D4310" s="1">
        <v>42024</v>
      </c>
      <c r="E4310">
        <v>21004</v>
      </c>
      <c r="F4310" t="s">
        <v>368</v>
      </c>
      <c r="G4310" t="s">
        <v>16</v>
      </c>
      <c r="H4310" t="s">
        <v>6728</v>
      </c>
      <c r="I4310">
        <v>2.6193</v>
      </c>
      <c r="J4310">
        <v>43361.599999999999</v>
      </c>
      <c r="K4310">
        <v>16554.652006261214</v>
      </c>
    </row>
    <row r="4311" spans="1:11" x14ac:dyDescent="0.25">
      <c r="A4311" t="s">
        <v>1116</v>
      </c>
      <c r="B4311" t="s">
        <v>1117</v>
      </c>
      <c r="C4311" s="1">
        <v>42023</v>
      </c>
      <c r="D4311" s="1">
        <v>42024</v>
      </c>
      <c r="E4311">
        <v>21004</v>
      </c>
      <c r="F4311" t="s">
        <v>368</v>
      </c>
      <c r="G4311" t="s">
        <v>16</v>
      </c>
      <c r="H4311" t="s">
        <v>3510</v>
      </c>
      <c r="I4311">
        <v>2.6193</v>
      </c>
      <c r="J4311">
        <v>43226.07</v>
      </c>
      <c r="K4311">
        <v>16502.909174206849</v>
      </c>
    </row>
    <row r="4312" spans="1:11" x14ac:dyDescent="0.25">
      <c r="A4312" t="s">
        <v>1102</v>
      </c>
      <c r="B4312" t="s">
        <v>1103</v>
      </c>
      <c r="C4312" s="1">
        <v>41985</v>
      </c>
      <c r="D4312" s="1">
        <v>41990</v>
      </c>
      <c r="E4312">
        <v>19980</v>
      </c>
      <c r="F4312" t="s">
        <v>301</v>
      </c>
      <c r="G4312" t="s">
        <v>16</v>
      </c>
      <c r="H4312" t="s">
        <v>3511</v>
      </c>
      <c r="I4312">
        <v>2.6271</v>
      </c>
      <c r="J4312">
        <v>68085</v>
      </c>
      <c r="K4312">
        <v>25916.40972935937</v>
      </c>
    </row>
    <row r="4313" spans="1:11" x14ac:dyDescent="0.25">
      <c r="A4313" t="s">
        <v>1145</v>
      </c>
      <c r="B4313" t="s">
        <v>1146</v>
      </c>
      <c r="C4313" s="1">
        <v>42040</v>
      </c>
      <c r="D4313" s="1">
        <v>42041</v>
      </c>
      <c r="E4313">
        <v>21007</v>
      </c>
      <c r="F4313" t="s">
        <v>368</v>
      </c>
      <c r="G4313" t="s">
        <v>16</v>
      </c>
      <c r="H4313" t="s">
        <v>3512</v>
      </c>
      <c r="I4313">
        <v>2.7147999999999999</v>
      </c>
      <c r="J4313">
        <v>47512.44</v>
      </c>
      <c r="K4313">
        <v>17501.26712833358</v>
      </c>
    </row>
    <row r="4314" spans="1:11" x14ac:dyDescent="0.25">
      <c r="A4314" t="s">
        <v>3513</v>
      </c>
      <c r="C4314" s="1">
        <v>42031</v>
      </c>
      <c r="D4314" s="1">
        <v>42032</v>
      </c>
      <c r="E4314">
        <v>22383</v>
      </c>
      <c r="F4314" t="s">
        <v>291</v>
      </c>
      <c r="G4314" t="s">
        <v>16</v>
      </c>
      <c r="H4314" t="s">
        <v>3514</v>
      </c>
      <c r="I4314">
        <v>2.5966</v>
      </c>
      <c r="J4314">
        <v>76</v>
      </c>
      <c r="K4314">
        <v>29.269044134637603</v>
      </c>
    </row>
    <row r="4315" spans="1:11" x14ac:dyDescent="0.25">
      <c r="A4315" t="s">
        <v>6729</v>
      </c>
      <c r="C4315" s="1">
        <v>42040</v>
      </c>
      <c r="D4315" s="1">
        <v>42043</v>
      </c>
      <c r="E4315">
        <v>785</v>
      </c>
      <c r="F4315" t="s">
        <v>329</v>
      </c>
      <c r="G4315" t="s">
        <v>16</v>
      </c>
      <c r="H4315" t="s">
        <v>6730</v>
      </c>
      <c r="I4315">
        <v>2.7147999999999999</v>
      </c>
      <c r="J4315">
        <v>274.91000000000003</v>
      </c>
      <c r="K4315">
        <v>101.26344482098129</v>
      </c>
    </row>
    <row r="4316" spans="1:11" x14ac:dyDescent="0.25">
      <c r="A4316" t="s">
        <v>1145</v>
      </c>
      <c r="B4316" t="s">
        <v>1146</v>
      </c>
      <c r="C4316" s="1">
        <v>42045</v>
      </c>
      <c r="D4316" s="1">
        <v>42047</v>
      </c>
      <c r="E4316">
        <v>21007</v>
      </c>
      <c r="F4316" t="s">
        <v>368</v>
      </c>
      <c r="G4316" t="s">
        <v>16</v>
      </c>
      <c r="H4316" t="s">
        <v>3515</v>
      </c>
      <c r="I4316">
        <v>2.7873000000000001</v>
      </c>
      <c r="J4316">
        <v>34994.129999999997</v>
      </c>
      <c r="K4316">
        <v>12554.848778387686</v>
      </c>
    </row>
    <row r="4317" spans="1:11" x14ac:dyDescent="0.25">
      <c r="A4317" t="s">
        <v>1145</v>
      </c>
      <c r="B4317" t="s">
        <v>1146</v>
      </c>
      <c r="C4317" s="1">
        <v>42045</v>
      </c>
      <c r="D4317" s="1">
        <v>42047</v>
      </c>
      <c r="E4317">
        <v>21007</v>
      </c>
      <c r="F4317" t="s">
        <v>368</v>
      </c>
      <c r="G4317" t="s">
        <v>16</v>
      </c>
      <c r="H4317" t="s">
        <v>3516</v>
      </c>
      <c r="I4317">
        <v>2.7873000000000001</v>
      </c>
      <c r="J4317">
        <v>34937.269999999997</v>
      </c>
      <c r="K4317">
        <v>12534.449108456212</v>
      </c>
    </row>
    <row r="4318" spans="1:11" x14ac:dyDescent="0.25">
      <c r="A4318" t="s">
        <v>445</v>
      </c>
      <c r="B4318" t="s">
        <v>1685</v>
      </c>
      <c r="C4318" s="1">
        <v>42054</v>
      </c>
      <c r="D4318" s="1">
        <v>42059</v>
      </c>
      <c r="E4318">
        <v>22321</v>
      </c>
      <c r="F4318" t="s">
        <v>309</v>
      </c>
      <c r="G4318" t="s">
        <v>16</v>
      </c>
      <c r="H4318" t="s">
        <v>6731</v>
      </c>
      <c r="I4318">
        <v>2.843</v>
      </c>
      <c r="J4318">
        <v>26661.05</v>
      </c>
      <c r="K4318">
        <v>9377.7875483644038</v>
      </c>
    </row>
    <row r="4319" spans="1:11" x14ac:dyDescent="0.25">
      <c r="A4319" t="s">
        <v>445</v>
      </c>
      <c r="B4319" t="s">
        <v>1685</v>
      </c>
      <c r="C4319" s="1">
        <v>42053</v>
      </c>
      <c r="D4319" s="1">
        <v>42059</v>
      </c>
      <c r="E4319">
        <v>22321</v>
      </c>
      <c r="F4319" t="s">
        <v>309</v>
      </c>
      <c r="G4319" t="s">
        <v>16</v>
      </c>
      <c r="H4319" t="s">
        <v>3517</v>
      </c>
      <c r="I4319">
        <v>2.8391999999999999</v>
      </c>
      <c r="J4319">
        <v>27142.61</v>
      </c>
      <c r="K4319">
        <v>9559.949985911524</v>
      </c>
    </row>
    <row r="4320" spans="1:11" x14ac:dyDescent="0.25">
      <c r="A4320" t="s">
        <v>3518</v>
      </c>
      <c r="C4320" s="1">
        <v>42031</v>
      </c>
      <c r="D4320" s="1">
        <v>42037</v>
      </c>
      <c r="E4320">
        <v>210</v>
      </c>
      <c r="F4320" t="s">
        <v>519</v>
      </c>
      <c r="G4320" t="s">
        <v>16</v>
      </c>
      <c r="H4320" t="s">
        <v>3519</v>
      </c>
      <c r="I4320">
        <v>2.5966</v>
      </c>
      <c r="J4320">
        <v>341.1</v>
      </c>
      <c r="K4320">
        <v>131.36409150427482</v>
      </c>
    </row>
    <row r="4321" spans="1:11" x14ac:dyDescent="0.25">
      <c r="A4321" t="s">
        <v>1116</v>
      </c>
      <c r="B4321" t="s">
        <v>1117</v>
      </c>
      <c r="C4321" s="1">
        <v>42026</v>
      </c>
      <c r="D4321" s="1">
        <v>42027</v>
      </c>
      <c r="E4321">
        <v>21004</v>
      </c>
      <c r="F4321" t="s">
        <v>368</v>
      </c>
      <c r="G4321" t="s">
        <v>16</v>
      </c>
      <c r="H4321" t="s">
        <v>3520</v>
      </c>
      <c r="I4321">
        <v>2.5968</v>
      </c>
      <c r="J4321">
        <v>34066.99</v>
      </c>
      <c r="K4321">
        <v>13118.83471965496</v>
      </c>
    </row>
    <row r="4322" spans="1:11" x14ac:dyDescent="0.25">
      <c r="A4322" t="s">
        <v>1116</v>
      </c>
      <c r="B4322" t="s">
        <v>1117</v>
      </c>
      <c r="C4322" s="1">
        <v>42037</v>
      </c>
      <c r="D4322" s="1">
        <v>42039</v>
      </c>
      <c r="E4322">
        <v>21004</v>
      </c>
      <c r="F4322" t="s">
        <v>368</v>
      </c>
      <c r="G4322" t="s">
        <v>16</v>
      </c>
      <c r="H4322" t="s">
        <v>6732</v>
      </c>
      <c r="I4322">
        <v>2.6623000000000001</v>
      </c>
      <c r="J4322">
        <v>33952.879999999997</v>
      </c>
      <c r="K4322">
        <v>12753.213386921083</v>
      </c>
    </row>
    <row r="4323" spans="1:11" x14ac:dyDescent="0.25">
      <c r="A4323" t="s">
        <v>423</v>
      </c>
      <c r="B4323" t="s">
        <v>1160</v>
      </c>
      <c r="C4323" s="1">
        <v>42051</v>
      </c>
      <c r="D4323" s="1">
        <v>42052</v>
      </c>
      <c r="E4323">
        <v>22776</v>
      </c>
      <c r="F4323" t="s">
        <v>368</v>
      </c>
      <c r="G4323" t="s">
        <v>16</v>
      </c>
      <c r="H4323" t="s">
        <v>3521</v>
      </c>
      <c r="I4323">
        <v>2.8391999999999999</v>
      </c>
      <c r="J4323">
        <v>33417.120000000003</v>
      </c>
      <c r="K4323">
        <v>11769.907016060863</v>
      </c>
    </row>
    <row r="4324" spans="1:11" x14ac:dyDescent="0.25">
      <c r="A4324" t="s">
        <v>369</v>
      </c>
      <c r="B4324" t="s">
        <v>1153</v>
      </c>
      <c r="C4324" s="1">
        <v>42055</v>
      </c>
      <c r="D4324" s="1">
        <v>42056</v>
      </c>
      <c r="E4324">
        <v>22709</v>
      </c>
      <c r="F4324" t="s">
        <v>368</v>
      </c>
      <c r="G4324" t="s">
        <v>16</v>
      </c>
      <c r="H4324" t="s">
        <v>6733</v>
      </c>
      <c r="I4324">
        <v>2.8544999999999998</v>
      </c>
      <c r="J4324">
        <v>50717.99</v>
      </c>
      <c r="K4324">
        <v>17767.731651777896</v>
      </c>
    </row>
    <row r="4325" spans="1:11" x14ac:dyDescent="0.25">
      <c r="A4325" t="s">
        <v>423</v>
      </c>
      <c r="B4325" t="s">
        <v>1160</v>
      </c>
      <c r="C4325" s="1">
        <v>42057</v>
      </c>
      <c r="D4325" s="1">
        <v>42058</v>
      </c>
      <c r="E4325">
        <v>22776</v>
      </c>
      <c r="F4325" t="s">
        <v>368</v>
      </c>
      <c r="G4325" t="s">
        <v>16</v>
      </c>
      <c r="H4325" t="s">
        <v>6734</v>
      </c>
      <c r="I4325">
        <v>2.8700999999999999</v>
      </c>
      <c r="J4325">
        <v>35878.730000000003</v>
      </c>
      <c r="K4325">
        <v>12500.864081390891</v>
      </c>
    </row>
    <row r="4326" spans="1:11" x14ac:dyDescent="0.25">
      <c r="A4326" t="s">
        <v>1145</v>
      </c>
      <c r="B4326" t="s">
        <v>1146</v>
      </c>
      <c r="C4326" s="1">
        <v>42044</v>
      </c>
      <c r="D4326" s="1">
        <v>42046</v>
      </c>
      <c r="E4326">
        <v>21007</v>
      </c>
      <c r="F4326" t="s">
        <v>368</v>
      </c>
      <c r="G4326" t="s">
        <v>16</v>
      </c>
      <c r="H4326" t="s">
        <v>6735</v>
      </c>
      <c r="I4326">
        <v>2.7641</v>
      </c>
      <c r="J4326">
        <v>34646.44</v>
      </c>
      <c r="K4326">
        <v>12534.437972576969</v>
      </c>
    </row>
    <row r="4327" spans="1:11" x14ac:dyDescent="0.25">
      <c r="A4327" t="s">
        <v>1116</v>
      </c>
      <c r="B4327" t="s">
        <v>1117</v>
      </c>
      <c r="C4327" s="1">
        <v>42025</v>
      </c>
      <c r="D4327" s="1">
        <v>42026</v>
      </c>
      <c r="E4327">
        <v>21004</v>
      </c>
      <c r="F4327" t="s">
        <v>368</v>
      </c>
      <c r="G4327" t="s">
        <v>16</v>
      </c>
      <c r="H4327" t="s">
        <v>3522</v>
      </c>
      <c r="I4327">
        <v>2.6246999999999998</v>
      </c>
      <c r="J4327">
        <v>34360.61</v>
      </c>
      <c r="K4327">
        <v>13091.25233360003</v>
      </c>
    </row>
    <row r="4328" spans="1:11" x14ac:dyDescent="0.25">
      <c r="A4328" t="s">
        <v>1116</v>
      </c>
      <c r="B4328" t="s">
        <v>1117</v>
      </c>
      <c r="C4328" s="1">
        <v>42025</v>
      </c>
      <c r="D4328" s="1">
        <v>42026</v>
      </c>
      <c r="E4328">
        <v>21004</v>
      </c>
      <c r="F4328" t="s">
        <v>368</v>
      </c>
      <c r="G4328" t="s">
        <v>16</v>
      </c>
      <c r="H4328" t="s">
        <v>3523</v>
      </c>
      <c r="I4328">
        <v>2.6246999999999998</v>
      </c>
      <c r="J4328">
        <v>46520.38</v>
      </c>
      <c r="K4328">
        <v>17724.075132396083</v>
      </c>
    </row>
    <row r="4329" spans="1:11" x14ac:dyDescent="0.25">
      <c r="A4329" t="s">
        <v>6736</v>
      </c>
      <c r="C4329" s="1">
        <v>42027</v>
      </c>
      <c r="D4329" s="1">
        <v>42030</v>
      </c>
      <c r="E4329">
        <v>22334</v>
      </c>
      <c r="F4329" t="s">
        <v>289</v>
      </c>
      <c r="G4329" t="s">
        <v>16</v>
      </c>
      <c r="H4329" t="s">
        <v>6737</v>
      </c>
      <c r="I4329">
        <v>2.5754000000000001</v>
      </c>
      <c r="J4329">
        <v>55.45</v>
      </c>
      <c r="K4329">
        <v>21.530636017705987</v>
      </c>
    </row>
    <row r="4330" spans="1:11" x14ac:dyDescent="0.25">
      <c r="A4330" t="s">
        <v>1116</v>
      </c>
      <c r="B4330" t="s">
        <v>1117</v>
      </c>
      <c r="C4330" s="1">
        <v>42027</v>
      </c>
      <c r="D4330" s="1">
        <v>42028</v>
      </c>
      <c r="E4330">
        <v>21004</v>
      </c>
      <c r="F4330" t="s">
        <v>368</v>
      </c>
      <c r="G4330" t="s">
        <v>16</v>
      </c>
      <c r="H4330" t="s">
        <v>3524</v>
      </c>
      <c r="I4330">
        <v>2.5754000000000001</v>
      </c>
      <c r="J4330">
        <v>45193.39</v>
      </c>
      <c r="K4330">
        <v>17548.105148714763</v>
      </c>
    </row>
    <row r="4331" spans="1:11" x14ac:dyDescent="0.25">
      <c r="A4331" t="s">
        <v>550</v>
      </c>
      <c r="B4331" t="s">
        <v>6738</v>
      </c>
      <c r="C4331" s="1">
        <v>42018</v>
      </c>
      <c r="D4331" s="1">
        <v>42027</v>
      </c>
      <c r="E4331">
        <v>271</v>
      </c>
      <c r="F4331" t="s">
        <v>311</v>
      </c>
      <c r="G4331" t="s">
        <v>16</v>
      </c>
      <c r="H4331" t="s">
        <v>6739</v>
      </c>
      <c r="I4331">
        <v>2.6484999999999999</v>
      </c>
      <c r="J4331">
        <v>7625.95</v>
      </c>
      <c r="K4331">
        <v>2879.3468000755142</v>
      </c>
    </row>
    <row r="4332" spans="1:11" x14ac:dyDescent="0.25">
      <c r="A4332" t="s">
        <v>1145</v>
      </c>
      <c r="B4332" t="s">
        <v>1146</v>
      </c>
      <c r="C4332" s="1">
        <v>42043</v>
      </c>
      <c r="D4332" s="1">
        <v>42045</v>
      </c>
      <c r="E4332">
        <v>21007</v>
      </c>
      <c r="F4332" t="s">
        <v>368</v>
      </c>
      <c r="G4332" t="s">
        <v>16</v>
      </c>
      <c r="H4332" t="s">
        <v>6740</v>
      </c>
      <c r="I4332">
        <v>2.7641</v>
      </c>
      <c r="J4332">
        <v>34665.24</v>
      </c>
      <c r="K4332">
        <v>12541.239463116384</v>
      </c>
    </row>
    <row r="4333" spans="1:11" x14ac:dyDescent="0.25">
      <c r="A4333" t="s">
        <v>1145</v>
      </c>
      <c r="B4333" t="s">
        <v>1146</v>
      </c>
      <c r="C4333" s="1">
        <v>42043</v>
      </c>
      <c r="D4333" s="1">
        <v>42045</v>
      </c>
      <c r="E4333">
        <v>21007</v>
      </c>
      <c r="F4333" t="s">
        <v>368</v>
      </c>
      <c r="G4333" t="s">
        <v>16</v>
      </c>
      <c r="H4333" t="s">
        <v>3525</v>
      </c>
      <c r="I4333">
        <v>2.7641</v>
      </c>
      <c r="J4333">
        <v>46439.58</v>
      </c>
      <c r="K4333">
        <v>16800.976809811513</v>
      </c>
    </row>
    <row r="4334" spans="1:11" x14ac:dyDescent="0.25">
      <c r="A4334" t="s">
        <v>1116</v>
      </c>
      <c r="B4334" t="s">
        <v>1117</v>
      </c>
      <c r="C4334" s="1">
        <v>42026</v>
      </c>
      <c r="D4334" s="1">
        <v>42028</v>
      </c>
      <c r="E4334">
        <v>21004</v>
      </c>
      <c r="F4334" t="s">
        <v>368</v>
      </c>
      <c r="G4334" t="s">
        <v>16</v>
      </c>
      <c r="H4334" t="s">
        <v>3526</v>
      </c>
      <c r="I4334">
        <v>2.5968</v>
      </c>
      <c r="J4334">
        <v>34165.53</v>
      </c>
      <c r="K4334">
        <v>13156.781423290204</v>
      </c>
    </row>
    <row r="4335" spans="1:11" x14ac:dyDescent="0.25">
      <c r="A4335" t="s">
        <v>1137</v>
      </c>
      <c r="B4335" t="s">
        <v>1138</v>
      </c>
      <c r="C4335" s="1">
        <v>42084</v>
      </c>
      <c r="D4335" s="1">
        <v>42087</v>
      </c>
      <c r="E4335">
        <v>20065</v>
      </c>
      <c r="F4335" t="s">
        <v>368</v>
      </c>
      <c r="G4335" t="s">
        <v>16</v>
      </c>
      <c r="H4335" t="s">
        <v>6741</v>
      </c>
      <c r="I4335">
        <v>3.2423000000000002</v>
      </c>
      <c r="J4335">
        <v>44538.27</v>
      </c>
      <c r="K4335">
        <v>13736.628319402893</v>
      </c>
    </row>
    <row r="4336" spans="1:11" x14ac:dyDescent="0.25">
      <c r="A4336" t="s">
        <v>342</v>
      </c>
      <c r="B4336" t="s">
        <v>1169</v>
      </c>
      <c r="C4336" s="1">
        <v>42090</v>
      </c>
      <c r="D4336" s="1">
        <v>42095</v>
      </c>
      <c r="E4336">
        <v>2</v>
      </c>
      <c r="F4336" t="s">
        <v>301</v>
      </c>
      <c r="G4336" t="s">
        <v>16</v>
      </c>
      <c r="H4336" t="s">
        <v>3527</v>
      </c>
      <c r="I4336">
        <v>3.1915</v>
      </c>
      <c r="J4336">
        <v>79830.009999999995</v>
      </c>
      <c r="K4336">
        <v>25013.319755600816</v>
      </c>
    </row>
    <row r="4337" spans="1:11" x14ac:dyDescent="0.25">
      <c r="A4337" t="s">
        <v>342</v>
      </c>
      <c r="B4337" t="s">
        <v>1169</v>
      </c>
      <c r="C4337" s="1">
        <v>42090</v>
      </c>
      <c r="D4337" s="1">
        <v>42095</v>
      </c>
      <c r="E4337">
        <v>2</v>
      </c>
      <c r="F4337" t="s">
        <v>301</v>
      </c>
      <c r="G4337" t="s">
        <v>16</v>
      </c>
      <c r="H4337" t="s">
        <v>6742</v>
      </c>
      <c r="I4337">
        <v>3.1915</v>
      </c>
      <c r="J4337">
        <v>79830.009999999995</v>
      </c>
      <c r="K4337">
        <v>25013.319755600816</v>
      </c>
    </row>
    <row r="4338" spans="1:11" x14ac:dyDescent="0.25">
      <c r="A4338" t="s">
        <v>423</v>
      </c>
      <c r="B4338" t="s">
        <v>1160</v>
      </c>
      <c r="C4338" s="1">
        <v>42070</v>
      </c>
      <c r="D4338" s="1">
        <v>42073</v>
      </c>
      <c r="E4338">
        <v>22776</v>
      </c>
      <c r="F4338" t="s">
        <v>368</v>
      </c>
      <c r="G4338" t="s">
        <v>16</v>
      </c>
      <c r="H4338" t="s">
        <v>3528</v>
      </c>
      <c r="I4338">
        <v>3.0366</v>
      </c>
      <c r="J4338">
        <v>30847.29</v>
      </c>
      <c r="K4338">
        <v>10158.496344595929</v>
      </c>
    </row>
    <row r="4339" spans="1:11" x14ac:dyDescent="0.25">
      <c r="A4339" t="s">
        <v>1175</v>
      </c>
      <c r="B4339" t="s">
        <v>1176</v>
      </c>
      <c r="C4339" s="1">
        <v>42082</v>
      </c>
      <c r="D4339" s="1">
        <v>42087</v>
      </c>
      <c r="E4339">
        <v>20066</v>
      </c>
      <c r="F4339" t="s">
        <v>368</v>
      </c>
      <c r="G4339" t="s">
        <v>16</v>
      </c>
      <c r="H4339" t="s">
        <v>6743</v>
      </c>
      <c r="I4339">
        <v>3.2517999999999998</v>
      </c>
      <c r="J4339">
        <v>40903.870000000003</v>
      </c>
      <c r="K4339">
        <v>12578.83941201796</v>
      </c>
    </row>
    <row r="4340" spans="1:11" x14ac:dyDescent="0.25">
      <c r="A4340" t="s">
        <v>423</v>
      </c>
      <c r="B4340" t="s">
        <v>1160</v>
      </c>
      <c r="C4340" s="1">
        <v>42057</v>
      </c>
      <c r="D4340" s="1">
        <v>42066</v>
      </c>
      <c r="E4340">
        <v>22776</v>
      </c>
      <c r="F4340" t="s">
        <v>368</v>
      </c>
      <c r="G4340" t="s">
        <v>16</v>
      </c>
      <c r="H4340" t="s">
        <v>1868</v>
      </c>
      <c r="I4340">
        <v>2.8700999999999999</v>
      </c>
      <c r="J4340">
        <v>48104.99</v>
      </c>
      <c r="K4340">
        <v>16760.736559701752</v>
      </c>
    </row>
    <row r="4341" spans="1:11" x14ac:dyDescent="0.25">
      <c r="A4341" t="s">
        <v>1137</v>
      </c>
      <c r="B4341" t="s">
        <v>1138</v>
      </c>
      <c r="C4341" s="1">
        <v>42070</v>
      </c>
      <c r="D4341" s="1">
        <v>42076</v>
      </c>
      <c r="E4341">
        <v>20065</v>
      </c>
      <c r="F4341" t="s">
        <v>368</v>
      </c>
      <c r="G4341" t="s">
        <v>16</v>
      </c>
      <c r="H4341" t="s">
        <v>3529</v>
      </c>
      <c r="I4341">
        <v>3.0366</v>
      </c>
      <c r="J4341">
        <v>1696.99</v>
      </c>
      <c r="K4341">
        <v>558.84541921886319</v>
      </c>
    </row>
    <row r="4342" spans="1:11" x14ac:dyDescent="0.25">
      <c r="A4342" t="s">
        <v>1137</v>
      </c>
      <c r="B4342" t="s">
        <v>1138</v>
      </c>
      <c r="C4342" s="1">
        <v>42067</v>
      </c>
      <c r="D4342" s="1">
        <v>42076</v>
      </c>
      <c r="E4342">
        <v>20065</v>
      </c>
      <c r="F4342" t="s">
        <v>368</v>
      </c>
      <c r="G4342" t="s">
        <v>16</v>
      </c>
      <c r="H4342" t="s">
        <v>6744</v>
      </c>
      <c r="I4342">
        <v>2.9051</v>
      </c>
      <c r="J4342">
        <v>49937.43</v>
      </c>
      <c r="K4342">
        <v>17189.573508657188</v>
      </c>
    </row>
    <row r="4343" spans="1:11" x14ac:dyDescent="0.25">
      <c r="A4343" t="s">
        <v>445</v>
      </c>
      <c r="B4343" t="s">
        <v>1685</v>
      </c>
      <c r="C4343" s="1">
        <v>42065</v>
      </c>
      <c r="D4343" s="1">
        <v>42076</v>
      </c>
      <c r="E4343">
        <v>22321</v>
      </c>
      <c r="F4343" t="s">
        <v>309</v>
      </c>
      <c r="G4343" t="s">
        <v>16</v>
      </c>
      <c r="H4343" t="s">
        <v>6745</v>
      </c>
      <c r="I4343">
        <v>2.8782000000000001</v>
      </c>
      <c r="J4343">
        <v>25566.59</v>
      </c>
      <c r="K4343">
        <v>8882.8399694253349</v>
      </c>
    </row>
    <row r="4344" spans="1:11" x14ac:dyDescent="0.25">
      <c r="A4344" t="s">
        <v>445</v>
      </c>
      <c r="B4344" t="s">
        <v>1685</v>
      </c>
      <c r="C4344" s="1">
        <v>42065</v>
      </c>
      <c r="D4344" s="1">
        <v>42076</v>
      </c>
      <c r="E4344">
        <v>22321</v>
      </c>
      <c r="F4344" t="s">
        <v>309</v>
      </c>
      <c r="G4344" t="s">
        <v>16</v>
      </c>
      <c r="H4344" t="s">
        <v>6746</v>
      </c>
      <c r="I4344">
        <v>2.8782000000000001</v>
      </c>
      <c r="J4344">
        <v>25829.26</v>
      </c>
      <c r="K4344">
        <v>8974.1018692238213</v>
      </c>
    </row>
    <row r="4345" spans="1:11" x14ac:dyDescent="0.25">
      <c r="A4345" t="s">
        <v>310</v>
      </c>
      <c r="B4345" t="s">
        <v>6747</v>
      </c>
      <c r="C4345" s="1">
        <v>42102</v>
      </c>
      <c r="D4345" s="1">
        <v>42107</v>
      </c>
      <c r="E4345">
        <v>23617</v>
      </c>
      <c r="F4345" t="s">
        <v>309</v>
      </c>
      <c r="G4345" t="s">
        <v>16</v>
      </c>
      <c r="H4345" t="s">
        <v>6748</v>
      </c>
      <c r="I4345">
        <v>3.1231</v>
      </c>
      <c r="J4345">
        <v>22892.65</v>
      </c>
      <c r="K4345">
        <v>7330.1047036598247</v>
      </c>
    </row>
    <row r="4346" spans="1:11" x14ac:dyDescent="0.25">
      <c r="A4346" t="s">
        <v>3530</v>
      </c>
      <c r="C4346" s="1">
        <v>42111</v>
      </c>
      <c r="D4346" s="1">
        <v>42113</v>
      </c>
      <c r="E4346">
        <v>895</v>
      </c>
      <c r="F4346" t="s">
        <v>519</v>
      </c>
      <c r="G4346" t="s">
        <v>16</v>
      </c>
      <c r="H4346" t="s">
        <v>3531</v>
      </c>
      <c r="I4346">
        <v>3.0249000000000001</v>
      </c>
      <c r="J4346">
        <v>746.81</v>
      </c>
      <c r="K4346">
        <v>246.88750041323681</v>
      </c>
    </row>
    <row r="4347" spans="1:11" x14ac:dyDescent="0.25">
      <c r="A4347" t="s">
        <v>425</v>
      </c>
      <c r="B4347" t="s">
        <v>6749</v>
      </c>
      <c r="C4347" s="1">
        <v>42089</v>
      </c>
      <c r="D4347" s="1">
        <v>42102</v>
      </c>
      <c r="E4347">
        <v>23549</v>
      </c>
      <c r="F4347" t="s">
        <v>309</v>
      </c>
      <c r="G4347" t="s">
        <v>16</v>
      </c>
      <c r="H4347" t="s">
        <v>5908</v>
      </c>
      <c r="I4347">
        <v>3.1476000000000002</v>
      </c>
      <c r="J4347">
        <v>36036</v>
      </c>
      <c r="K4347">
        <v>11448.722836446817</v>
      </c>
    </row>
    <row r="4348" spans="1:11" x14ac:dyDescent="0.25">
      <c r="A4348" t="s">
        <v>568</v>
      </c>
      <c r="B4348" t="s">
        <v>3532</v>
      </c>
      <c r="C4348" s="1">
        <v>42090</v>
      </c>
      <c r="D4348" s="1">
        <v>42107</v>
      </c>
      <c r="E4348">
        <v>2</v>
      </c>
      <c r="F4348" t="s">
        <v>301</v>
      </c>
      <c r="G4348" t="s">
        <v>16</v>
      </c>
      <c r="H4348" t="s">
        <v>3533</v>
      </c>
      <c r="I4348">
        <v>3.1915</v>
      </c>
      <c r="J4348">
        <v>80280.009999999995</v>
      </c>
      <c r="K4348">
        <v>25154.319285602382</v>
      </c>
    </row>
    <row r="4349" spans="1:11" x14ac:dyDescent="0.25">
      <c r="A4349" t="s">
        <v>463</v>
      </c>
      <c r="B4349" t="s">
        <v>1185</v>
      </c>
      <c r="C4349" s="1">
        <v>42090</v>
      </c>
      <c r="D4349" s="1">
        <v>42101</v>
      </c>
      <c r="E4349">
        <v>2</v>
      </c>
      <c r="F4349" t="s">
        <v>301</v>
      </c>
      <c r="G4349" t="s">
        <v>16</v>
      </c>
      <c r="H4349" t="s">
        <v>6750</v>
      </c>
      <c r="I4349">
        <v>3.1915</v>
      </c>
      <c r="J4349">
        <v>79830.009999999995</v>
      </c>
      <c r="K4349">
        <v>25013.319755600816</v>
      </c>
    </row>
    <row r="4350" spans="1:11" x14ac:dyDescent="0.25">
      <c r="A4350" t="s">
        <v>3534</v>
      </c>
      <c r="C4350" s="1">
        <v>42065</v>
      </c>
      <c r="D4350" s="1">
        <v>42139</v>
      </c>
      <c r="E4350">
        <v>1022</v>
      </c>
      <c r="F4350" t="s">
        <v>519</v>
      </c>
      <c r="G4350" t="s">
        <v>16</v>
      </c>
      <c r="H4350" t="s">
        <v>3535</v>
      </c>
      <c r="I4350">
        <v>2.8782000000000001</v>
      </c>
      <c r="J4350">
        <v>18.98</v>
      </c>
      <c r="K4350">
        <v>6.5943992773261062</v>
      </c>
    </row>
    <row r="4351" spans="1:11" x14ac:dyDescent="0.25">
      <c r="A4351" t="s">
        <v>6751</v>
      </c>
      <c r="C4351" s="1">
        <v>42065</v>
      </c>
      <c r="D4351" s="1">
        <v>42139</v>
      </c>
      <c r="E4351">
        <v>1025</v>
      </c>
      <c r="F4351" t="s">
        <v>519</v>
      </c>
      <c r="G4351" t="s">
        <v>16</v>
      </c>
      <c r="H4351" t="s">
        <v>6752</v>
      </c>
      <c r="I4351">
        <v>2.8782000000000001</v>
      </c>
      <c r="J4351">
        <v>848.38</v>
      </c>
      <c r="K4351">
        <v>294.76061427280939</v>
      </c>
    </row>
    <row r="4352" spans="1:11" x14ac:dyDescent="0.25">
      <c r="A4352" t="s">
        <v>6753</v>
      </c>
      <c r="C4352" s="1">
        <v>42087</v>
      </c>
      <c r="D4352" s="1">
        <v>42139</v>
      </c>
      <c r="E4352">
        <v>1026</v>
      </c>
      <c r="F4352" t="s">
        <v>519</v>
      </c>
      <c r="G4352" t="s">
        <v>16</v>
      </c>
      <c r="H4352" t="s">
        <v>6754</v>
      </c>
      <c r="I4352">
        <v>3.18</v>
      </c>
      <c r="J4352">
        <v>13.02</v>
      </c>
      <c r="K4352">
        <v>4.0943396226415096</v>
      </c>
    </row>
    <row r="4353" spans="1:11" x14ac:dyDescent="0.25">
      <c r="A4353" t="s">
        <v>3536</v>
      </c>
      <c r="C4353" s="1">
        <v>42129</v>
      </c>
      <c r="D4353" s="1">
        <v>42160</v>
      </c>
      <c r="E4353">
        <v>22857</v>
      </c>
      <c r="F4353" t="s">
        <v>466</v>
      </c>
      <c r="G4353" t="s">
        <v>16</v>
      </c>
      <c r="H4353" t="s">
        <v>1900</v>
      </c>
      <c r="I4353">
        <v>3.0754000000000001</v>
      </c>
      <c r="J4353">
        <v>211</v>
      </c>
      <c r="K4353">
        <v>68.608961435910771</v>
      </c>
    </row>
    <row r="4354" spans="1:11" x14ac:dyDescent="0.25">
      <c r="A4354" t="s">
        <v>317</v>
      </c>
      <c r="B4354" t="s">
        <v>3537</v>
      </c>
      <c r="C4354" s="1">
        <v>42138</v>
      </c>
      <c r="D4354" s="1">
        <v>42147</v>
      </c>
      <c r="E4354">
        <v>24591</v>
      </c>
      <c r="F4354" t="s">
        <v>318</v>
      </c>
      <c r="G4354" t="s">
        <v>16</v>
      </c>
      <c r="H4354" t="s">
        <v>3538</v>
      </c>
      <c r="I4354">
        <v>3.0103</v>
      </c>
      <c r="J4354">
        <v>177005.64</v>
      </c>
      <c r="K4354">
        <v>58800</v>
      </c>
    </row>
    <row r="4355" spans="1:11" x14ac:dyDescent="0.25">
      <c r="A4355" t="s">
        <v>343</v>
      </c>
      <c r="B4355" t="s">
        <v>1699</v>
      </c>
      <c r="C4355" s="1">
        <v>42137</v>
      </c>
      <c r="D4355" s="1">
        <v>42147</v>
      </c>
      <c r="E4355">
        <v>24297</v>
      </c>
      <c r="F4355" t="s">
        <v>311</v>
      </c>
      <c r="G4355" t="s">
        <v>16</v>
      </c>
      <c r="H4355" t="s">
        <v>6755</v>
      </c>
      <c r="I4355">
        <v>3.0388999999999999</v>
      </c>
      <c r="J4355">
        <v>91237.15</v>
      </c>
      <c r="K4355">
        <v>30023.084010661754</v>
      </c>
    </row>
    <row r="4356" spans="1:11" x14ac:dyDescent="0.25">
      <c r="A4356" t="s">
        <v>345</v>
      </c>
      <c r="B4356" t="s">
        <v>1190</v>
      </c>
      <c r="C4356" s="1">
        <v>42174</v>
      </c>
      <c r="D4356" s="1">
        <v>42178</v>
      </c>
      <c r="E4356">
        <v>3</v>
      </c>
      <c r="F4356" t="s">
        <v>309</v>
      </c>
      <c r="G4356" t="s">
        <v>16</v>
      </c>
      <c r="H4356" t="s">
        <v>3539</v>
      </c>
      <c r="I4356">
        <v>3.0472000000000001</v>
      </c>
      <c r="J4356">
        <v>88243.99</v>
      </c>
      <c r="K4356">
        <v>28959.041086899448</v>
      </c>
    </row>
    <row r="4357" spans="1:11" x14ac:dyDescent="0.25">
      <c r="A4357" t="s">
        <v>485</v>
      </c>
      <c r="B4357" t="s">
        <v>1188</v>
      </c>
      <c r="C4357" s="1">
        <v>42175</v>
      </c>
      <c r="D4357" s="1">
        <v>42178</v>
      </c>
      <c r="E4357">
        <v>3</v>
      </c>
      <c r="F4357" t="s">
        <v>368</v>
      </c>
      <c r="G4357" t="s">
        <v>16</v>
      </c>
      <c r="H4357" t="s">
        <v>3540</v>
      </c>
      <c r="I4357">
        <v>3.0788000000000002</v>
      </c>
      <c r="J4357">
        <v>33416.19</v>
      </c>
      <c r="K4357">
        <v>10853.641028972326</v>
      </c>
    </row>
    <row r="4358" spans="1:11" x14ac:dyDescent="0.25">
      <c r="A4358" t="s">
        <v>345</v>
      </c>
      <c r="B4358" t="s">
        <v>1190</v>
      </c>
      <c r="C4358" s="1">
        <v>42160</v>
      </c>
      <c r="D4358" s="1">
        <v>42165</v>
      </c>
      <c r="E4358">
        <v>3</v>
      </c>
      <c r="F4358" t="s">
        <v>309</v>
      </c>
      <c r="G4358" t="s">
        <v>16</v>
      </c>
      <c r="H4358" t="s">
        <v>3541</v>
      </c>
      <c r="I4358">
        <v>3.1183999999999998</v>
      </c>
      <c r="J4358">
        <v>98048.88</v>
      </c>
      <c r="K4358">
        <v>31442.047203694201</v>
      </c>
    </row>
    <row r="4359" spans="1:11" x14ac:dyDescent="0.25">
      <c r="A4359" t="s">
        <v>345</v>
      </c>
      <c r="B4359" t="s">
        <v>1190</v>
      </c>
      <c r="C4359" s="1">
        <v>42158</v>
      </c>
      <c r="D4359" s="1">
        <v>42165</v>
      </c>
      <c r="E4359">
        <v>3</v>
      </c>
      <c r="F4359" t="s">
        <v>309</v>
      </c>
      <c r="G4359" t="s">
        <v>16</v>
      </c>
      <c r="H4359" t="s">
        <v>3542</v>
      </c>
      <c r="I4359">
        <v>3.1442999999999999</v>
      </c>
      <c r="J4359">
        <v>98048.88</v>
      </c>
      <c r="K4359">
        <v>31183.055051998854</v>
      </c>
    </row>
    <row r="4360" spans="1:11" x14ac:dyDescent="0.25">
      <c r="A4360" t="s">
        <v>611</v>
      </c>
      <c r="B4360" t="s">
        <v>2164</v>
      </c>
      <c r="C4360" s="1">
        <v>42146</v>
      </c>
      <c r="D4360" s="1">
        <v>42156</v>
      </c>
      <c r="E4360">
        <v>3</v>
      </c>
      <c r="F4360" t="s">
        <v>301</v>
      </c>
      <c r="G4360" t="s">
        <v>16</v>
      </c>
      <c r="H4360" t="s">
        <v>6756</v>
      </c>
      <c r="I4360">
        <v>3.0295000000000001</v>
      </c>
      <c r="J4360">
        <v>49710.01</v>
      </c>
      <c r="K4360">
        <v>16408.651592672057</v>
      </c>
    </row>
    <row r="4361" spans="1:11" x14ac:dyDescent="0.25">
      <c r="A4361" t="s">
        <v>345</v>
      </c>
      <c r="B4361" t="s">
        <v>1190</v>
      </c>
      <c r="C4361" s="1">
        <v>42163</v>
      </c>
      <c r="D4361" s="1">
        <v>42167</v>
      </c>
      <c r="E4361">
        <v>3</v>
      </c>
      <c r="F4361" t="s">
        <v>309</v>
      </c>
      <c r="G4361" t="s">
        <v>16</v>
      </c>
      <c r="H4361" t="s">
        <v>6757</v>
      </c>
      <c r="I4361">
        <v>3.1684000000000001</v>
      </c>
      <c r="J4361">
        <v>117658.8</v>
      </c>
      <c r="K4361">
        <v>37135.083954046204</v>
      </c>
    </row>
    <row r="4362" spans="1:11" x14ac:dyDescent="0.25">
      <c r="A4362" t="s">
        <v>345</v>
      </c>
      <c r="B4362" t="s">
        <v>1190</v>
      </c>
      <c r="C4362" s="1">
        <v>42170</v>
      </c>
      <c r="D4362" s="1">
        <v>42173</v>
      </c>
      <c r="E4362">
        <v>3</v>
      </c>
      <c r="F4362" t="s">
        <v>309</v>
      </c>
      <c r="G4362" t="s">
        <v>16</v>
      </c>
      <c r="H4362" t="s">
        <v>6758</v>
      </c>
      <c r="I4362">
        <v>3.1107</v>
      </c>
      <c r="J4362">
        <v>117658.8</v>
      </c>
      <c r="K4362">
        <v>37823.898157970878</v>
      </c>
    </row>
    <row r="4363" spans="1:11" x14ac:dyDescent="0.25">
      <c r="A4363" t="s">
        <v>533</v>
      </c>
      <c r="B4363" t="s">
        <v>1731</v>
      </c>
      <c r="C4363" s="1">
        <v>42146</v>
      </c>
      <c r="D4363" s="1">
        <v>42177</v>
      </c>
      <c r="E4363">
        <v>2</v>
      </c>
      <c r="F4363" t="s">
        <v>301</v>
      </c>
      <c r="G4363" t="s">
        <v>16</v>
      </c>
      <c r="H4363" t="s">
        <v>6759</v>
      </c>
      <c r="I4363">
        <v>3.0295000000000001</v>
      </c>
      <c r="J4363">
        <v>66280.009999999995</v>
      </c>
      <c r="K4363">
        <v>21878.201023271165</v>
      </c>
    </row>
    <row r="4364" spans="1:11" x14ac:dyDescent="0.25">
      <c r="A4364" t="s">
        <v>345</v>
      </c>
      <c r="B4364" t="s">
        <v>1190</v>
      </c>
      <c r="C4364" s="1">
        <v>42159</v>
      </c>
      <c r="D4364" s="1">
        <v>42161</v>
      </c>
      <c r="E4364">
        <v>3</v>
      </c>
      <c r="F4364" t="s">
        <v>309</v>
      </c>
      <c r="G4364" t="s">
        <v>16</v>
      </c>
      <c r="H4364" t="s">
        <v>3543</v>
      </c>
      <c r="I4364">
        <v>3.1183999999999998</v>
      </c>
      <c r="J4364">
        <v>107853.77</v>
      </c>
      <c r="K4364">
        <v>34586.252565418166</v>
      </c>
    </row>
    <row r="4365" spans="1:11" x14ac:dyDescent="0.25">
      <c r="A4365" t="s">
        <v>3544</v>
      </c>
      <c r="C4365" s="1">
        <v>42191</v>
      </c>
      <c r="D4365" s="1">
        <v>42195</v>
      </c>
      <c r="E4365">
        <v>1128</v>
      </c>
      <c r="F4365" t="s">
        <v>519</v>
      </c>
      <c r="G4365" t="s">
        <v>16</v>
      </c>
      <c r="H4365" t="s">
        <v>3545</v>
      </c>
      <c r="I4365">
        <v>3.1271</v>
      </c>
      <c r="J4365">
        <v>42.95</v>
      </c>
      <c r="K4365">
        <v>13.734770234402481</v>
      </c>
    </row>
    <row r="4366" spans="1:11" x14ac:dyDescent="0.25">
      <c r="A4366" t="s">
        <v>610</v>
      </c>
      <c r="B4366" t="s">
        <v>1192</v>
      </c>
      <c r="C4366" s="1">
        <v>42180</v>
      </c>
      <c r="D4366" s="1">
        <v>42192</v>
      </c>
      <c r="E4366">
        <v>5</v>
      </c>
      <c r="F4366" t="s">
        <v>368</v>
      </c>
      <c r="G4366" t="s">
        <v>16</v>
      </c>
      <c r="H4366" t="s">
        <v>3546</v>
      </c>
      <c r="I4366">
        <v>3.0851999999999999</v>
      </c>
      <c r="J4366">
        <v>45017.33</v>
      </c>
      <c r="K4366">
        <v>14591.381433942694</v>
      </c>
    </row>
    <row r="4367" spans="1:11" x14ac:dyDescent="0.25">
      <c r="A4367" t="s">
        <v>610</v>
      </c>
      <c r="B4367" t="s">
        <v>1192</v>
      </c>
      <c r="C4367" s="1">
        <v>42178</v>
      </c>
      <c r="D4367" s="1">
        <v>42192</v>
      </c>
      <c r="E4367">
        <v>5</v>
      </c>
      <c r="F4367" t="s">
        <v>368</v>
      </c>
      <c r="G4367" t="s">
        <v>16</v>
      </c>
      <c r="H4367" t="s">
        <v>6760</v>
      </c>
      <c r="I4367">
        <v>3.0756999999999999</v>
      </c>
      <c r="J4367">
        <v>33106.07</v>
      </c>
      <c r="K4367">
        <v>10763.751341158111</v>
      </c>
    </row>
    <row r="4368" spans="1:11" x14ac:dyDescent="0.25">
      <c r="A4368" t="s">
        <v>610</v>
      </c>
      <c r="B4368" t="s">
        <v>1192</v>
      </c>
      <c r="C4368" s="1">
        <v>42186</v>
      </c>
      <c r="D4368" s="1">
        <v>42192</v>
      </c>
      <c r="E4368">
        <v>5</v>
      </c>
      <c r="F4368" t="s">
        <v>368</v>
      </c>
      <c r="G4368" t="s">
        <v>16</v>
      </c>
      <c r="H4368" t="s">
        <v>3547</v>
      </c>
      <c r="I4368">
        <v>3.1025999999999998</v>
      </c>
      <c r="J4368">
        <v>32172.09</v>
      </c>
      <c r="K4368">
        <v>10369.396635080255</v>
      </c>
    </row>
    <row r="4369" spans="1:11" x14ac:dyDescent="0.25">
      <c r="A4369" t="s">
        <v>610</v>
      </c>
      <c r="B4369" t="s">
        <v>1192</v>
      </c>
      <c r="C4369" s="1">
        <v>42186</v>
      </c>
      <c r="D4369" s="1">
        <v>42192</v>
      </c>
      <c r="E4369">
        <v>5</v>
      </c>
      <c r="F4369" t="s">
        <v>368</v>
      </c>
      <c r="G4369" t="s">
        <v>16</v>
      </c>
      <c r="H4369" t="s">
        <v>6761</v>
      </c>
      <c r="I4369">
        <v>3.1025999999999998</v>
      </c>
      <c r="J4369">
        <v>33602.559999999998</v>
      </c>
      <c r="K4369">
        <v>10830.451879069167</v>
      </c>
    </row>
    <row r="4370" spans="1:11" x14ac:dyDescent="0.25">
      <c r="A4370" t="s">
        <v>610</v>
      </c>
      <c r="B4370" t="s">
        <v>1192</v>
      </c>
      <c r="C4370" s="1">
        <v>42178</v>
      </c>
      <c r="D4370" s="1">
        <v>42192</v>
      </c>
      <c r="E4370">
        <v>5</v>
      </c>
      <c r="F4370" t="s">
        <v>368</v>
      </c>
      <c r="G4370" t="s">
        <v>16</v>
      </c>
      <c r="H4370" t="s">
        <v>3548</v>
      </c>
      <c r="I4370">
        <v>3.0756999999999999</v>
      </c>
      <c r="J4370">
        <v>45297.87</v>
      </c>
      <c r="K4370">
        <v>14727.661995643268</v>
      </c>
    </row>
    <row r="4371" spans="1:11" x14ac:dyDescent="0.25">
      <c r="A4371" t="s">
        <v>610</v>
      </c>
      <c r="B4371" t="s">
        <v>1192</v>
      </c>
      <c r="C4371" s="1">
        <v>42192</v>
      </c>
      <c r="D4371" s="1">
        <v>42192</v>
      </c>
      <c r="E4371">
        <v>5</v>
      </c>
      <c r="F4371" t="s">
        <v>368</v>
      </c>
      <c r="G4371" t="s">
        <v>16</v>
      </c>
      <c r="H4371" t="s">
        <v>3549</v>
      </c>
      <c r="I4371">
        <v>3.1431</v>
      </c>
      <c r="J4371">
        <v>46545.81</v>
      </c>
      <c r="K4371">
        <v>14808.8861315262</v>
      </c>
    </row>
    <row r="4372" spans="1:11" x14ac:dyDescent="0.25">
      <c r="A4372" t="s">
        <v>625</v>
      </c>
      <c r="B4372" t="s">
        <v>1711</v>
      </c>
      <c r="C4372" s="1">
        <v>42207</v>
      </c>
      <c r="D4372" s="1">
        <v>42210</v>
      </c>
      <c r="E4372">
        <v>1</v>
      </c>
      <c r="F4372" t="s">
        <v>368</v>
      </c>
      <c r="G4372" t="s">
        <v>16</v>
      </c>
      <c r="H4372" t="s">
        <v>3550</v>
      </c>
      <c r="I4372">
        <v>3.1812999999999998</v>
      </c>
      <c r="J4372">
        <v>54226.19</v>
      </c>
      <c r="K4372">
        <v>17045.292804828216</v>
      </c>
    </row>
    <row r="4373" spans="1:11" x14ac:dyDescent="0.25">
      <c r="A4373" t="s">
        <v>625</v>
      </c>
      <c r="B4373" t="s">
        <v>1711</v>
      </c>
      <c r="C4373" s="1">
        <v>42210</v>
      </c>
      <c r="D4373" s="1">
        <v>42211</v>
      </c>
      <c r="E4373">
        <v>1</v>
      </c>
      <c r="F4373" t="s">
        <v>368</v>
      </c>
      <c r="G4373" t="s">
        <v>16</v>
      </c>
      <c r="H4373" t="s">
        <v>3551</v>
      </c>
      <c r="I4373">
        <v>3.3254000000000001</v>
      </c>
      <c r="J4373">
        <v>77308.58</v>
      </c>
      <c r="K4373">
        <v>23247.904011547482</v>
      </c>
    </row>
    <row r="4374" spans="1:11" x14ac:dyDescent="0.25">
      <c r="A4374" t="s">
        <v>502</v>
      </c>
      <c r="B4374" t="s">
        <v>2671</v>
      </c>
      <c r="C4374" s="1">
        <v>42209</v>
      </c>
      <c r="D4374" s="1">
        <v>42212</v>
      </c>
      <c r="E4374">
        <v>1</v>
      </c>
      <c r="F4374" t="s">
        <v>368</v>
      </c>
      <c r="G4374" t="s">
        <v>16</v>
      </c>
      <c r="H4374" t="s">
        <v>6762</v>
      </c>
      <c r="I4374">
        <v>3.2850000000000001</v>
      </c>
      <c r="J4374">
        <v>79907.39</v>
      </c>
      <c r="K4374">
        <v>24324.928462709286</v>
      </c>
    </row>
    <row r="4375" spans="1:11" x14ac:dyDescent="0.25">
      <c r="A4375" t="s">
        <v>413</v>
      </c>
      <c r="B4375" t="s">
        <v>1196</v>
      </c>
      <c r="C4375" s="1">
        <v>42223</v>
      </c>
      <c r="D4375" s="1">
        <v>42227</v>
      </c>
      <c r="E4375">
        <v>1</v>
      </c>
      <c r="F4375" t="s">
        <v>368</v>
      </c>
      <c r="G4375" t="s">
        <v>16</v>
      </c>
      <c r="H4375" t="s">
        <v>6763</v>
      </c>
      <c r="I4375">
        <v>3.5347</v>
      </c>
      <c r="J4375">
        <v>69034.66</v>
      </c>
      <c r="K4375">
        <v>19530.557048688715</v>
      </c>
    </row>
    <row r="4376" spans="1:11" x14ac:dyDescent="0.25">
      <c r="A4376" t="s">
        <v>610</v>
      </c>
      <c r="B4376" t="s">
        <v>1192</v>
      </c>
      <c r="C4376" s="1">
        <v>42192</v>
      </c>
      <c r="D4376" s="1">
        <v>42196</v>
      </c>
      <c r="E4376">
        <v>5</v>
      </c>
      <c r="F4376" t="s">
        <v>368</v>
      </c>
      <c r="G4376" t="s">
        <v>16</v>
      </c>
      <c r="H4376" t="s">
        <v>6764</v>
      </c>
      <c r="I4376">
        <v>3.1431</v>
      </c>
      <c r="J4376">
        <v>46855.69</v>
      </c>
      <c r="K4376">
        <v>14907.476694982661</v>
      </c>
    </row>
    <row r="4377" spans="1:11" x14ac:dyDescent="0.25">
      <c r="A4377" t="s">
        <v>569</v>
      </c>
      <c r="B4377" t="s">
        <v>2175</v>
      </c>
      <c r="C4377" s="1">
        <v>42215</v>
      </c>
      <c r="D4377" s="1">
        <v>42220</v>
      </c>
      <c r="E4377">
        <v>1</v>
      </c>
      <c r="F4377" t="s">
        <v>368</v>
      </c>
      <c r="G4377" t="s">
        <v>16</v>
      </c>
      <c r="H4377" t="s">
        <v>6765</v>
      </c>
      <c r="I4377">
        <v>3.3418999999999999</v>
      </c>
      <c r="J4377">
        <v>79363</v>
      </c>
      <c r="K4377">
        <v>23747.867979293216</v>
      </c>
    </row>
    <row r="4378" spans="1:11" x14ac:dyDescent="0.25">
      <c r="A4378" t="s">
        <v>569</v>
      </c>
      <c r="B4378" t="s">
        <v>2175</v>
      </c>
      <c r="C4378" s="1">
        <v>42213</v>
      </c>
      <c r="D4378" s="1">
        <v>42220</v>
      </c>
      <c r="E4378">
        <v>1</v>
      </c>
      <c r="F4378" t="s">
        <v>368</v>
      </c>
      <c r="G4378" t="s">
        <v>16</v>
      </c>
      <c r="H4378" t="s">
        <v>3552</v>
      </c>
      <c r="I4378">
        <v>3.3557000000000001</v>
      </c>
      <c r="J4378">
        <v>54189.71</v>
      </c>
      <c r="K4378">
        <v>16148.556187978664</v>
      </c>
    </row>
    <row r="4379" spans="1:11" x14ac:dyDescent="0.25">
      <c r="A4379" t="s">
        <v>413</v>
      </c>
      <c r="B4379" t="s">
        <v>1196</v>
      </c>
      <c r="C4379" s="1">
        <v>42217</v>
      </c>
      <c r="D4379" s="1">
        <v>42220</v>
      </c>
      <c r="E4379">
        <v>1</v>
      </c>
      <c r="F4379" t="s">
        <v>368</v>
      </c>
      <c r="G4379" t="s">
        <v>16</v>
      </c>
      <c r="H4379" t="s">
        <v>3553</v>
      </c>
      <c r="I4379">
        <v>3.3940000000000001</v>
      </c>
      <c r="J4379">
        <v>81586.240000000005</v>
      </c>
      <c r="K4379">
        <v>24038.373600471419</v>
      </c>
    </row>
    <row r="4380" spans="1:11" x14ac:dyDescent="0.25">
      <c r="A4380" t="s">
        <v>571</v>
      </c>
      <c r="B4380" t="s">
        <v>1198</v>
      </c>
      <c r="C4380" s="1">
        <v>42187</v>
      </c>
      <c r="D4380" s="1">
        <v>42198</v>
      </c>
      <c r="E4380">
        <v>3</v>
      </c>
      <c r="F4380" t="s">
        <v>368</v>
      </c>
      <c r="G4380" t="s">
        <v>16</v>
      </c>
      <c r="H4380" t="s">
        <v>6766</v>
      </c>
      <c r="I4380">
        <v>3.1191</v>
      </c>
      <c r="J4380">
        <v>34052.620000000003</v>
      </c>
      <c r="K4380">
        <v>10917.450546632041</v>
      </c>
    </row>
    <row r="4381" spans="1:11" x14ac:dyDescent="0.25">
      <c r="A4381" t="s">
        <v>571</v>
      </c>
      <c r="B4381" t="s">
        <v>1198</v>
      </c>
      <c r="C4381" s="1">
        <v>42188</v>
      </c>
      <c r="D4381" s="1">
        <v>42198</v>
      </c>
      <c r="E4381">
        <v>3</v>
      </c>
      <c r="F4381" t="s">
        <v>368</v>
      </c>
      <c r="G4381" t="s">
        <v>16</v>
      </c>
      <c r="H4381" t="s">
        <v>6767</v>
      </c>
      <c r="I4381">
        <v>3.1173000000000002</v>
      </c>
      <c r="J4381">
        <v>46579.51</v>
      </c>
      <c r="K4381">
        <v>14942.26093093382</v>
      </c>
    </row>
    <row r="4382" spans="1:11" x14ac:dyDescent="0.25">
      <c r="A4382" t="s">
        <v>571</v>
      </c>
      <c r="B4382" t="s">
        <v>1198</v>
      </c>
      <c r="C4382" s="1">
        <v>42188</v>
      </c>
      <c r="D4382" s="1">
        <v>42198</v>
      </c>
      <c r="E4382">
        <v>3</v>
      </c>
      <c r="F4382" t="s">
        <v>368</v>
      </c>
      <c r="G4382" t="s">
        <v>16</v>
      </c>
      <c r="H4382" t="s">
        <v>6768</v>
      </c>
      <c r="I4382">
        <v>3.1173000000000002</v>
      </c>
      <c r="J4382">
        <v>45784.05</v>
      </c>
      <c r="K4382">
        <v>14687.084977384275</v>
      </c>
    </row>
    <row r="4383" spans="1:11" x14ac:dyDescent="0.25">
      <c r="A4383" t="s">
        <v>467</v>
      </c>
      <c r="B4383" t="s">
        <v>3122</v>
      </c>
      <c r="C4383" s="1">
        <v>42240</v>
      </c>
      <c r="D4383" s="1">
        <v>42245</v>
      </c>
      <c r="E4383">
        <v>5</v>
      </c>
      <c r="F4383" t="s">
        <v>301</v>
      </c>
      <c r="G4383" t="s">
        <v>16</v>
      </c>
      <c r="H4383" t="s">
        <v>3554</v>
      </c>
      <c r="I4383">
        <v>3.4895999999999998</v>
      </c>
      <c r="J4383">
        <v>28274.38</v>
      </c>
      <c r="K4383">
        <v>8102.4701971572676</v>
      </c>
    </row>
    <row r="4384" spans="1:11" x14ac:dyDescent="0.25">
      <c r="A4384" t="s">
        <v>468</v>
      </c>
      <c r="B4384" t="s">
        <v>1203</v>
      </c>
      <c r="C4384" s="1">
        <v>42226</v>
      </c>
      <c r="D4384" s="1">
        <v>42230</v>
      </c>
      <c r="E4384">
        <v>1</v>
      </c>
      <c r="F4384" t="s">
        <v>368</v>
      </c>
      <c r="G4384" t="s">
        <v>16</v>
      </c>
      <c r="H4384" t="s">
        <v>6769</v>
      </c>
      <c r="I4384">
        <v>3.5181</v>
      </c>
      <c r="J4384">
        <v>59547.78</v>
      </c>
      <c r="K4384">
        <v>16926.1192120747</v>
      </c>
    </row>
    <row r="4385" spans="1:11" x14ac:dyDescent="0.25">
      <c r="A4385" t="s">
        <v>413</v>
      </c>
      <c r="B4385" t="s">
        <v>1196</v>
      </c>
      <c r="C4385" s="1">
        <v>42222</v>
      </c>
      <c r="D4385" s="1">
        <v>42224</v>
      </c>
      <c r="E4385">
        <v>1</v>
      </c>
      <c r="F4385" t="s">
        <v>368</v>
      </c>
      <c r="G4385" t="s">
        <v>16</v>
      </c>
      <c r="H4385" t="s">
        <v>3555</v>
      </c>
      <c r="I4385">
        <v>3.4851000000000001</v>
      </c>
      <c r="J4385">
        <v>58406.64</v>
      </c>
      <c r="K4385">
        <v>16758.956701385901</v>
      </c>
    </row>
    <row r="4386" spans="1:11" x14ac:dyDescent="0.25">
      <c r="A4386" t="s">
        <v>413</v>
      </c>
      <c r="B4386" t="s">
        <v>1196</v>
      </c>
      <c r="C4386" s="1">
        <v>42219</v>
      </c>
      <c r="D4386" s="1">
        <v>42221</v>
      </c>
      <c r="E4386">
        <v>1</v>
      </c>
      <c r="F4386" t="s">
        <v>368</v>
      </c>
      <c r="G4386" t="s">
        <v>16</v>
      </c>
      <c r="H4386" t="s">
        <v>6770</v>
      </c>
      <c r="I4386">
        <v>3.3940000000000001</v>
      </c>
      <c r="J4386">
        <v>81386.559999999998</v>
      </c>
      <c r="K4386">
        <v>23979.540365350618</v>
      </c>
    </row>
    <row r="4387" spans="1:11" x14ac:dyDescent="0.25">
      <c r="A4387" t="s">
        <v>623</v>
      </c>
      <c r="B4387" t="s">
        <v>2193</v>
      </c>
      <c r="C4387" s="1">
        <v>42268</v>
      </c>
      <c r="D4387" s="1">
        <v>42280</v>
      </c>
      <c r="E4387">
        <v>266</v>
      </c>
      <c r="F4387" t="s">
        <v>311</v>
      </c>
      <c r="G4387" t="s">
        <v>16</v>
      </c>
      <c r="H4387" t="s">
        <v>3556</v>
      </c>
      <c r="I4387">
        <v>3.9020999999999999</v>
      </c>
      <c r="J4387">
        <v>409657.5</v>
      </c>
      <c r="K4387">
        <v>104983.85484738987</v>
      </c>
    </row>
    <row r="4388" spans="1:11" x14ac:dyDescent="0.25">
      <c r="A4388" t="s">
        <v>342</v>
      </c>
      <c r="B4388" t="s">
        <v>1169</v>
      </c>
      <c r="C4388" s="1">
        <v>42300</v>
      </c>
      <c r="D4388" s="1">
        <v>42304</v>
      </c>
      <c r="E4388">
        <v>2</v>
      </c>
      <c r="F4388" t="s">
        <v>675</v>
      </c>
      <c r="G4388" t="s">
        <v>16</v>
      </c>
      <c r="H4388" t="s">
        <v>6771</v>
      </c>
      <c r="I4388">
        <v>3.9359999999999999</v>
      </c>
      <c r="J4388">
        <v>79830</v>
      </c>
      <c r="K4388">
        <v>20282.012195121952</v>
      </c>
    </row>
    <row r="4389" spans="1:11" x14ac:dyDescent="0.25">
      <c r="A4389" t="s">
        <v>6772</v>
      </c>
      <c r="B4389" t="s">
        <v>6773</v>
      </c>
      <c r="C4389" s="1">
        <v>42269</v>
      </c>
      <c r="D4389" s="1">
        <v>42284</v>
      </c>
      <c r="E4389">
        <v>9</v>
      </c>
      <c r="F4389" t="s">
        <v>318</v>
      </c>
      <c r="G4389" t="s">
        <v>16</v>
      </c>
      <c r="H4389" t="s">
        <v>6774</v>
      </c>
      <c r="I4389">
        <v>3.9821</v>
      </c>
      <c r="J4389">
        <v>29334.81</v>
      </c>
      <c r="K4389">
        <v>7366.6683408251929</v>
      </c>
    </row>
    <row r="4390" spans="1:11" x14ac:dyDescent="0.25">
      <c r="A4390" t="s">
        <v>351</v>
      </c>
      <c r="B4390" t="s">
        <v>1214</v>
      </c>
      <c r="C4390" s="1">
        <v>42268</v>
      </c>
      <c r="D4390" s="1">
        <v>42290</v>
      </c>
      <c r="E4390">
        <v>17</v>
      </c>
      <c r="F4390" t="s">
        <v>311</v>
      </c>
      <c r="G4390" t="s">
        <v>16</v>
      </c>
      <c r="H4390" t="s">
        <v>3557</v>
      </c>
      <c r="I4390">
        <v>3.9020999999999999</v>
      </c>
      <c r="J4390">
        <v>600831</v>
      </c>
      <c r="K4390">
        <v>153976.32044283848</v>
      </c>
    </row>
    <row r="4391" spans="1:11" x14ac:dyDescent="0.25">
      <c r="A4391" t="s">
        <v>456</v>
      </c>
      <c r="B4391" t="s">
        <v>2184</v>
      </c>
      <c r="C4391" s="1">
        <v>42262</v>
      </c>
      <c r="D4391" s="1">
        <v>42275</v>
      </c>
      <c r="E4391">
        <v>36</v>
      </c>
      <c r="F4391" t="s">
        <v>311</v>
      </c>
      <c r="G4391" t="s">
        <v>16</v>
      </c>
      <c r="H4391" t="s">
        <v>6775</v>
      </c>
      <c r="I4391">
        <v>3.8653</v>
      </c>
      <c r="J4391">
        <v>9704.26</v>
      </c>
      <c r="K4391">
        <v>2510.6097844927949</v>
      </c>
    </row>
    <row r="4392" spans="1:11" x14ac:dyDescent="0.25">
      <c r="A4392" t="s">
        <v>6776</v>
      </c>
      <c r="B4392" t="s">
        <v>6777</v>
      </c>
      <c r="C4392" s="1">
        <v>42261</v>
      </c>
      <c r="D4392" s="1">
        <v>42268</v>
      </c>
      <c r="E4392">
        <v>17</v>
      </c>
      <c r="F4392" t="s">
        <v>278</v>
      </c>
      <c r="G4392" t="s">
        <v>16</v>
      </c>
      <c r="H4392" t="s">
        <v>6778</v>
      </c>
      <c r="I4392">
        <v>3.8698000000000001</v>
      </c>
      <c r="J4392">
        <v>71553.2</v>
      </c>
      <c r="K4392">
        <v>18490.154529949868</v>
      </c>
    </row>
    <row r="4393" spans="1:11" x14ac:dyDescent="0.25">
      <c r="A4393" t="s">
        <v>474</v>
      </c>
      <c r="B4393" t="s">
        <v>2692</v>
      </c>
      <c r="C4393" s="1">
        <v>42268</v>
      </c>
      <c r="D4393" s="1">
        <v>42279</v>
      </c>
      <c r="E4393">
        <v>32</v>
      </c>
      <c r="F4393" t="s">
        <v>311</v>
      </c>
      <c r="G4393" t="s">
        <v>16</v>
      </c>
      <c r="H4393" t="s">
        <v>6779</v>
      </c>
      <c r="I4393">
        <v>3.9020999999999999</v>
      </c>
      <c r="J4393">
        <v>35148.61</v>
      </c>
      <c r="K4393">
        <v>9007.6138489531277</v>
      </c>
    </row>
    <row r="4394" spans="1:11" x14ac:dyDescent="0.25">
      <c r="A4394" t="s">
        <v>561</v>
      </c>
      <c r="B4394" t="s">
        <v>1726</v>
      </c>
      <c r="C4394" s="1">
        <v>42257</v>
      </c>
      <c r="D4394" s="1">
        <v>42297</v>
      </c>
      <c r="E4394">
        <v>4</v>
      </c>
      <c r="F4394" t="s">
        <v>301</v>
      </c>
      <c r="G4394" t="s">
        <v>16</v>
      </c>
      <c r="H4394" t="s">
        <v>6780</v>
      </c>
      <c r="I4394">
        <v>3.7869999999999999</v>
      </c>
      <c r="J4394">
        <v>98301.62</v>
      </c>
      <c r="K4394">
        <v>25957.649854766307</v>
      </c>
    </row>
    <row r="4395" spans="1:11" x14ac:dyDescent="0.25">
      <c r="A4395" t="s">
        <v>351</v>
      </c>
      <c r="B4395" t="s">
        <v>1214</v>
      </c>
      <c r="C4395" s="1">
        <v>42268</v>
      </c>
      <c r="D4395" s="1">
        <v>42276</v>
      </c>
      <c r="E4395">
        <v>17</v>
      </c>
      <c r="F4395" t="s">
        <v>311</v>
      </c>
      <c r="G4395" t="s">
        <v>16</v>
      </c>
      <c r="H4395" t="s">
        <v>3558</v>
      </c>
      <c r="I4395">
        <v>3.9020999999999999</v>
      </c>
      <c r="J4395">
        <v>228237.75</v>
      </c>
      <c r="K4395">
        <v>58491.004843545787</v>
      </c>
    </row>
    <row r="4396" spans="1:11" x14ac:dyDescent="0.25">
      <c r="A4396" t="s">
        <v>351</v>
      </c>
      <c r="B4396" t="s">
        <v>1214</v>
      </c>
      <c r="C4396" s="1">
        <v>42268</v>
      </c>
      <c r="D4396" s="1">
        <v>42276</v>
      </c>
      <c r="E4396">
        <v>17</v>
      </c>
      <c r="F4396" t="s">
        <v>311</v>
      </c>
      <c r="G4396" t="s">
        <v>16</v>
      </c>
      <c r="H4396" t="s">
        <v>3559</v>
      </c>
      <c r="I4396">
        <v>3.9020999999999999</v>
      </c>
      <c r="J4396">
        <v>222658.61</v>
      </c>
      <c r="K4396">
        <v>57061.226006509314</v>
      </c>
    </row>
    <row r="4397" spans="1:11" x14ac:dyDescent="0.25">
      <c r="A4397" t="s">
        <v>4425</v>
      </c>
      <c r="B4397" t="s">
        <v>4426</v>
      </c>
      <c r="C4397" s="1">
        <v>42268</v>
      </c>
      <c r="D4397" s="1">
        <v>42276</v>
      </c>
      <c r="E4397">
        <v>15</v>
      </c>
      <c r="F4397" t="s">
        <v>318</v>
      </c>
      <c r="G4397" t="s">
        <v>16</v>
      </c>
      <c r="H4397" t="s">
        <v>6781</v>
      </c>
      <c r="I4397">
        <v>3.9020999999999999</v>
      </c>
      <c r="J4397">
        <v>306817.62</v>
      </c>
      <c r="K4397">
        <v>78628.846005996777</v>
      </c>
    </row>
    <row r="4398" spans="1:11" x14ac:dyDescent="0.25">
      <c r="A4398" t="s">
        <v>351</v>
      </c>
      <c r="B4398" t="s">
        <v>1214</v>
      </c>
      <c r="C4398" s="1">
        <v>42268</v>
      </c>
      <c r="D4398" s="1">
        <v>42277</v>
      </c>
      <c r="E4398">
        <v>17</v>
      </c>
      <c r="F4398" t="s">
        <v>311</v>
      </c>
      <c r="G4398" t="s">
        <v>16</v>
      </c>
      <c r="H4398" t="s">
        <v>6782</v>
      </c>
      <c r="I4398">
        <v>3.9020999999999999</v>
      </c>
      <c r="J4398">
        <v>316661.11</v>
      </c>
      <c r="K4398">
        <v>81151.459470541507</v>
      </c>
    </row>
    <row r="4399" spans="1:11" x14ac:dyDescent="0.25">
      <c r="A4399" t="s">
        <v>499</v>
      </c>
      <c r="B4399" t="s">
        <v>3560</v>
      </c>
      <c r="C4399" s="1">
        <v>42264</v>
      </c>
      <c r="D4399" s="1">
        <v>42290</v>
      </c>
      <c r="E4399">
        <v>4</v>
      </c>
      <c r="F4399" t="s">
        <v>301</v>
      </c>
      <c r="G4399" t="s">
        <v>16</v>
      </c>
      <c r="H4399" t="s">
        <v>3561</v>
      </c>
      <c r="I4399">
        <v>3.8368000000000002</v>
      </c>
      <c r="J4399">
        <v>251732.79</v>
      </c>
      <c r="K4399">
        <v>65610.089136780647</v>
      </c>
    </row>
    <row r="4400" spans="1:11" x14ac:dyDescent="0.25">
      <c r="A4400" t="s">
        <v>523</v>
      </c>
      <c r="B4400" t="s">
        <v>2249</v>
      </c>
      <c r="C4400" s="1">
        <v>42268</v>
      </c>
      <c r="D4400" s="1">
        <v>42297</v>
      </c>
      <c r="E4400">
        <v>9</v>
      </c>
      <c r="F4400" t="s">
        <v>311</v>
      </c>
      <c r="G4400" t="s">
        <v>16</v>
      </c>
      <c r="H4400" t="s">
        <v>6783</v>
      </c>
      <c r="I4400">
        <v>3.9020999999999999</v>
      </c>
      <c r="J4400">
        <v>11289.11</v>
      </c>
      <c r="K4400">
        <v>2893.0857743266447</v>
      </c>
    </row>
    <row r="4401" spans="1:11" x14ac:dyDescent="0.25">
      <c r="A4401" t="s">
        <v>6784</v>
      </c>
      <c r="B4401" t="s">
        <v>6785</v>
      </c>
      <c r="C4401" s="1">
        <v>42255</v>
      </c>
      <c r="D4401" s="1">
        <v>42297</v>
      </c>
      <c r="E4401">
        <v>5</v>
      </c>
      <c r="F4401" t="s">
        <v>642</v>
      </c>
      <c r="G4401" t="s">
        <v>16</v>
      </c>
      <c r="H4401" t="s">
        <v>6786</v>
      </c>
      <c r="I4401">
        <v>3.7986</v>
      </c>
      <c r="J4401">
        <v>63309.599999999999</v>
      </c>
      <c r="K4401">
        <v>16666.561364713314</v>
      </c>
    </row>
    <row r="4402" spans="1:11" x14ac:dyDescent="0.25">
      <c r="A4402" t="s">
        <v>474</v>
      </c>
      <c r="B4402" t="s">
        <v>2692</v>
      </c>
      <c r="C4402" s="1">
        <v>42268</v>
      </c>
      <c r="D4402" s="1">
        <v>42286</v>
      </c>
      <c r="E4402">
        <v>32</v>
      </c>
      <c r="F4402" t="s">
        <v>311</v>
      </c>
      <c r="G4402" t="s">
        <v>16</v>
      </c>
      <c r="H4402" t="s">
        <v>3562</v>
      </c>
      <c r="I4402">
        <v>3.9020999999999999</v>
      </c>
      <c r="J4402">
        <v>273885.3</v>
      </c>
      <c r="K4402">
        <v>70189.205812254935</v>
      </c>
    </row>
    <row r="4403" spans="1:11" x14ac:dyDescent="0.25">
      <c r="A4403" t="s">
        <v>629</v>
      </c>
      <c r="B4403" t="s">
        <v>1281</v>
      </c>
      <c r="C4403" s="1">
        <v>42268</v>
      </c>
      <c r="D4403" s="1">
        <v>42287</v>
      </c>
      <c r="E4403">
        <v>19</v>
      </c>
      <c r="F4403" t="s">
        <v>311</v>
      </c>
      <c r="G4403" t="s">
        <v>16</v>
      </c>
      <c r="H4403" t="s">
        <v>6787</v>
      </c>
      <c r="I4403">
        <v>3.9020999999999999</v>
      </c>
      <c r="J4403">
        <v>120556.35</v>
      </c>
      <c r="K4403">
        <v>30895.248712231874</v>
      </c>
    </row>
    <row r="4404" spans="1:11" x14ac:dyDescent="0.25">
      <c r="A4404" t="s">
        <v>6788</v>
      </c>
      <c r="B4404" t="s">
        <v>6789</v>
      </c>
      <c r="C4404" s="1">
        <v>42290</v>
      </c>
      <c r="D4404" s="1">
        <v>42297</v>
      </c>
      <c r="E4404">
        <v>12</v>
      </c>
      <c r="F4404" t="s">
        <v>278</v>
      </c>
      <c r="G4404" t="s">
        <v>16</v>
      </c>
      <c r="H4404" t="s">
        <v>6790</v>
      </c>
      <c r="I4404">
        <v>3.7385999999999999</v>
      </c>
      <c r="J4404">
        <v>155053.79999999999</v>
      </c>
      <c r="K4404">
        <v>41473.760231102555</v>
      </c>
    </row>
    <row r="4405" spans="1:11" x14ac:dyDescent="0.25">
      <c r="A4405" t="s">
        <v>527</v>
      </c>
      <c r="B4405" t="s">
        <v>3132</v>
      </c>
      <c r="C4405" s="1">
        <v>42258</v>
      </c>
      <c r="D4405" s="1">
        <v>42298</v>
      </c>
      <c r="E4405">
        <v>3</v>
      </c>
      <c r="F4405" t="s">
        <v>301</v>
      </c>
      <c r="G4405" t="s">
        <v>16</v>
      </c>
      <c r="H4405" t="s">
        <v>3563</v>
      </c>
      <c r="I4405">
        <v>3.8698000000000001</v>
      </c>
      <c r="J4405">
        <v>8776.7800000000007</v>
      </c>
      <c r="K4405">
        <v>2268.0190190707531</v>
      </c>
    </row>
    <row r="4406" spans="1:11" x14ac:dyDescent="0.25">
      <c r="A4406" t="s">
        <v>350</v>
      </c>
      <c r="B4406" t="s">
        <v>1733</v>
      </c>
      <c r="C4406" s="1">
        <v>42301</v>
      </c>
      <c r="D4406" s="1">
        <v>42307</v>
      </c>
      <c r="E4406">
        <v>21</v>
      </c>
      <c r="F4406" t="s">
        <v>331</v>
      </c>
      <c r="G4406" t="s">
        <v>16</v>
      </c>
      <c r="H4406" t="s">
        <v>3564</v>
      </c>
      <c r="I4406">
        <v>3.8988</v>
      </c>
      <c r="J4406">
        <v>95253.67</v>
      </c>
      <c r="K4406">
        <v>24431.535344208474</v>
      </c>
    </row>
    <row r="4407" spans="1:11" x14ac:dyDescent="0.25">
      <c r="A4407" t="s">
        <v>3565</v>
      </c>
      <c r="B4407" t="s">
        <v>3566</v>
      </c>
      <c r="C4407" s="1">
        <v>42251</v>
      </c>
      <c r="D4407" s="1">
        <v>42272</v>
      </c>
      <c r="E4407">
        <v>5</v>
      </c>
      <c r="F4407" t="s">
        <v>642</v>
      </c>
      <c r="G4407" t="s">
        <v>16</v>
      </c>
      <c r="H4407" t="s">
        <v>3567</v>
      </c>
      <c r="I4407">
        <v>3.7759999999999998</v>
      </c>
      <c r="J4407">
        <v>34963.800000000003</v>
      </c>
      <c r="K4407">
        <v>9259.4809322033907</v>
      </c>
    </row>
    <row r="4408" spans="1:11" x14ac:dyDescent="0.25">
      <c r="A4408" t="s">
        <v>463</v>
      </c>
      <c r="B4408" t="s">
        <v>1185</v>
      </c>
      <c r="C4408" s="1">
        <v>42300</v>
      </c>
      <c r="D4408" s="1">
        <v>42305</v>
      </c>
      <c r="E4408">
        <v>2</v>
      </c>
      <c r="F4408" t="s">
        <v>675</v>
      </c>
      <c r="G4408" t="s">
        <v>16</v>
      </c>
      <c r="H4408" t="s">
        <v>3568</v>
      </c>
      <c r="I4408">
        <v>3.9359999999999999</v>
      </c>
      <c r="J4408">
        <v>79830</v>
      </c>
      <c r="K4408">
        <v>20282.012195121952</v>
      </c>
    </row>
    <row r="4409" spans="1:11" x14ac:dyDescent="0.25">
      <c r="A4409" t="s">
        <v>463</v>
      </c>
      <c r="B4409" t="s">
        <v>1185</v>
      </c>
      <c r="C4409" s="1">
        <v>42300</v>
      </c>
      <c r="D4409" s="1">
        <v>42305</v>
      </c>
      <c r="E4409">
        <v>2</v>
      </c>
      <c r="F4409" t="s">
        <v>675</v>
      </c>
      <c r="G4409" t="s">
        <v>16</v>
      </c>
      <c r="H4409" t="s">
        <v>2293</v>
      </c>
      <c r="I4409">
        <v>3.9359999999999999</v>
      </c>
      <c r="J4409">
        <v>79830</v>
      </c>
      <c r="K4409">
        <v>20282.012195121952</v>
      </c>
    </row>
    <row r="4410" spans="1:11" x14ac:dyDescent="0.25">
      <c r="A4410" t="s">
        <v>350</v>
      </c>
      <c r="B4410" t="s">
        <v>1733</v>
      </c>
      <c r="C4410" s="1">
        <v>42301</v>
      </c>
      <c r="D4410" s="1">
        <v>42306</v>
      </c>
      <c r="E4410">
        <v>21</v>
      </c>
      <c r="F4410" t="s">
        <v>331</v>
      </c>
      <c r="G4410" t="s">
        <v>16</v>
      </c>
      <c r="H4410" t="s">
        <v>6791</v>
      </c>
      <c r="I4410">
        <v>3.8988</v>
      </c>
      <c r="J4410">
        <v>93891.83</v>
      </c>
      <c r="K4410">
        <v>24082.238124551142</v>
      </c>
    </row>
    <row r="4411" spans="1:11" x14ac:dyDescent="0.25">
      <c r="A4411" t="s">
        <v>350</v>
      </c>
      <c r="B4411" t="s">
        <v>1733</v>
      </c>
      <c r="C4411" s="1">
        <v>42301</v>
      </c>
      <c r="D4411" s="1">
        <v>42307</v>
      </c>
      <c r="E4411">
        <v>21</v>
      </c>
      <c r="F4411" t="s">
        <v>331</v>
      </c>
      <c r="G4411" t="s">
        <v>16</v>
      </c>
      <c r="H4411" t="s">
        <v>6792</v>
      </c>
      <c r="I4411">
        <v>3.8988</v>
      </c>
      <c r="J4411">
        <v>96186.79</v>
      </c>
      <c r="K4411">
        <v>24670.870524263875</v>
      </c>
    </row>
    <row r="4412" spans="1:11" x14ac:dyDescent="0.25">
      <c r="A4412" t="s">
        <v>350</v>
      </c>
      <c r="B4412" t="s">
        <v>1733</v>
      </c>
      <c r="C4412" s="1">
        <v>42301</v>
      </c>
      <c r="D4412" s="1">
        <v>42307</v>
      </c>
      <c r="E4412">
        <v>21</v>
      </c>
      <c r="F4412" t="s">
        <v>331</v>
      </c>
      <c r="G4412" t="s">
        <v>16</v>
      </c>
      <c r="H4412" t="s">
        <v>6793</v>
      </c>
      <c r="I4412">
        <v>3.8988</v>
      </c>
      <c r="J4412">
        <v>95606.75</v>
      </c>
      <c r="K4412">
        <v>24522.096542525906</v>
      </c>
    </row>
    <row r="4413" spans="1:11" x14ac:dyDescent="0.25">
      <c r="A4413" t="s">
        <v>350</v>
      </c>
      <c r="B4413" t="s">
        <v>1733</v>
      </c>
      <c r="C4413" s="1">
        <v>42300</v>
      </c>
      <c r="D4413" s="1">
        <v>42308</v>
      </c>
      <c r="E4413">
        <v>21</v>
      </c>
      <c r="F4413" t="s">
        <v>331</v>
      </c>
      <c r="G4413" t="s">
        <v>16</v>
      </c>
      <c r="H4413" t="s">
        <v>3569</v>
      </c>
      <c r="I4413">
        <v>3.9359999999999999</v>
      </c>
      <c r="J4413">
        <v>90260.23</v>
      </c>
      <c r="K4413">
        <v>22931.969004065042</v>
      </c>
    </row>
    <row r="4414" spans="1:11" x14ac:dyDescent="0.25">
      <c r="A4414" t="s">
        <v>351</v>
      </c>
      <c r="B4414" t="s">
        <v>1214</v>
      </c>
      <c r="C4414" s="1">
        <v>42268</v>
      </c>
      <c r="D4414" s="1">
        <v>42290</v>
      </c>
      <c r="E4414">
        <v>17</v>
      </c>
      <c r="F4414" t="s">
        <v>311</v>
      </c>
      <c r="G4414" t="s">
        <v>16</v>
      </c>
      <c r="H4414" t="s">
        <v>525</v>
      </c>
      <c r="I4414">
        <v>3.9020999999999999</v>
      </c>
      <c r="J4414">
        <v>411998.4</v>
      </c>
      <c r="K4414">
        <v>105583.76258937495</v>
      </c>
    </row>
    <row r="4415" spans="1:11" x14ac:dyDescent="0.25">
      <c r="A4415" t="s">
        <v>3570</v>
      </c>
      <c r="C4415" s="1">
        <v>42284</v>
      </c>
      <c r="D4415" s="1">
        <v>42291</v>
      </c>
      <c r="E4415">
        <v>193</v>
      </c>
      <c r="F4415" t="s">
        <v>304</v>
      </c>
      <c r="G4415" t="s">
        <v>16</v>
      </c>
      <c r="H4415" t="s">
        <v>3571</v>
      </c>
      <c r="I4415">
        <v>3.8567</v>
      </c>
      <c r="J4415">
        <v>335.48</v>
      </c>
      <c r="K4415">
        <v>86.98628361034045</v>
      </c>
    </row>
    <row r="4416" spans="1:11" x14ac:dyDescent="0.25">
      <c r="A4416" t="s">
        <v>342</v>
      </c>
      <c r="B4416" t="s">
        <v>1169</v>
      </c>
      <c r="C4416" s="1">
        <v>42350</v>
      </c>
      <c r="D4416" s="1">
        <v>42355</v>
      </c>
      <c r="E4416">
        <v>2</v>
      </c>
      <c r="F4416" t="s">
        <v>675</v>
      </c>
      <c r="G4416" t="s">
        <v>16</v>
      </c>
      <c r="H4416" t="s">
        <v>6794</v>
      </c>
      <c r="I4416">
        <v>3.8548</v>
      </c>
      <c r="J4416">
        <v>79830</v>
      </c>
      <c r="K4416">
        <v>20709.245615855558</v>
      </c>
    </row>
    <row r="4417" spans="1:11" x14ac:dyDescent="0.25">
      <c r="A4417" t="s">
        <v>603</v>
      </c>
      <c r="B4417" t="s">
        <v>602</v>
      </c>
      <c r="C4417" s="1">
        <v>42305</v>
      </c>
      <c r="D4417" s="1">
        <v>42335</v>
      </c>
      <c r="E4417">
        <v>716</v>
      </c>
      <c r="F4417" t="s">
        <v>301</v>
      </c>
      <c r="G4417" t="s">
        <v>16</v>
      </c>
      <c r="H4417" t="s">
        <v>3572</v>
      </c>
      <c r="I4417">
        <v>3.9114</v>
      </c>
      <c r="J4417">
        <v>27537</v>
      </c>
      <c r="K4417">
        <v>7040.190213222887</v>
      </c>
    </row>
    <row r="4418" spans="1:11" x14ac:dyDescent="0.25">
      <c r="A4418" t="s">
        <v>631</v>
      </c>
      <c r="B4418" t="s">
        <v>630</v>
      </c>
      <c r="C4418" s="1">
        <v>42305</v>
      </c>
      <c r="D4418" s="1">
        <v>42335</v>
      </c>
      <c r="E4418">
        <v>52</v>
      </c>
      <c r="F4418" t="s">
        <v>301</v>
      </c>
      <c r="G4418" t="s">
        <v>16</v>
      </c>
      <c r="H4418" t="s">
        <v>6795</v>
      </c>
      <c r="I4418">
        <v>3.9114</v>
      </c>
      <c r="J4418">
        <v>21188.99</v>
      </c>
      <c r="K4418">
        <v>5417.2393516387992</v>
      </c>
    </row>
    <row r="4419" spans="1:11" x14ac:dyDescent="0.25">
      <c r="A4419" t="s">
        <v>6796</v>
      </c>
      <c r="B4419" t="s">
        <v>6797</v>
      </c>
      <c r="C4419" s="1">
        <v>42319</v>
      </c>
      <c r="D4419" s="1">
        <v>42326</v>
      </c>
      <c r="E4419">
        <v>353</v>
      </c>
      <c r="F4419" t="s">
        <v>278</v>
      </c>
      <c r="G4419" t="s">
        <v>16</v>
      </c>
      <c r="H4419" t="s">
        <v>6798</v>
      </c>
      <c r="I4419">
        <v>3.7980999999999998</v>
      </c>
      <c r="J4419">
        <v>27405</v>
      </c>
      <c r="K4419">
        <v>7215.4498301782469</v>
      </c>
    </row>
    <row r="4420" spans="1:11" x14ac:dyDescent="0.25">
      <c r="A4420" t="s">
        <v>467</v>
      </c>
      <c r="B4420" t="s">
        <v>3122</v>
      </c>
      <c r="C4420" s="1">
        <v>42328</v>
      </c>
      <c r="D4420" s="1">
        <v>42333</v>
      </c>
      <c r="E4420">
        <v>5</v>
      </c>
      <c r="F4420" t="s">
        <v>675</v>
      </c>
      <c r="G4420" t="s">
        <v>16</v>
      </c>
      <c r="H4420" t="s">
        <v>3573</v>
      </c>
      <c r="I4420">
        <v>3.7442000000000002</v>
      </c>
      <c r="J4420">
        <v>9574.4</v>
      </c>
      <c r="K4420">
        <v>2557.1283585278566</v>
      </c>
    </row>
    <row r="4421" spans="1:11" x14ac:dyDescent="0.25">
      <c r="A4421" t="s">
        <v>1220</v>
      </c>
      <c r="B4421" t="s">
        <v>1221</v>
      </c>
      <c r="C4421" s="1">
        <v>42335</v>
      </c>
      <c r="D4421" s="1">
        <v>42341</v>
      </c>
      <c r="E4421">
        <v>20</v>
      </c>
      <c r="F4421" t="s">
        <v>331</v>
      </c>
      <c r="G4421" t="s">
        <v>16</v>
      </c>
      <c r="H4421" t="s">
        <v>3574</v>
      </c>
      <c r="I4421">
        <v>3.7606000000000002</v>
      </c>
      <c r="J4421">
        <v>60629.38</v>
      </c>
      <c r="K4421">
        <v>16122.262404935384</v>
      </c>
    </row>
    <row r="4422" spans="1:11" x14ac:dyDescent="0.25">
      <c r="A4422" t="s">
        <v>1220</v>
      </c>
      <c r="B4422" t="s">
        <v>1221</v>
      </c>
      <c r="C4422" s="1">
        <v>42334</v>
      </c>
      <c r="D4422" s="1">
        <v>42341</v>
      </c>
      <c r="E4422">
        <v>20</v>
      </c>
      <c r="F4422" t="s">
        <v>331</v>
      </c>
      <c r="G4422" t="s">
        <v>16</v>
      </c>
      <c r="H4422" t="s">
        <v>3575</v>
      </c>
      <c r="I4422">
        <v>3.7688000000000001</v>
      </c>
      <c r="J4422">
        <v>60094.27</v>
      </c>
      <c r="K4422">
        <v>15945.200063680748</v>
      </c>
    </row>
    <row r="4423" spans="1:11" x14ac:dyDescent="0.25">
      <c r="A4423" t="s">
        <v>1220</v>
      </c>
      <c r="B4423" t="s">
        <v>1221</v>
      </c>
      <c r="C4423" s="1">
        <v>42334</v>
      </c>
      <c r="D4423" s="1">
        <v>42343</v>
      </c>
      <c r="E4423">
        <v>20</v>
      </c>
      <c r="F4423" t="s">
        <v>331</v>
      </c>
      <c r="G4423" t="s">
        <v>16</v>
      </c>
      <c r="H4423" t="s">
        <v>3576</v>
      </c>
      <c r="I4423">
        <v>3.7688000000000001</v>
      </c>
      <c r="J4423">
        <v>39906.1</v>
      </c>
      <c r="K4423">
        <v>10588.542772235194</v>
      </c>
    </row>
    <row r="4424" spans="1:11" x14ac:dyDescent="0.25">
      <c r="A4424" t="s">
        <v>3137</v>
      </c>
      <c r="B4424" t="s">
        <v>3138</v>
      </c>
      <c r="C4424" s="1">
        <v>42353</v>
      </c>
      <c r="D4424" s="1">
        <v>42359</v>
      </c>
      <c r="E4424">
        <v>203</v>
      </c>
      <c r="F4424" t="s">
        <v>368</v>
      </c>
      <c r="G4424" t="s">
        <v>16</v>
      </c>
      <c r="H4424" t="s">
        <v>3577</v>
      </c>
      <c r="I4424">
        <v>3.9022999999999999</v>
      </c>
      <c r="J4424">
        <v>75113.5</v>
      </c>
      <c r="K4424">
        <v>19248.520103528688</v>
      </c>
    </row>
    <row r="4425" spans="1:11" x14ac:dyDescent="0.25">
      <c r="A4425" t="s">
        <v>3578</v>
      </c>
      <c r="B4425" t="s">
        <v>3579</v>
      </c>
      <c r="C4425" s="1">
        <v>42321</v>
      </c>
      <c r="D4425" s="1">
        <v>42333</v>
      </c>
      <c r="E4425">
        <v>89</v>
      </c>
      <c r="F4425" t="s">
        <v>278</v>
      </c>
      <c r="G4425" t="s">
        <v>16</v>
      </c>
      <c r="H4425" t="s">
        <v>3580</v>
      </c>
      <c r="I4425">
        <v>3.7995999999999999</v>
      </c>
      <c r="J4425">
        <v>17800</v>
      </c>
      <c r="K4425">
        <v>4684.7036530161067</v>
      </c>
    </row>
    <row r="4426" spans="1:11" x14ac:dyDescent="0.25">
      <c r="A4426" t="s">
        <v>429</v>
      </c>
      <c r="B4426" t="s">
        <v>1216</v>
      </c>
      <c r="C4426" s="1">
        <v>42306</v>
      </c>
      <c r="D4426" s="1">
        <v>42311</v>
      </c>
      <c r="E4426">
        <v>5</v>
      </c>
      <c r="F4426" t="s">
        <v>675</v>
      </c>
      <c r="G4426" t="s">
        <v>16</v>
      </c>
      <c r="H4426" t="s">
        <v>6799</v>
      </c>
      <c r="I4426">
        <v>3.8797000000000001</v>
      </c>
      <c r="J4426">
        <v>106981.95</v>
      </c>
      <c r="K4426">
        <v>27574.799597907055</v>
      </c>
    </row>
    <row r="4427" spans="1:11" x14ac:dyDescent="0.25">
      <c r="A4427" t="s">
        <v>429</v>
      </c>
      <c r="B4427" t="s">
        <v>1216</v>
      </c>
      <c r="C4427" s="1">
        <v>42306</v>
      </c>
      <c r="D4427" s="1">
        <v>42311</v>
      </c>
      <c r="E4427">
        <v>5</v>
      </c>
      <c r="F4427" t="s">
        <v>675</v>
      </c>
      <c r="G4427" t="s">
        <v>16</v>
      </c>
      <c r="H4427" t="s">
        <v>3581</v>
      </c>
      <c r="I4427">
        <v>3.8797000000000001</v>
      </c>
      <c r="J4427">
        <v>268789.59999999998</v>
      </c>
      <c r="K4427">
        <v>69281.026883521918</v>
      </c>
    </row>
    <row r="4428" spans="1:11" x14ac:dyDescent="0.25">
      <c r="A4428" t="s">
        <v>429</v>
      </c>
      <c r="B4428" t="s">
        <v>1216</v>
      </c>
      <c r="C4428" s="1">
        <v>42306</v>
      </c>
      <c r="D4428" s="1">
        <v>42311</v>
      </c>
      <c r="E4428">
        <v>5</v>
      </c>
      <c r="F4428" t="s">
        <v>675</v>
      </c>
      <c r="G4428" t="s">
        <v>16</v>
      </c>
      <c r="H4428" t="s">
        <v>6800</v>
      </c>
      <c r="I4428">
        <v>3.8797000000000001</v>
      </c>
      <c r="J4428">
        <v>894740</v>
      </c>
      <c r="K4428">
        <v>230620.92429827049</v>
      </c>
    </row>
    <row r="4429" spans="1:11" x14ac:dyDescent="0.25">
      <c r="A4429" t="s">
        <v>429</v>
      </c>
      <c r="B4429" t="s">
        <v>1216</v>
      </c>
      <c r="C4429" s="1">
        <v>42306</v>
      </c>
      <c r="D4429" s="1">
        <v>42311</v>
      </c>
      <c r="E4429">
        <v>5</v>
      </c>
      <c r="F4429" t="s">
        <v>675</v>
      </c>
      <c r="G4429" t="s">
        <v>16</v>
      </c>
      <c r="H4429" t="s">
        <v>3582</v>
      </c>
      <c r="I4429">
        <v>3.8797000000000001</v>
      </c>
      <c r="J4429">
        <v>18917.349999999999</v>
      </c>
      <c r="K4429">
        <v>4875.982679073124</v>
      </c>
    </row>
    <row r="4430" spans="1:11" x14ac:dyDescent="0.25">
      <c r="A4430" t="s">
        <v>4440</v>
      </c>
      <c r="B4430" t="s">
        <v>4441</v>
      </c>
      <c r="C4430" s="1">
        <v>42327</v>
      </c>
      <c r="D4430" s="1">
        <v>42332</v>
      </c>
      <c r="E4430">
        <v>348</v>
      </c>
      <c r="F4430" t="s">
        <v>406</v>
      </c>
      <c r="G4430" t="s">
        <v>16</v>
      </c>
      <c r="H4430" t="s">
        <v>6801</v>
      </c>
      <c r="I4430">
        <v>3.7921</v>
      </c>
      <c r="J4430">
        <v>123243.25</v>
      </c>
      <c r="K4430">
        <v>32500</v>
      </c>
    </row>
    <row r="4431" spans="1:11" x14ac:dyDescent="0.25">
      <c r="A4431" t="s">
        <v>1220</v>
      </c>
      <c r="B4431" t="s">
        <v>1221</v>
      </c>
      <c r="C4431" s="1">
        <v>42334</v>
      </c>
      <c r="D4431" s="1">
        <v>42338</v>
      </c>
      <c r="E4431">
        <v>20</v>
      </c>
      <c r="F4431" t="s">
        <v>331</v>
      </c>
      <c r="G4431" t="s">
        <v>16</v>
      </c>
      <c r="H4431" t="s">
        <v>6802</v>
      </c>
      <c r="I4431">
        <v>3.7688000000000001</v>
      </c>
      <c r="J4431">
        <v>59429.440000000002</v>
      </c>
      <c r="K4431">
        <v>15768.796433878157</v>
      </c>
    </row>
    <row r="4432" spans="1:11" x14ac:dyDescent="0.25">
      <c r="A4432" t="s">
        <v>1220</v>
      </c>
      <c r="B4432" t="s">
        <v>1221</v>
      </c>
      <c r="C4432" s="1">
        <v>42335</v>
      </c>
      <c r="D4432" s="1">
        <v>42339</v>
      </c>
      <c r="E4432">
        <v>20</v>
      </c>
      <c r="F4432" t="s">
        <v>331</v>
      </c>
      <c r="G4432" t="s">
        <v>16</v>
      </c>
      <c r="H4432" t="s">
        <v>3583</v>
      </c>
      <c r="I4432">
        <v>3.7606000000000002</v>
      </c>
      <c r="J4432">
        <v>60580.73</v>
      </c>
      <c r="K4432">
        <v>16109.325639525608</v>
      </c>
    </row>
    <row r="4433" spans="1:11" x14ac:dyDescent="0.25">
      <c r="A4433" t="s">
        <v>1220</v>
      </c>
      <c r="B4433" t="s">
        <v>1221</v>
      </c>
      <c r="C4433" s="1">
        <v>42334</v>
      </c>
      <c r="D4433" s="1">
        <v>42339</v>
      </c>
      <c r="E4433">
        <v>20</v>
      </c>
      <c r="F4433" t="s">
        <v>331</v>
      </c>
      <c r="G4433" t="s">
        <v>16</v>
      </c>
      <c r="H4433" t="s">
        <v>3584</v>
      </c>
      <c r="I4433">
        <v>3.7688000000000001</v>
      </c>
      <c r="J4433">
        <v>59121.35</v>
      </c>
      <c r="K4433">
        <v>15687.048928040756</v>
      </c>
    </row>
    <row r="4434" spans="1:11" x14ac:dyDescent="0.25">
      <c r="A4434" t="s">
        <v>1220</v>
      </c>
      <c r="B4434" t="s">
        <v>1221</v>
      </c>
      <c r="C4434" s="1">
        <v>42333</v>
      </c>
      <c r="D4434" s="1">
        <v>42340</v>
      </c>
      <c r="E4434">
        <v>20</v>
      </c>
      <c r="F4434" t="s">
        <v>331</v>
      </c>
      <c r="G4434" t="s">
        <v>16</v>
      </c>
      <c r="H4434" t="s">
        <v>3585</v>
      </c>
      <c r="I4434">
        <v>3.7081</v>
      </c>
      <c r="J4434">
        <v>61018.55</v>
      </c>
      <c r="K4434">
        <v>16455.475850165854</v>
      </c>
    </row>
    <row r="4435" spans="1:11" x14ac:dyDescent="0.25">
      <c r="A4435" t="s">
        <v>6803</v>
      </c>
      <c r="B4435" t="s">
        <v>6804</v>
      </c>
      <c r="C4435" s="1">
        <v>42321</v>
      </c>
      <c r="D4435" s="1">
        <v>42338</v>
      </c>
      <c r="E4435">
        <v>1009</v>
      </c>
      <c r="F4435" t="s">
        <v>278</v>
      </c>
      <c r="G4435" t="s">
        <v>16</v>
      </c>
      <c r="H4435" t="s">
        <v>6805</v>
      </c>
      <c r="I4435">
        <v>3.7995999999999999</v>
      </c>
      <c r="J4435">
        <v>17800</v>
      </c>
      <c r="K4435">
        <v>4684.7036530161067</v>
      </c>
    </row>
    <row r="4436" spans="1:11" x14ac:dyDescent="0.25">
      <c r="A4436" t="s">
        <v>353</v>
      </c>
      <c r="B4436" t="s">
        <v>352</v>
      </c>
      <c r="C4436" s="1">
        <v>42307</v>
      </c>
      <c r="D4436" s="1">
        <v>42338</v>
      </c>
      <c r="E4436">
        <v>981</v>
      </c>
      <c r="F4436" t="s">
        <v>675</v>
      </c>
      <c r="G4436" t="s">
        <v>16</v>
      </c>
      <c r="H4436" t="s">
        <v>6806</v>
      </c>
      <c r="I4436">
        <v>3.9327999999999999</v>
      </c>
      <c r="J4436">
        <v>95796</v>
      </c>
      <c r="K4436">
        <v>24358.218063466233</v>
      </c>
    </row>
    <row r="4437" spans="1:11" x14ac:dyDescent="0.25">
      <c r="A4437" t="s">
        <v>3586</v>
      </c>
      <c r="C4437" s="1">
        <v>42361</v>
      </c>
      <c r="D4437" s="1">
        <v>42377</v>
      </c>
      <c r="E4437">
        <v>1065</v>
      </c>
      <c r="F4437" t="s">
        <v>494</v>
      </c>
      <c r="G4437" t="s">
        <v>16</v>
      </c>
      <c r="H4437" t="s">
        <v>3587</v>
      </c>
      <c r="I4437">
        <v>3.9769999999999999</v>
      </c>
      <c r="J4437">
        <v>250</v>
      </c>
      <c r="K4437">
        <v>62.861453356801611</v>
      </c>
    </row>
    <row r="4438" spans="1:11" x14ac:dyDescent="0.25">
      <c r="A4438" t="s">
        <v>428</v>
      </c>
      <c r="B4438" t="s">
        <v>1231</v>
      </c>
      <c r="C4438" s="1">
        <v>42357</v>
      </c>
      <c r="D4438" s="1">
        <v>42361</v>
      </c>
      <c r="E4438">
        <v>22</v>
      </c>
      <c r="F4438" t="s">
        <v>331</v>
      </c>
      <c r="G4438" t="s">
        <v>16</v>
      </c>
      <c r="H4438" t="s">
        <v>6807</v>
      </c>
      <c r="I4438">
        <v>3.9062000000000001</v>
      </c>
      <c r="J4438">
        <v>48473.61</v>
      </c>
      <c r="K4438">
        <v>12409.403000358405</v>
      </c>
    </row>
    <row r="4439" spans="1:11" x14ac:dyDescent="0.25">
      <c r="A4439" t="s">
        <v>428</v>
      </c>
      <c r="B4439" t="s">
        <v>1231</v>
      </c>
      <c r="C4439" s="1">
        <v>42356</v>
      </c>
      <c r="D4439" s="1">
        <v>42361</v>
      </c>
      <c r="E4439">
        <v>22</v>
      </c>
      <c r="F4439" t="s">
        <v>331</v>
      </c>
      <c r="G4439" t="s">
        <v>16</v>
      </c>
      <c r="H4439" t="s">
        <v>3588</v>
      </c>
      <c r="I4439">
        <v>3.8929</v>
      </c>
      <c r="J4439">
        <v>40800.14</v>
      </c>
      <c r="K4439">
        <v>10480.654524904314</v>
      </c>
    </row>
    <row r="4440" spans="1:11" x14ac:dyDescent="0.25">
      <c r="A4440" t="s">
        <v>428</v>
      </c>
      <c r="B4440" t="s">
        <v>1231</v>
      </c>
      <c r="C4440" s="1">
        <v>42358</v>
      </c>
      <c r="D4440" s="1">
        <v>42366</v>
      </c>
      <c r="E4440">
        <v>22</v>
      </c>
      <c r="F4440" t="s">
        <v>331</v>
      </c>
      <c r="G4440" t="s">
        <v>16</v>
      </c>
      <c r="H4440" t="s">
        <v>3589</v>
      </c>
      <c r="I4440">
        <v>3.9062000000000001</v>
      </c>
      <c r="J4440">
        <v>47943.07</v>
      </c>
      <c r="K4440">
        <v>12273.58302186268</v>
      </c>
    </row>
    <row r="4441" spans="1:11" x14ac:dyDescent="0.25">
      <c r="A4441" t="s">
        <v>428</v>
      </c>
      <c r="B4441" t="s">
        <v>1231</v>
      </c>
      <c r="C4441" s="1">
        <v>42360</v>
      </c>
      <c r="D4441" s="1">
        <v>42366</v>
      </c>
      <c r="E4441">
        <v>22</v>
      </c>
      <c r="F4441" t="s">
        <v>331</v>
      </c>
      <c r="G4441" t="s">
        <v>16</v>
      </c>
      <c r="H4441" t="s">
        <v>6808</v>
      </c>
      <c r="I4441">
        <v>3.9830999999999999</v>
      </c>
      <c r="J4441">
        <v>32091.45</v>
      </c>
      <c r="K4441">
        <v>8056.9029148150939</v>
      </c>
    </row>
    <row r="4442" spans="1:11" x14ac:dyDescent="0.25">
      <c r="A4442" t="s">
        <v>428</v>
      </c>
      <c r="B4442" t="s">
        <v>1231</v>
      </c>
      <c r="C4442" s="1">
        <v>42359</v>
      </c>
      <c r="D4442" s="1">
        <v>42377</v>
      </c>
      <c r="E4442">
        <v>22</v>
      </c>
      <c r="F4442" t="s">
        <v>331</v>
      </c>
      <c r="G4442" t="s">
        <v>16</v>
      </c>
      <c r="H4442" t="s">
        <v>3590</v>
      </c>
      <c r="I4442">
        <v>3.9062000000000001</v>
      </c>
      <c r="J4442">
        <v>40282.53</v>
      </c>
      <c r="K4442">
        <v>10312.459679483898</v>
      </c>
    </row>
    <row r="4443" spans="1:11" x14ac:dyDescent="0.25">
      <c r="A4443" t="s">
        <v>467</v>
      </c>
      <c r="B4443" t="s">
        <v>3122</v>
      </c>
      <c r="C4443" s="1">
        <v>42361</v>
      </c>
      <c r="D4443" s="1">
        <v>42374</v>
      </c>
      <c r="E4443">
        <v>5</v>
      </c>
      <c r="F4443" t="s">
        <v>675</v>
      </c>
      <c r="G4443" t="s">
        <v>16</v>
      </c>
      <c r="H4443" t="s">
        <v>3591</v>
      </c>
      <c r="I4443">
        <v>3.9769999999999999</v>
      </c>
      <c r="J4443">
        <v>51710</v>
      </c>
      <c r="K4443">
        <v>13002.263012320846</v>
      </c>
    </row>
    <row r="4444" spans="1:11" x14ac:dyDescent="0.25">
      <c r="A4444" t="s">
        <v>428</v>
      </c>
      <c r="B4444" t="s">
        <v>1231</v>
      </c>
      <c r="C4444" s="1">
        <v>42360</v>
      </c>
      <c r="D4444" s="1">
        <v>42367</v>
      </c>
      <c r="E4444">
        <v>22</v>
      </c>
      <c r="F4444" t="s">
        <v>331</v>
      </c>
      <c r="G4444" t="s">
        <v>16</v>
      </c>
      <c r="H4444" t="s">
        <v>3592</v>
      </c>
      <c r="I4444">
        <v>3.9830999999999999</v>
      </c>
      <c r="J4444">
        <v>41473.019999999997</v>
      </c>
      <c r="K4444">
        <v>10412.246742487008</v>
      </c>
    </row>
    <row r="4445" spans="1:11" x14ac:dyDescent="0.25">
      <c r="A4445" t="s">
        <v>351</v>
      </c>
      <c r="B4445" t="s">
        <v>1214</v>
      </c>
      <c r="C4445" s="1">
        <v>42356</v>
      </c>
      <c r="D4445" s="1">
        <v>42366</v>
      </c>
      <c r="E4445">
        <v>17</v>
      </c>
      <c r="F4445" t="s">
        <v>1255</v>
      </c>
      <c r="G4445" t="s">
        <v>16</v>
      </c>
      <c r="H4445" t="s">
        <v>6809</v>
      </c>
      <c r="I4445">
        <v>3.8929</v>
      </c>
      <c r="J4445">
        <v>606189.6</v>
      </c>
      <c r="K4445">
        <v>155716.71504533896</v>
      </c>
    </row>
    <row r="4446" spans="1:11" x14ac:dyDescent="0.25">
      <c r="A4446" t="s">
        <v>429</v>
      </c>
      <c r="B4446" t="s">
        <v>1216</v>
      </c>
      <c r="C4446" s="1">
        <v>42364</v>
      </c>
      <c r="D4446" s="1">
        <v>42367</v>
      </c>
      <c r="E4446">
        <v>5</v>
      </c>
      <c r="F4446" t="s">
        <v>675</v>
      </c>
      <c r="G4446" t="s">
        <v>16</v>
      </c>
      <c r="H4446" t="s">
        <v>6810</v>
      </c>
      <c r="I4446">
        <v>3.9523999999999999</v>
      </c>
      <c r="J4446">
        <v>759954.36</v>
      </c>
      <c r="K4446">
        <v>192276.68252201195</v>
      </c>
    </row>
    <row r="4447" spans="1:11" x14ac:dyDescent="0.25">
      <c r="A4447" t="s">
        <v>428</v>
      </c>
      <c r="B4447" t="s">
        <v>1231</v>
      </c>
      <c r="C4447" s="1">
        <v>42359</v>
      </c>
      <c r="D4447" s="1">
        <v>42381</v>
      </c>
      <c r="E4447">
        <v>22</v>
      </c>
      <c r="F4447" t="s">
        <v>331</v>
      </c>
      <c r="G4447" t="s">
        <v>16</v>
      </c>
      <c r="H4447" t="s">
        <v>6811</v>
      </c>
      <c r="I4447">
        <v>3.9062000000000001</v>
      </c>
      <c r="J4447">
        <v>48680.66</v>
      </c>
      <c r="K4447">
        <v>12462.408478828529</v>
      </c>
    </row>
    <row r="4448" spans="1:11" x14ac:dyDescent="0.25">
      <c r="A4448" t="s">
        <v>457</v>
      </c>
      <c r="B4448" t="s">
        <v>3593</v>
      </c>
      <c r="C4448" s="1">
        <v>42395</v>
      </c>
      <c r="D4448" s="1">
        <v>42403</v>
      </c>
      <c r="E4448">
        <v>734</v>
      </c>
      <c r="F4448" t="s">
        <v>311</v>
      </c>
      <c r="G4448" t="s">
        <v>16</v>
      </c>
      <c r="H4448" t="s">
        <v>3594</v>
      </c>
      <c r="I4448">
        <v>4.1002000000000001</v>
      </c>
      <c r="J4448">
        <v>414828.92</v>
      </c>
      <c r="K4448">
        <v>101172.85010487294</v>
      </c>
    </row>
    <row r="4449" spans="1:11" x14ac:dyDescent="0.25">
      <c r="A4449" t="s">
        <v>495</v>
      </c>
      <c r="B4449" t="s">
        <v>6812</v>
      </c>
      <c r="C4449" s="1">
        <v>42395</v>
      </c>
      <c r="D4449" s="1">
        <v>42403</v>
      </c>
      <c r="E4449">
        <v>640</v>
      </c>
      <c r="F4449" t="s">
        <v>311</v>
      </c>
      <c r="G4449" t="s">
        <v>16</v>
      </c>
      <c r="H4449" t="s">
        <v>6813</v>
      </c>
      <c r="I4449">
        <v>4.1002000000000001</v>
      </c>
      <c r="J4449">
        <v>45090.1</v>
      </c>
      <c r="K4449">
        <v>10997.04892444271</v>
      </c>
    </row>
    <row r="4450" spans="1:11" x14ac:dyDescent="0.25">
      <c r="A4450" t="s">
        <v>428</v>
      </c>
      <c r="B4450" t="s">
        <v>1231</v>
      </c>
      <c r="C4450" s="1">
        <v>42359</v>
      </c>
      <c r="D4450" s="1">
        <v>42375</v>
      </c>
      <c r="E4450">
        <v>22</v>
      </c>
      <c r="F4450" t="s">
        <v>331</v>
      </c>
      <c r="G4450" t="s">
        <v>16</v>
      </c>
      <c r="H4450" t="s">
        <v>6814</v>
      </c>
      <c r="I4450">
        <v>3.9062000000000001</v>
      </c>
      <c r="J4450">
        <v>47089.02</v>
      </c>
      <c r="K4450">
        <v>12054.943423275818</v>
      </c>
    </row>
    <row r="4451" spans="1:11" x14ac:dyDescent="0.25">
      <c r="A4451" t="s">
        <v>428</v>
      </c>
      <c r="B4451" t="s">
        <v>1231</v>
      </c>
      <c r="C4451" s="1">
        <v>42357</v>
      </c>
      <c r="D4451" s="1">
        <v>42380</v>
      </c>
      <c r="E4451">
        <v>22</v>
      </c>
      <c r="F4451" t="s">
        <v>331</v>
      </c>
      <c r="G4451" t="s">
        <v>16</v>
      </c>
      <c r="H4451" t="s">
        <v>3595</v>
      </c>
      <c r="I4451">
        <v>3.9062000000000001</v>
      </c>
      <c r="J4451">
        <v>31962.05</v>
      </c>
      <c r="K4451">
        <v>8182.3895345860428</v>
      </c>
    </row>
    <row r="4452" spans="1:11" x14ac:dyDescent="0.25">
      <c r="A4452" t="s">
        <v>62</v>
      </c>
      <c r="B4452" t="s">
        <v>63</v>
      </c>
      <c r="C4452" s="1">
        <v>42398</v>
      </c>
      <c r="D4452" s="1">
        <v>42410</v>
      </c>
      <c r="E4452">
        <v>1</v>
      </c>
      <c r="F4452" t="s">
        <v>368</v>
      </c>
      <c r="G4452" t="s">
        <v>16</v>
      </c>
      <c r="H4452" t="s">
        <v>3596</v>
      </c>
      <c r="I4452">
        <v>4.0838000000000001</v>
      </c>
      <c r="J4452">
        <v>72840.740000000005</v>
      </c>
      <c r="K4452">
        <v>17836.510113129927</v>
      </c>
    </row>
    <row r="4453" spans="1:11" x14ac:dyDescent="0.25">
      <c r="A4453" t="s">
        <v>118</v>
      </c>
      <c r="B4453" t="s">
        <v>119</v>
      </c>
      <c r="C4453" s="1">
        <v>42423</v>
      </c>
      <c r="D4453" s="1">
        <v>42432</v>
      </c>
      <c r="E4453">
        <v>2</v>
      </c>
      <c r="F4453" t="s">
        <v>301</v>
      </c>
      <c r="G4453" t="s">
        <v>16</v>
      </c>
      <c r="H4453" t="s">
        <v>6815</v>
      </c>
      <c r="I4453">
        <v>3.9618000000000002</v>
      </c>
      <c r="J4453">
        <v>67230</v>
      </c>
      <c r="K4453">
        <v>16969.559291231257</v>
      </c>
    </row>
    <row r="4454" spans="1:11" x14ac:dyDescent="0.25">
      <c r="A4454" t="s">
        <v>410</v>
      </c>
      <c r="B4454" t="s">
        <v>1250</v>
      </c>
      <c r="C4454" s="1">
        <v>42426</v>
      </c>
      <c r="D4454" s="1">
        <v>42432</v>
      </c>
      <c r="E4454">
        <v>2108</v>
      </c>
      <c r="F4454" t="s">
        <v>409</v>
      </c>
      <c r="G4454" t="s">
        <v>16</v>
      </c>
      <c r="H4454" t="s">
        <v>3597</v>
      </c>
      <c r="I4454">
        <v>3.94</v>
      </c>
      <c r="J4454">
        <v>48758.97</v>
      </c>
      <c r="K4454">
        <v>12375.373096446701</v>
      </c>
    </row>
    <row r="4455" spans="1:11" x14ac:dyDescent="0.25">
      <c r="A4455" t="s">
        <v>462</v>
      </c>
      <c r="B4455" t="s">
        <v>461</v>
      </c>
      <c r="C4455" s="1">
        <v>42408</v>
      </c>
      <c r="D4455" s="1">
        <v>42411</v>
      </c>
      <c r="E4455">
        <v>367</v>
      </c>
      <c r="F4455" t="s">
        <v>675</v>
      </c>
      <c r="G4455" t="s">
        <v>16</v>
      </c>
      <c r="H4455" t="s">
        <v>6816</v>
      </c>
      <c r="I4455">
        <v>3.8975</v>
      </c>
      <c r="J4455">
        <v>95796</v>
      </c>
      <c r="K4455">
        <v>24578.832584990378</v>
      </c>
    </row>
    <row r="4456" spans="1:11" x14ac:dyDescent="0.25">
      <c r="A4456" t="s">
        <v>601</v>
      </c>
      <c r="B4456" t="s">
        <v>3598</v>
      </c>
      <c r="C4456" s="1">
        <v>42395</v>
      </c>
      <c r="D4456" s="1">
        <v>42412</v>
      </c>
      <c r="E4456">
        <v>1346</v>
      </c>
      <c r="F4456" t="s">
        <v>311</v>
      </c>
      <c r="G4456" t="s">
        <v>16</v>
      </c>
      <c r="H4456" t="s">
        <v>3599</v>
      </c>
      <c r="I4456">
        <v>4.1002000000000001</v>
      </c>
      <c r="J4456">
        <v>63126.14</v>
      </c>
      <c r="K4456">
        <v>15395.868494219794</v>
      </c>
    </row>
    <row r="4457" spans="1:11" x14ac:dyDescent="0.25">
      <c r="A4457" t="s">
        <v>218</v>
      </c>
      <c r="B4457" t="s">
        <v>219</v>
      </c>
      <c r="C4457" s="1">
        <v>42423</v>
      </c>
      <c r="D4457" s="1">
        <v>42431</v>
      </c>
      <c r="E4457">
        <v>2</v>
      </c>
      <c r="F4457" t="s">
        <v>301</v>
      </c>
      <c r="G4457" t="s">
        <v>16</v>
      </c>
      <c r="H4457" t="s">
        <v>6817</v>
      </c>
      <c r="I4457">
        <v>3.9618000000000002</v>
      </c>
      <c r="J4457">
        <v>67230</v>
      </c>
      <c r="K4457">
        <v>16969.559291231257</v>
      </c>
    </row>
    <row r="4458" spans="1:11" x14ac:dyDescent="0.25">
      <c r="A4458" t="s">
        <v>218</v>
      </c>
      <c r="B4458" t="s">
        <v>219</v>
      </c>
      <c r="C4458" s="1">
        <v>42423</v>
      </c>
      <c r="D4458" s="1">
        <v>42431</v>
      </c>
      <c r="E4458">
        <v>2</v>
      </c>
      <c r="F4458" t="s">
        <v>301</v>
      </c>
      <c r="G4458" t="s">
        <v>16</v>
      </c>
      <c r="H4458" t="s">
        <v>6818</v>
      </c>
      <c r="I4458">
        <v>3.9618000000000002</v>
      </c>
      <c r="J4458">
        <v>67230</v>
      </c>
      <c r="K4458">
        <v>16969.559291231257</v>
      </c>
    </row>
    <row r="4459" spans="1:11" x14ac:dyDescent="0.25">
      <c r="A4459" t="s">
        <v>2238</v>
      </c>
      <c r="B4459" t="s">
        <v>2239</v>
      </c>
      <c r="C4459" s="1">
        <v>42412</v>
      </c>
      <c r="D4459" s="1">
        <v>42417</v>
      </c>
      <c r="E4459">
        <v>724</v>
      </c>
      <c r="F4459" t="s">
        <v>368</v>
      </c>
      <c r="G4459" t="s">
        <v>16</v>
      </c>
      <c r="H4459" t="s">
        <v>6819</v>
      </c>
      <c r="I4459">
        <v>3.9641999999999999</v>
      </c>
      <c r="J4459">
        <v>44366.9</v>
      </c>
      <c r="K4459">
        <v>11191.89243731396</v>
      </c>
    </row>
    <row r="4460" spans="1:11" x14ac:dyDescent="0.25">
      <c r="A4460" t="s">
        <v>473</v>
      </c>
      <c r="B4460" t="s">
        <v>1248</v>
      </c>
      <c r="C4460" s="1">
        <v>42409</v>
      </c>
      <c r="D4460" s="1">
        <v>42417</v>
      </c>
      <c r="E4460">
        <v>641</v>
      </c>
      <c r="F4460" t="s">
        <v>409</v>
      </c>
      <c r="G4460" t="s">
        <v>16</v>
      </c>
      <c r="H4460" t="s">
        <v>3600</v>
      </c>
      <c r="I4460">
        <v>3.8975</v>
      </c>
      <c r="J4460">
        <v>48166.559999999998</v>
      </c>
      <c r="K4460">
        <v>12358.322001282873</v>
      </c>
    </row>
    <row r="4461" spans="1:11" x14ac:dyDescent="0.25">
      <c r="A4461" t="s">
        <v>473</v>
      </c>
      <c r="B4461" t="s">
        <v>1248</v>
      </c>
      <c r="C4461" s="1">
        <v>42409</v>
      </c>
      <c r="D4461" s="1">
        <v>42417</v>
      </c>
      <c r="E4461">
        <v>641</v>
      </c>
      <c r="F4461" t="s">
        <v>409</v>
      </c>
      <c r="G4461" t="s">
        <v>16</v>
      </c>
      <c r="H4461" t="s">
        <v>3601</v>
      </c>
      <c r="I4461">
        <v>3.8975</v>
      </c>
      <c r="J4461">
        <v>48166.559999999998</v>
      </c>
      <c r="K4461">
        <v>12358.322001282873</v>
      </c>
    </row>
    <row r="4462" spans="1:11" x14ac:dyDescent="0.25">
      <c r="A4462" t="s">
        <v>2238</v>
      </c>
      <c r="B4462" t="s">
        <v>2239</v>
      </c>
      <c r="C4462" s="1">
        <v>42416</v>
      </c>
      <c r="D4462" s="1">
        <v>42418</v>
      </c>
      <c r="E4462">
        <v>724</v>
      </c>
      <c r="F4462" t="s">
        <v>368</v>
      </c>
      <c r="G4462" t="s">
        <v>16</v>
      </c>
      <c r="H4462" t="s">
        <v>3602</v>
      </c>
      <c r="I4462">
        <v>3.9885000000000002</v>
      </c>
      <c r="J4462">
        <v>43963.44</v>
      </c>
      <c r="K4462">
        <v>11022.549830763444</v>
      </c>
    </row>
    <row r="4463" spans="1:11" x14ac:dyDescent="0.25">
      <c r="A4463" t="s">
        <v>429</v>
      </c>
      <c r="B4463" t="s">
        <v>1216</v>
      </c>
      <c r="C4463" s="1">
        <v>42391</v>
      </c>
      <c r="D4463" s="1">
        <v>42408</v>
      </c>
      <c r="E4463">
        <v>5</v>
      </c>
      <c r="F4463" t="s">
        <v>301</v>
      </c>
      <c r="G4463" t="s">
        <v>16</v>
      </c>
      <c r="H4463" t="s">
        <v>6820</v>
      </c>
      <c r="I4463">
        <v>4.1558000000000002</v>
      </c>
      <c r="J4463">
        <v>37461.919999999998</v>
      </c>
      <c r="K4463">
        <v>9014.3702776842001</v>
      </c>
    </row>
    <row r="4464" spans="1:11" x14ac:dyDescent="0.25">
      <c r="A4464" t="s">
        <v>179</v>
      </c>
      <c r="B4464" t="s">
        <v>180</v>
      </c>
      <c r="C4464" s="1">
        <v>42398</v>
      </c>
      <c r="D4464" s="1">
        <v>42401</v>
      </c>
      <c r="E4464">
        <v>1</v>
      </c>
      <c r="F4464" t="s">
        <v>368</v>
      </c>
      <c r="G4464" t="s">
        <v>16</v>
      </c>
      <c r="H4464" t="s">
        <v>6821</v>
      </c>
      <c r="I4464">
        <v>4.0838000000000001</v>
      </c>
      <c r="J4464">
        <v>72830.039999999994</v>
      </c>
      <c r="K4464">
        <v>17833.890004407658</v>
      </c>
    </row>
    <row r="4465" spans="1:11" x14ac:dyDescent="0.25">
      <c r="A4465" t="s">
        <v>179</v>
      </c>
      <c r="B4465" t="s">
        <v>180</v>
      </c>
      <c r="C4465" s="1">
        <v>42404</v>
      </c>
      <c r="D4465" s="1">
        <v>42408</v>
      </c>
      <c r="E4465">
        <v>1</v>
      </c>
      <c r="F4465" t="s">
        <v>368</v>
      </c>
      <c r="G4465" t="s">
        <v>16</v>
      </c>
      <c r="H4465" t="s">
        <v>6822</v>
      </c>
      <c r="I4465">
        <v>3.9558</v>
      </c>
      <c r="J4465">
        <v>63624.42</v>
      </c>
      <c r="K4465">
        <v>16083.831336265737</v>
      </c>
    </row>
    <row r="4466" spans="1:11" x14ac:dyDescent="0.25">
      <c r="A4466" t="s">
        <v>410</v>
      </c>
      <c r="B4466" t="s">
        <v>1250</v>
      </c>
      <c r="C4466" s="1">
        <v>42422</v>
      </c>
      <c r="D4466" s="1">
        <v>42427</v>
      </c>
      <c r="E4466">
        <v>2108</v>
      </c>
      <c r="F4466" t="s">
        <v>409</v>
      </c>
      <c r="G4466" t="s">
        <v>16</v>
      </c>
      <c r="H4466" t="s">
        <v>3603</v>
      </c>
      <c r="I4466">
        <v>4.0491999999999999</v>
      </c>
      <c r="J4466">
        <v>47441.16</v>
      </c>
      <c r="K4466">
        <v>11716.180974019559</v>
      </c>
    </row>
    <row r="4467" spans="1:11" x14ac:dyDescent="0.25">
      <c r="A4467" t="s">
        <v>410</v>
      </c>
      <c r="B4467" t="s">
        <v>1250</v>
      </c>
      <c r="C4467" s="1">
        <v>42421</v>
      </c>
      <c r="D4467" s="1">
        <v>42429</v>
      </c>
      <c r="E4467">
        <v>2108</v>
      </c>
      <c r="F4467" t="s">
        <v>409</v>
      </c>
      <c r="G4467" t="s">
        <v>16</v>
      </c>
      <c r="H4467" t="s">
        <v>3604</v>
      </c>
      <c r="I4467">
        <v>4.0491999999999999</v>
      </c>
      <c r="J4467">
        <v>65969.570000000007</v>
      </c>
      <c r="K4467">
        <v>16292.000889064506</v>
      </c>
    </row>
    <row r="4468" spans="1:11" x14ac:dyDescent="0.25">
      <c r="A4468" t="s">
        <v>1243</v>
      </c>
      <c r="B4468" t="s">
        <v>1244</v>
      </c>
      <c r="C4468" s="1">
        <v>42435</v>
      </c>
      <c r="D4468" s="1">
        <v>42437</v>
      </c>
      <c r="E4468">
        <v>2461</v>
      </c>
      <c r="F4468" t="s">
        <v>368</v>
      </c>
      <c r="G4468" t="s">
        <v>16</v>
      </c>
      <c r="H4468" t="s">
        <v>3605</v>
      </c>
      <c r="I4468">
        <v>3.7187999999999999</v>
      </c>
      <c r="J4468">
        <v>40273.769999999997</v>
      </c>
      <c r="K4468">
        <v>10829.775734107776</v>
      </c>
    </row>
    <row r="4469" spans="1:11" x14ac:dyDescent="0.25">
      <c r="A4469" t="s">
        <v>1253</v>
      </c>
      <c r="B4469" t="s">
        <v>1254</v>
      </c>
      <c r="C4469" s="1">
        <v>42436</v>
      </c>
      <c r="D4469" s="1">
        <v>42440</v>
      </c>
      <c r="E4469">
        <v>2359</v>
      </c>
      <c r="F4469" t="s">
        <v>1255</v>
      </c>
      <c r="G4469" t="s">
        <v>16</v>
      </c>
      <c r="H4469" t="s">
        <v>3606</v>
      </c>
      <c r="I4469">
        <v>3.7187999999999999</v>
      </c>
      <c r="J4469">
        <v>647778.56000000006</v>
      </c>
      <c r="K4469">
        <v>174190.21189631065</v>
      </c>
    </row>
    <row r="4470" spans="1:11" x14ac:dyDescent="0.25">
      <c r="A4470" t="s">
        <v>1253</v>
      </c>
      <c r="B4470" t="s">
        <v>1254</v>
      </c>
      <c r="C4470" s="1">
        <v>42436</v>
      </c>
      <c r="D4470" s="1">
        <v>42440</v>
      </c>
      <c r="E4470">
        <v>2359</v>
      </c>
      <c r="F4470" t="s">
        <v>1255</v>
      </c>
      <c r="G4470" t="s">
        <v>16</v>
      </c>
      <c r="H4470" t="s">
        <v>3607</v>
      </c>
      <c r="I4470">
        <v>3.7187999999999999</v>
      </c>
      <c r="J4470">
        <v>554289.78</v>
      </c>
      <c r="K4470">
        <v>149050.70990642143</v>
      </c>
    </row>
    <row r="4471" spans="1:11" x14ac:dyDescent="0.25">
      <c r="A4471" t="s">
        <v>147</v>
      </c>
      <c r="B4471" t="s">
        <v>148</v>
      </c>
      <c r="C4471" s="1">
        <v>42451</v>
      </c>
      <c r="D4471" s="1">
        <v>42458</v>
      </c>
      <c r="E4471">
        <v>3</v>
      </c>
      <c r="F4471" t="s">
        <v>331</v>
      </c>
      <c r="G4471" t="s">
        <v>16</v>
      </c>
      <c r="H4471" t="s">
        <v>3608</v>
      </c>
      <c r="I4471">
        <v>3.6229</v>
      </c>
      <c r="J4471">
        <v>72267</v>
      </c>
      <c r="K4471">
        <v>19947.279803472356</v>
      </c>
    </row>
    <row r="4472" spans="1:11" x14ac:dyDescent="0.25">
      <c r="A4472" t="s">
        <v>128</v>
      </c>
      <c r="B4472" t="s">
        <v>129</v>
      </c>
      <c r="C4472" s="1">
        <v>42452</v>
      </c>
      <c r="D4472" s="1">
        <v>42458</v>
      </c>
      <c r="E4472">
        <v>2</v>
      </c>
      <c r="F4472" t="s">
        <v>331</v>
      </c>
      <c r="G4472" t="s">
        <v>16</v>
      </c>
      <c r="H4472" t="s">
        <v>3609</v>
      </c>
      <c r="I4472">
        <v>3.6073</v>
      </c>
      <c r="J4472">
        <v>99670.74</v>
      </c>
      <c r="K4472">
        <v>27630.288581487541</v>
      </c>
    </row>
    <row r="4473" spans="1:11" x14ac:dyDescent="0.25">
      <c r="A4473" t="s">
        <v>128</v>
      </c>
      <c r="B4473" t="s">
        <v>129</v>
      </c>
      <c r="C4473" s="1">
        <v>42452</v>
      </c>
      <c r="D4473" s="1">
        <v>42458</v>
      </c>
      <c r="E4473">
        <v>2</v>
      </c>
      <c r="F4473" t="s">
        <v>331</v>
      </c>
      <c r="G4473" t="s">
        <v>16</v>
      </c>
      <c r="H4473" t="s">
        <v>6823</v>
      </c>
      <c r="I4473">
        <v>3.6073</v>
      </c>
      <c r="J4473">
        <v>103019.28</v>
      </c>
      <c r="K4473">
        <v>28558.556260915368</v>
      </c>
    </row>
    <row r="4474" spans="1:11" x14ac:dyDescent="0.25">
      <c r="A4474" t="s">
        <v>104</v>
      </c>
      <c r="B4474" t="s">
        <v>105</v>
      </c>
      <c r="C4474" s="1">
        <v>42453</v>
      </c>
      <c r="D4474" s="1">
        <v>42459</v>
      </c>
      <c r="E4474">
        <v>3</v>
      </c>
      <c r="F4474" t="s">
        <v>331</v>
      </c>
      <c r="G4474" t="s">
        <v>16</v>
      </c>
      <c r="H4474" t="s">
        <v>6824</v>
      </c>
      <c r="I4474">
        <v>3.6530999999999998</v>
      </c>
      <c r="J4474">
        <v>91463.58</v>
      </c>
      <c r="K4474">
        <v>25037.250554323724</v>
      </c>
    </row>
    <row r="4475" spans="1:11" x14ac:dyDescent="0.25">
      <c r="A4475" t="s">
        <v>104</v>
      </c>
      <c r="B4475" t="s">
        <v>105</v>
      </c>
      <c r="C4475" s="1">
        <v>42453</v>
      </c>
      <c r="D4475" s="1">
        <v>42459</v>
      </c>
      <c r="E4475">
        <v>3</v>
      </c>
      <c r="F4475" t="s">
        <v>331</v>
      </c>
      <c r="G4475" t="s">
        <v>16</v>
      </c>
      <c r="H4475" t="s">
        <v>3610</v>
      </c>
      <c r="I4475">
        <v>3.6530999999999998</v>
      </c>
      <c r="J4475">
        <v>72792.72</v>
      </c>
      <c r="K4475">
        <v>19926.287262872629</v>
      </c>
    </row>
    <row r="4476" spans="1:11" x14ac:dyDescent="0.25">
      <c r="A4476" t="s">
        <v>179</v>
      </c>
      <c r="B4476" t="s">
        <v>180</v>
      </c>
      <c r="C4476" s="1">
        <v>42453</v>
      </c>
      <c r="D4476" s="1">
        <v>42457</v>
      </c>
      <c r="E4476">
        <v>1</v>
      </c>
      <c r="F4476" t="s">
        <v>368</v>
      </c>
      <c r="G4476" t="s">
        <v>16</v>
      </c>
      <c r="H4476" t="s">
        <v>3611</v>
      </c>
      <c r="I4476">
        <v>3.6530999999999998</v>
      </c>
      <c r="J4476">
        <v>66133.94</v>
      </c>
      <c r="K4476">
        <v>18103.512085625905</v>
      </c>
    </row>
    <row r="4477" spans="1:11" x14ac:dyDescent="0.25">
      <c r="A4477" t="s">
        <v>179</v>
      </c>
      <c r="B4477" t="s">
        <v>180</v>
      </c>
      <c r="C4477" s="1">
        <v>42453</v>
      </c>
      <c r="D4477" s="1">
        <v>42457</v>
      </c>
      <c r="E4477">
        <v>1</v>
      </c>
      <c r="F4477" t="s">
        <v>368</v>
      </c>
      <c r="G4477" t="s">
        <v>16</v>
      </c>
      <c r="H4477" t="s">
        <v>6825</v>
      </c>
      <c r="I4477">
        <v>3.6530999999999998</v>
      </c>
      <c r="J4477">
        <v>66639.67</v>
      </c>
      <c r="K4477">
        <v>18241.950672031973</v>
      </c>
    </row>
    <row r="4478" spans="1:11" x14ac:dyDescent="0.25">
      <c r="A4478" t="s">
        <v>1265</v>
      </c>
      <c r="B4478" t="s">
        <v>1266</v>
      </c>
      <c r="C4478" s="1">
        <v>42467</v>
      </c>
      <c r="D4478" s="1">
        <v>42472</v>
      </c>
      <c r="E4478">
        <v>4070</v>
      </c>
      <c r="F4478" t="s">
        <v>331</v>
      </c>
      <c r="G4478" t="s">
        <v>16</v>
      </c>
      <c r="H4478" t="s">
        <v>3612</v>
      </c>
      <c r="I4478">
        <v>3.6749000000000001</v>
      </c>
      <c r="J4478">
        <v>45091.02</v>
      </c>
      <c r="K4478">
        <v>12269.999183651256</v>
      </c>
    </row>
    <row r="4479" spans="1:11" x14ac:dyDescent="0.25">
      <c r="A4479" t="s">
        <v>1265</v>
      </c>
      <c r="B4479" t="s">
        <v>1266</v>
      </c>
      <c r="C4479" s="1">
        <v>42469</v>
      </c>
      <c r="D4479" s="1">
        <v>42474</v>
      </c>
      <c r="E4479">
        <v>4070</v>
      </c>
      <c r="F4479" t="s">
        <v>331</v>
      </c>
      <c r="G4479" t="s">
        <v>16</v>
      </c>
      <c r="H4479" t="s">
        <v>6826</v>
      </c>
      <c r="I4479">
        <v>3.6385000000000001</v>
      </c>
      <c r="J4479">
        <v>37822.21</v>
      </c>
      <c r="K4479">
        <v>10395.000687096332</v>
      </c>
    </row>
    <row r="4480" spans="1:11" x14ac:dyDescent="0.25">
      <c r="A4480" t="s">
        <v>1265</v>
      </c>
      <c r="B4480" t="s">
        <v>1266</v>
      </c>
      <c r="C4480" s="1">
        <v>42467</v>
      </c>
      <c r="D4480" s="1">
        <v>42472</v>
      </c>
      <c r="E4480">
        <v>4070</v>
      </c>
      <c r="F4480" t="s">
        <v>331</v>
      </c>
      <c r="G4480" t="s">
        <v>16</v>
      </c>
      <c r="H4480" t="s">
        <v>6827</v>
      </c>
      <c r="I4480">
        <v>3.6749000000000001</v>
      </c>
      <c r="J4480">
        <v>43856.26</v>
      </c>
      <c r="K4480">
        <v>11934.000925195243</v>
      </c>
    </row>
    <row r="4481" spans="1:11" x14ac:dyDescent="0.25">
      <c r="A4481" t="s">
        <v>429</v>
      </c>
      <c r="B4481" t="s">
        <v>1216</v>
      </c>
      <c r="C4481" s="1">
        <v>42408</v>
      </c>
      <c r="D4481" s="1">
        <v>42462</v>
      </c>
      <c r="E4481">
        <v>5</v>
      </c>
      <c r="F4481" t="s">
        <v>675</v>
      </c>
      <c r="G4481" t="s">
        <v>16</v>
      </c>
      <c r="H4481" t="s">
        <v>3613</v>
      </c>
      <c r="I4481">
        <v>3.8975</v>
      </c>
      <c r="J4481">
        <v>107484</v>
      </c>
      <c r="K4481">
        <v>27577.677998717125</v>
      </c>
    </row>
    <row r="4482" spans="1:11" x14ac:dyDescent="0.25">
      <c r="A4482" t="s">
        <v>1243</v>
      </c>
      <c r="B4482" t="s">
        <v>1244</v>
      </c>
      <c r="C4482" s="1">
        <v>42439</v>
      </c>
      <c r="D4482" s="1">
        <v>42444</v>
      </c>
      <c r="E4482">
        <v>2461</v>
      </c>
      <c r="F4482" t="s">
        <v>368</v>
      </c>
      <c r="G4482" t="s">
        <v>16</v>
      </c>
      <c r="H4482" t="s">
        <v>6828</v>
      </c>
      <c r="I4482">
        <v>3.7037</v>
      </c>
      <c r="J4482">
        <v>40402.21</v>
      </c>
      <c r="K4482">
        <v>10908.607608607608</v>
      </c>
    </row>
    <row r="4483" spans="1:11" x14ac:dyDescent="0.25">
      <c r="A4483" t="s">
        <v>1243</v>
      </c>
      <c r="B4483" t="s">
        <v>1244</v>
      </c>
      <c r="C4483" s="1">
        <v>42441</v>
      </c>
      <c r="D4483" s="1">
        <v>42444</v>
      </c>
      <c r="E4483">
        <v>2461</v>
      </c>
      <c r="F4483" t="s">
        <v>368</v>
      </c>
      <c r="G4483" t="s">
        <v>16</v>
      </c>
      <c r="H4483" t="s">
        <v>6829</v>
      </c>
      <c r="I4483">
        <v>3.6271</v>
      </c>
      <c r="J4483">
        <v>30225.64</v>
      </c>
      <c r="K4483">
        <v>8333.2800308786627</v>
      </c>
    </row>
    <row r="4484" spans="1:11" x14ac:dyDescent="0.25">
      <c r="A4484" t="s">
        <v>1243</v>
      </c>
      <c r="B4484" t="s">
        <v>1244</v>
      </c>
      <c r="C4484" s="1">
        <v>42440</v>
      </c>
      <c r="D4484" s="1">
        <v>42444</v>
      </c>
      <c r="E4484">
        <v>2461</v>
      </c>
      <c r="F4484" t="s">
        <v>368</v>
      </c>
      <c r="G4484" t="s">
        <v>16</v>
      </c>
      <c r="H4484" t="s">
        <v>3614</v>
      </c>
      <c r="I4484">
        <v>3.67</v>
      </c>
      <c r="J4484">
        <v>52711.46</v>
      </c>
      <c r="K4484">
        <v>14362.795640326976</v>
      </c>
    </row>
    <row r="4485" spans="1:11" x14ac:dyDescent="0.25">
      <c r="A4485" t="s">
        <v>104</v>
      </c>
      <c r="B4485" t="s">
        <v>105</v>
      </c>
      <c r="C4485" s="1">
        <v>42453</v>
      </c>
      <c r="D4485" s="1">
        <v>42460</v>
      </c>
      <c r="E4485">
        <v>3</v>
      </c>
      <c r="F4485" t="s">
        <v>331</v>
      </c>
      <c r="G4485" t="s">
        <v>16</v>
      </c>
      <c r="H4485" t="s">
        <v>6830</v>
      </c>
      <c r="I4485">
        <v>3.6530999999999998</v>
      </c>
      <c r="J4485">
        <v>73462.350000000006</v>
      </c>
      <c r="K4485">
        <v>20109.591853494294</v>
      </c>
    </row>
    <row r="4486" spans="1:11" x14ac:dyDescent="0.25">
      <c r="A4486" t="s">
        <v>104</v>
      </c>
      <c r="B4486" t="s">
        <v>105</v>
      </c>
      <c r="C4486" s="1">
        <v>42452</v>
      </c>
      <c r="D4486" s="1">
        <v>42461</v>
      </c>
      <c r="E4486">
        <v>3</v>
      </c>
      <c r="F4486" t="s">
        <v>331</v>
      </c>
      <c r="G4486" t="s">
        <v>16</v>
      </c>
      <c r="H4486" t="s">
        <v>6831</v>
      </c>
      <c r="I4486">
        <v>3.6073</v>
      </c>
      <c r="J4486">
        <v>90833.34</v>
      </c>
      <c r="K4486">
        <v>25180.423031075872</v>
      </c>
    </row>
    <row r="4487" spans="1:11" x14ac:dyDescent="0.25">
      <c r="A4487" t="s">
        <v>147</v>
      </c>
      <c r="B4487" t="s">
        <v>148</v>
      </c>
      <c r="C4487" s="1">
        <v>42452</v>
      </c>
      <c r="D4487" s="1">
        <v>42461</v>
      </c>
      <c r="E4487">
        <v>3</v>
      </c>
      <c r="F4487" t="s">
        <v>331</v>
      </c>
      <c r="G4487" t="s">
        <v>16</v>
      </c>
      <c r="H4487" t="s">
        <v>3615</v>
      </c>
      <c r="I4487">
        <v>3.6073</v>
      </c>
      <c r="J4487">
        <v>89895</v>
      </c>
      <c r="K4487">
        <v>24920.300501760321</v>
      </c>
    </row>
    <row r="4488" spans="1:11" x14ac:dyDescent="0.25">
      <c r="A4488" t="s">
        <v>1265</v>
      </c>
      <c r="B4488" t="s">
        <v>1266</v>
      </c>
      <c r="C4488" s="1">
        <v>42471</v>
      </c>
      <c r="D4488" s="1">
        <v>42475</v>
      </c>
      <c r="E4488">
        <v>4070</v>
      </c>
      <c r="F4488" t="s">
        <v>331</v>
      </c>
      <c r="G4488" t="s">
        <v>16</v>
      </c>
      <c r="H4488" t="s">
        <v>3616</v>
      </c>
      <c r="I4488">
        <v>3.6385000000000001</v>
      </c>
      <c r="J4488">
        <v>34634.879999999997</v>
      </c>
      <c r="K4488">
        <v>9518.9995877422007</v>
      </c>
    </row>
    <row r="4489" spans="1:11" x14ac:dyDescent="0.25">
      <c r="A4489" t="s">
        <v>1265</v>
      </c>
      <c r="B4489" t="s">
        <v>1266</v>
      </c>
      <c r="C4489" s="1">
        <v>42467</v>
      </c>
      <c r="D4489" s="1">
        <v>42475</v>
      </c>
      <c r="E4489">
        <v>4070</v>
      </c>
      <c r="F4489" t="s">
        <v>331</v>
      </c>
      <c r="G4489" t="s">
        <v>16</v>
      </c>
      <c r="H4489" t="s">
        <v>6832</v>
      </c>
      <c r="I4489">
        <v>3.6749000000000001</v>
      </c>
      <c r="J4489">
        <v>41893.86</v>
      </c>
      <c r="K4489">
        <v>11400</v>
      </c>
    </row>
    <row r="4490" spans="1:11" x14ac:dyDescent="0.25">
      <c r="A4490" t="s">
        <v>147</v>
      </c>
      <c r="B4490" t="s">
        <v>148</v>
      </c>
      <c r="C4490" s="1">
        <v>42457</v>
      </c>
      <c r="D4490" s="1">
        <v>42464</v>
      </c>
      <c r="E4490">
        <v>3</v>
      </c>
      <c r="F4490" t="s">
        <v>331</v>
      </c>
      <c r="G4490" t="s">
        <v>16</v>
      </c>
      <c r="H4490" t="s">
        <v>6833</v>
      </c>
      <c r="I4490">
        <v>3.6947999999999999</v>
      </c>
      <c r="J4490">
        <v>71253</v>
      </c>
      <c r="K4490">
        <v>19284.670347515428</v>
      </c>
    </row>
    <row r="4491" spans="1:11" x14ac:dyDescent="0.25">
      <c r="A4491" t="s">
        <v>147</v>
      </c>
      <c r="B4491" t="s">
        <v>148</v>
      </c>
      <c r="C4491" s="1">
        <v>42458</v>
      </c>
      <c r="D4491" s="1">
        <v>42464</v>
      </c>
      <c r="E4491">
        <v>3</v>
      </c>
      <c r="F4491" t="s">
        <v>331</v>
      </c>
      <c r="G4491" t="s">
        <v>16</v>
      </c>
      <c r="H4491" t="s">
        <v>3617</v>
      </c>
      <c r="I4491">
        <v>3.6408</v>
      </c>
      <c r="J4491">
        <v>87672</v>
      </c>
      <c r="K4491">
        <v>24080.421885299933</v>
      </c>
    </row>
    <row r="4492" spans="1:11" x14ac:dyDescent="0.25">
      <c r="A4492" t="s">
        <v>147</v>
      </c>
      <c r="B4492" t="s">
        <v>148</v>
      </c>
      <c r="C4492" s="1">
        <v>42452</v>
      </c>
      <c r="D4492" s="1">
        <v>42460</v>
      </c>
      <c r="E4492">
        <v>3</v>
      </c>
      <c r="F4492" t="s">
        <v>331</v>
      </c>
      <c r="G4492" t="s">
        <v>16</v>
      </c>
      <c r="H4492" t="s">
        <v>3618</v>
      </c>
      <c r="I4492">
        <v>3.6073</v>
      </c>
      <c r="J4492">
        <v>69108</v>
      </c>
      <c r="K4492">
        <v>19157.818867296872</v>
      </c>
    </row>
    <row r="4493" spans="1:11" x14ac:dyDescent="0.25">
      <c r="A4493" t="s">
        <v>147</v>
      </c>
      <c r="B4493" t="s">
        <v>148</v>
      </c>
      <c r="C4493" s="1">
        <v>42452</v>
      </c>
      <c r="D4493" s="1">
        <v>42460</v>
      </c>
      <c r="E4493">
        <v>3</v>
      </c>
      <c r="F4493" t="s">
        <v>331</v>
      </c>
      <c r="G4493" t="s">
        <v>16</v>
      </c>
      <c r="H4493" t="s">
        <v>6834</v>
      </c>
      <c r="I4493">
        <v>3.6073</v>
      </c>
      <c r="J4493">
        <v>91182</v>
      </c>
      <c r="K4493">
        <v>25277.077038228039</v>
      </c>
    </row>
    <row r="4494" spans="1:11" x14ac:dyDescent="0.25">
      <c r="A4494" t="s">
        <v>147</v>
      </c>
      <c r="B4494" t="s">
        <v>148</v>
      </c>
      <c r="C4494" s="1">
        <v>42457</v>
      </c>
      <c r="D4494" s="1">
        <v>42460</v>
      </c>
      <c r="E4494">
        <v>3</v>
      </c>
      <c r="F4494" t="s">
        <v>331</v>
      </c>
      <c r="G4494" t="s">
        <v>16</v>
      </c>
      <c r="H4494" t="s">
        <v>3619</v>
      </c>
      <c r="I4494">
        <v>3.6947999999999999</v>
      </c>
      <c r="J4494">
        <v>69888</v>
      </c>
      <c r="K4494">
        <v>18915.23221825268</v>
      </c>
    </row>
    <row r="4495" spans="1:11" x14ac:dyDescent="0.25">
      <c r="A4495" t="s">
        <v>428</v>
      </c>
      <c r="B4495" t="s">
        <v>1231</v>
      </c>
      <c r="C4495" s="1">
        <v>42422</v>
      </c>
      <c r="D4495" s="1">
        <v>42444</v>
      </c>
      <c r="E4495">
        <v>22</v>
      </c>
      <c r="F4495" t="s">
        <v>331</v>
      </c>
      <c r="G4495" t="s">
        <v>16</v>
      </c>
      <c r="H4495" t="s">
        <v>6835</v>
      </c>
      <c r="I4495">
        <v>4.0491999999999999</v>
      </c>
      <c r="J4495">
        <v>48874.76</v>
      </c>
      <c r="K4495">
        <v>12070.226217524449</v>
      </c>
    </row>
    <row r="4496" spans="1:11" x14ac:dyDescent="0.25">
      <c r="A4496" t="s">
        <v>540</v>
      </c>
      <c r="B4496" t="s">
        <v>2222</v>
      </c>
      <c r="C4496" s="1">
        <v>42361</v>
      </c>
      <c r="D4496" s="1">
        <v>42380</v>
      </c>
      <c r="E4496">
        <v>8</v>
      </c>
      <c r="F4496" t="s">
        <v>1255</v>
      </c>
      <c r="G4496" t="s">
        <v>16</v>
      </c>
      <c r="H4496" t="s">
        <v>6836</v>
      </c>
      <c r="I4496">
        <v>3.9769999999999999</v>
      </c>
      <c r="J4496">
        <v>31613.11</v>
      </c>
      <c r="K4496">
        <v>7948.9841589137541</v>
      </c>
    </row>
    <row r="4497" spans="1:11" x14ac:dyDescent="0.25">
      <c r="A4497" t="s">
        <v>270</v>
      </c>
      <c r="B4497" t="s">
        <v>271</v>
      </c>
      <c r="C4497" s="1">
        <v>42515</v>
      </c>
      <c r="D4497" s="1">
        <v>42516</v>
      </c>
      <c r="E4497">
        <v>3</v>
      </c>
      <c r="F4497" t="s">
        <v>368</v>
      </c>
      <c r="G4497" t="s">
        <v>16</v>
      </c>
      <c r="H4497" t="s">
        <v>3620</v>
      </c>
      <c r="I4497">
        <v>3.5491000000000001</v>
      </c>
      <c r="J4497">
        <v>47134.45</v>
      </c>
      <c r="K4497">
        <v>13280.676791299202</v>
      </c>
    </row>
    <row r="4498" spans="1:11" x14ac:dyDescent="0.25">
      <c r="A4498" t="s">
        <v>270</v>
      </c>
      <c r="B4498" t="s">
        <v>271</v>
      </c>
      <c r="C4498" s="1">
        <v>42513</v>
      </c>
      <c r="D4498" s="1">
        <v>42516</v>
      </c>
      <c r="E4498">
        <v>3</v>
      </c>
      <c r="F4498" t="s">
        <v>368</v>
      </c>
      <c r="G4498" t="s">
        <v>16</v>
      </c>
      <c r="H4498" t="s">
        <v>3621</v>
      </c>
      <c r="I4498">
        <v>3.5419</v>
      </c>
      <c r="J4498">
        <v>34838.01</v>
      </c>
      <c r="K4498">
        <v>9835.9665716141062</v>
      </c>
    </row>
    <row r="4499" spans="1:11" x14ac:dyDescent="0.25">
      <c r="A4499" t="s">
        <v>270</v>
      </c>
      <c r="B4499" t="s">
        <v>271</v>
      </c>
      <c r="C4499" s="1">
        <v>42519</v>
      </c>
      <c r="D4499" s="1">
        <v>42521</v>
      </c>
      <c r="E4499">
        <v>3</v>
      </c>
      <c r="F4499" t="s">
        <v>368</v>
      </c>
      <c r="G4499" t="s">
        <v>16</v>
      </c>
      <c r="H4499" t="s">
        <v>6837</v>
      </c>
      <c r="I4499">
        <v>3.6168</v>
      </c>
      <c r="J4499">
        <v>35843.129999999997</v>
      </c>
      <c r="K4499">
        <v>9910.1775049767748</v>
      </c>
    </row>
    <row r="4500" spans="1:11" x14ac:dyDescent="0.25">
      <c r="A4500" t="s">
        <v>270</v>
      </c>
      <c r="B4500" t="s">
        <v>271</v>
      </c>
      <c r="C4500" s="1">
        <v>42519</v>
      </c>
      <c r="D4500" s="1">
        <v>42521</v>
      </c>
      <c r="E4500">
        <v>3</v>
      </c>
      <c r="F4500" t="s">
        <v>368</v>
      </c>
      <c r="G4500" t="s">
        <v>16</v>
      </c>
      <c r="H4500" t="s">
        <v>6838</v>
      </c>
      <c r="I4500">
        <v>3.6168</v>
      </c>
      <c r="J4500">
        <v>48330.73</v>
      </c>
      <c r="K4500">
        <v>13362.842844503428</v>
      </c>
    </row>
    <row r="4501" spans="1:11" x14ac:dyDescent="0.25">
      <c r="A4501" t="s">
        <v>270</v>
      </c>
      <c r="B4501" t="s">
        <v>271</v>
      </c>
      <c r="C4501" s="1">
        <v>42521</v>
      </c>
      <c r="D4501" s="1">
        <v>42527</v>
      </c>
      <c r="E4501">
        <v>3</v>
      </c>
      <c r="F4501" t="s">
        <v>368</v>
      </c>
      <c r="G4501" t="s">
        <v>16</v>
      </c>
      <c r="H4501" t="s">
        <v>6839</v>
      </c>
      <c r="I4501">
        <v>3.5996999999999999</v>
      </c>
      <c r="J4501">
        <v>32878.9</v>
      </c>
      <c r="K4501">
        <v>9133.7889268550152</v>
      </c>
    </row>
    <row r="4502" spans="1:11" x14ac:dyDescent="0.25">
      <c r="A4502" t="s">
        <v>90</v>
      </c>
      <c r="B4502" t="s">
        <v>91</v>
      </c>
      <c r="C4502" s="1">
        <v>42536</v>
      </c>
      <c r="D4502" s="1">
        <v>42542</v>
      </c>
      <c r="E4502">
        <v>11</v>
      </c>
      <c r="F4502" t="s">
        <v>331</v>
      </c>
      <c r="G4502" t="s">
        <v>16</v>
      </c>
      <c r="H4502" t="s">
        <v>3622</v>
      </c>
      <c r="I4502">
        <v>3.4839000000000002</v>
      </c>
      <c r="J4502">
        <v>44309.13</v>
      </c>
      <c r="K4502">
        <v>12718.255403427194</v>
      </c>
    </row>
    <row r="4503" spans="1:11" x14ac:dyDescent="0.25">
      <c r="A4503" t="s">
        <v>90</v>
      </c>
      <c r="B4503" t="s">
        <v>91</v>
      </c>
      <c r="C4503" s="1">
        <v>42538</v>
      </c>
      <c r="D4503" s="1">
        <v>42545</v>
      </c>
      <c r="E4503">
        <v>11</v>
      </c>
      <c r="F4503" t="s">
        <v>331</v>
      </c>
      <c r="G4503" t="s">
        <v>16</v>
      </c>
      <c r="H4503" t="s">
        <v>3623</v>
      </c>
      <c r="I4503">
        <v>3.4904000000000002</v>
      </c>
      <c r="J4503">
        <v>61489.97</v>
      </c>
      <c r="K4503">
        <v>17616.88345175338</v>
      </c>
    </row>
    <row r="4504" spans="1:11" x14ac:dyDescent="0.25">
      <c r="A4504" t="s">
        <v>90</v>
      </c>
      <c r="B4504" t="s">
        <v>91</v>
      </c>
      <c r="C4504" s="1">
        <v>42538</v>
      </c>
      <c r="D4504" s="1">
        <v>42545</v>
      </c>
      <c r="E4504">
        <v>11</v>
      </c>
      <c r="F4504" t="s">
        <v>331</v>
      </c>
      <c r="G4504" t="s">
        <v>16</v>
      </c>
      <c r="H4504" t="s">
        <v>3624</v>
      </c>
      <c r="I4504">
        <v>3.4904000000000002</v>
      </c>
      <c r="J4504">
        <v>52610.95</v>
      </c>
      <c r="K4504">
        <v>15073.043204217282</v>
      </c>
    </row>
    <row r="4505" spans="1:11" x14ac:dyDescent="0.25">
      <c r="A4505" t="s">
        <v>90</v>
      </c>
      <c r="B4505" t="s">
        <v>91</v>
      </c>
      <c r="C4505" s="1">
        <v>42538</v>
      </c>
      <c r="D4505" s="1">
        <v>42545</v>
      </c>
      <c r="E4505">
        <v>11</v>
      </c>
      <c r="F4505" t="s">
        <v>331</v>
      </c>
      <c r="G4505" t="s">
        <v>16</v>
      </c>
      <c r="H4505" t="s">
        <v>3625</v>
      </c>
      <c r="I4505">
        <v>3.4904000000000002</v>
      </c>
      <c r="J4505">
        <v>46126.68</v>
      </c>
      <c r="K4505">
        <v>13215.299106119643</v>
      </c>
    </row>
    <row r="4506" spans="1:11" x14ac:dyDescent="0.25">
      <c r="A4506" t="s">
        <v>170</v>
      </c>
      <c r="B4506" t="s">
        <v>171</v>
      </c>
      <c r="C4506" s="1">
        <v>42553</v>
      </c>
      <c r="D4506" s="1">
        <v>42557</v>
      </c>
      <c r="E4506">
        <v>8</v>
      </c>
      <c r="F4506" t="s">
        <v>331</v>
      </c>
      <c r="G4506" t="s">
        <v>16</v>
      </c>
      <c r="H4506" t="s">
        <v>6840</v>
      </c>
      <c r="I4506">
        <v>3.2298</v>
      </c>
      <c r="J4506">
        <v>51919.94</v>
      </c>
      <c r="K4506">
        <v>16075.280203108552</v>
      </c>
    </row>
    <row r="4507" spans="1:11" x14ac:dyDescent="0.25">
      <c r="A4507" t="s">
        <v>212</v>
      </c>
      <c r="B4507" t="s">
        <v>213</v>
      </c>
      <c r="C4507" s="1">
        <v>42553</v>
      </c>
      <c r="D4507" s="1">
        <v>42557</v>
      </c>
      <c r="E4507">
        <v>1</v>
      </c>
      <c r="F4507" t="s">
        <v>368</v>
      </c>
      <c r="G4507" t="s">
        <v>16</v>
      </c>
      <c r="H4507" t="s">
        <v>3626</v>
      </c>
      <c r="I4507">
        <v>3.2298</v>
      </c>
      <c r="J4507">
        <v>43607.839999999997</v>
      </c>
      <c r="K4507">
        <v>13501.715276487708</v>
      </c>
    </row>
    <row r="4508" spans="1:11" x14ac:dyDescent="0.25">
      <c r="A4508" t="s">
        <v>96</v>
      </c>
      <c r="B4508" t="s">
        <v>97</v>
      </c>
      <c r="C4508" s="1">
        <v>42552</v>
      </c>
      <c r="D4508" s="1">
        <v>42571</v>
      </c>
      <c r="E4508">
        <v>1</v>
      </c>
      <c r="F4508" t="s">
        <v>368</v>
      </c>
      <c r="G4508" t="s">
        <v>16</v>
      </c>
      <c r="H4508" t="s">
        <v>3627</v>
      </c>
      <c r="I4508">
        <v>3.2098</v>
      </c>
      <c r="J4508">
        <v>37169.86</v>
      </c>
      <c r="K4508">
        <v>11580.117141254907</v>
      </c>
    </row>
    <row r="4509" spans="1:11" x14ac:dyDescent="0.25">
      <c r="A4509" t="s">
        <v>90</v>
      </c>
      <c r="B4509" t="s">
        <v>91</v>
      </c>
      <c r="C4509" s="1">
        <v>42537</v>
      </c>
      <c r="D4509" s="1">
        <v>42548</v>
      </c>
      <c r="E4509">
        <v>11</v>
      </c>
      <c r="F4509" t="s">
        <v>331</v>
      </c>
      <c r="G4509" t="s">
        <v>16</v>
      </c>
      <c r="H4509" t="s">
        <v>6841</v>
      </c>
      <c r="I4509">
        <v>3.4767999999999999</v>
      </c>
      <c r="J4509">
        <v>61293.47</v>
      </c>
      <c r="K4509">
        <v>17629.276921306948</v>
      </c>
    </row>
    <row r="4510" spans="1:11" x14ac:dyDescent="0.25">
      <c r="A4510" t="s">
        <v>90</v>
      </c>
      <c r="B4510" t="s">
        <v>91</v>
      </c>
      <c r="C4510" s="1">
        <v>42537</v>
      </c>
      <c r="D4510" s="1">
        <v>42548</v>
      </c>
      <c r="E4510">
        <v>11</v>
      </c>
      <c r="F4510" t="s">
        <v>331</v>
      </c>
      <c r="G4510" t="s">
        <v>16</v>
      </c>
      <c r="H4510" t="s">
        <v>3628</v>
      </c>
      <c r="I4510">
        <v>3.4767999999999999</v>
      </c>
      <c r="J4510">
        <v>45340.71</v>
      </c>
      <c r="K4510">
        <v>13040.931316152784</v>
      </c>
    </row>
    <row r="4511" spans="1:11" x14ac:dyDescent="0.25">
      <c r="A4511" t="s">
        <v>270</v>
      </c>
      <c r="B4511" t="s">
        <v>271</v>
      </c>
      <c r="C4511" s="1">
        <v>42513</v>
      </c>
      <c r="D4511" s="1">
        <v>42543</v>
      </c>
      <c r="E4511">
        <v>3</v>
      </c>
      <c r="F4511" t="s">
        <v>368</v>
      </c>
      <c r="G4511" t="s">
        <v>16</v>
      </c>
      <c r="H4511" t="s">
        <v>3629</v>
      </c>
      <c r="I4511">
        <v>3.5419</v>
      </c>
      <c r="J4511">
        <v>35316.660000000003</v>
      </c>
      <c r="K4511">
        <v>9971.1059036110564</v>
      </c>
    </row>
    <row r="4512" spans="1:11" x14ac:dyDescent="0.25">
      <c r="A4512" t="s">
        <v>270</v>
      </c>
      <c r="B4512" t="s">
        <v>271</v>
      </c>
      <c r="C4512" s="1">
        <v>42520</v>
      </c>
      <c r="D4512" s="1">
        <v>42543</v>
      </c>
      <c r="E4512">
        <v>3</v>
      </c>
      <c r="F4512" t="s">
        <v>368</v>
      </c>
      <c r="G4512" t="s">
        <v>16</v>
      </c>
      <c r="H4512" t="s">
        <v>6842</v>
      </c>
      <c r="I4512">
        <v>3.6168</v>
      </c>
      <c r="J4512">
        <v>48924.92</v>
      </c>
      <c r="K4512">
        <v>13527.128953771289</v>
      </c>
    </row>
    <row r="4513" spans="1:11" x14ac:dyDescent="0.25">
      <c r="A4513" t="s">
        <v>90</v>
      </c>
      <c r="B4513" t="s">
        <v>91</v>
      </c>
      <c r="C4513" s="1">
        <v>42536</v>
      </c>
      <c r="D4513" s="1">
        <v>42543</v>
      </c>
      <c r="E4513">
        <v>11</v>
      </c>
      <c r="F4513" t="s">
        <v>331</v>
      </c>
      <c r="G4513" t="s">
        <v>16</v>
      </c>
      <c r="H4513" t="s">
        <v>6843</v>
      </c>
      <c r="I4513">
        <v>3.4839000000000002</v>
      </c>
      <c r="J4513">
        <v>45819.66</v>
      </c>
      <c r="K4513">
        <v>13151.829845862396</v>
      </c>
    </row>
    <row r="4514" spans="1:11" x14ac:dyDescent="0.25">
      <c r="A4514" t="s">
        <v>98</v>
      </c>
      <c r="B4514" t="s">
        <v>99</v>
      </c>
      <c r="C4514" s="1">
        <v>42576</v>
      </c>
      <c r="D4514" s="1">
        <v>42597</v>
      </c>
      <c r="E4514">
        <v>4</v>
      </c>
      <c r="F4514" t="s">
        <v>301</v>
      </c>
      <c r="G4514" t="s">
        <v>16</v>
      </c>
      <c r="H4514" t="s">
        <v>6844</v>
      </c>
      <c r="I4514">
        <v>3.2854000000000001</v>
      </c>
      <c r="J4514">
        <v>57645</v>
      </c>
      <c r="K4514">
        <v>17545.80872953065</v>
      </c>
    </row>
    <row r="4515" spans="1:11" x14ac:dyDescent="0.25">
      <c r="A4515" t="s">
        <v>236</v>
      </c>
      <c r="B4515" t="s">
        <v>237</v>
      </c>
      <c r="C4515" s="1">
        <v>42577</v>
      </c>
      <c r="D4515" s="1">
        <v>42597</v>
      </c>
      <c r="E4515">
        <v>3</v>
      </c>
      <c r="F4515" t="s">
        <v>301</v>
      </c>
      <c r="G4515" t="s">
        <v>16</v>
      </c>
      <c r="H4515" t="s">
        <v>3630</v>
      </c>
      <c r="I4515">
        <v>3.2818999999999998</v>
      </c>
      <c r="J4515">
        <v>65625.990000000005</v>
      </c>
      <c r="K4515">
        <v>19996.34053444651</v>
      </c>
    </row>
    <row r="4516" spans="1:11" x14ac:dyDescent="0.25">
      <c r="A4516" t="s">
        <v>179</v>
      </c>
      <c r="B4516" t="s">
        <v>180</v>
      </c>
      <c r="C4516" s="1">
        <v>42595</v>
      </c>
      <c r="D4516" s="1">
        <v>42598</v>
      </c>
      <c r="E4516">
        <v>1</v>
      </c>
      <c r="F4516" t="s">
        <v>368</v>
      </c>
      <c r="G4516" t="s">
        <v>16</v>
      </c>
      <c r="H4516" t="s">
        <v>6845</v>
      </c>
      <c r="I4516">
        <v>3.1602000000000001</v>
      </c>
      <c r="J4516">
        <v>57086.6</v>
      </c>
      <c r="K4516">
        <v>18064.236440731598</v>
      </c>
    </row>
    <row r="4517" spans="1:11" x14ac:dyDescent="0.25">
      <c r="A4517" t="s">
        <v>160</v>
      </c>
      <c r="B4517" t="s">
        <v>161</v>
      </c>
      <c r="C4517" s="1">
        <v>42572</v>
      </c>
      <c r="D4517" s="1">
        <v>42577</v>
      </c>
      <c r="E4517">
        <v>9</v>
      </c>
      <c r="F4517" t="s">
        <v>368</v>
      </c>
      <c r="G4517" t="s">
        <v>16</v>
      </c>
      <c r="H4517" t="s">
        <v>3631</v>
      </c>
      <c r="I4517">
        <v>3.2511999999999999</v>
      </c>
      <c r="J4517">
        <v>42385.23</v>
      </c>
      <c r="K4517">
        <v>13036.795644685038</v>
      </c>
    </row>
    <row r="4518" spans="1:11" x14ac:dyDescent="0.25">
      <c r="A4518" t="s">
        <v>238</v>
      </c>
      <c r="B4518" t="s">
        <v>239</v>
      </c>
      <c r="C4518" s="1">
        <v>42576</v>
      </c>
      <c r="D4518" s="1">
        <v>42598</v>
      </c>
      <c r="E4518">
        <v>2</v>
      </c>
      <c r="F4518" t="s">
        <v>301</v>
      </c>
      <c r="G4518" t="s">
        <v>16</v>
      </c>
      <c r="H4518" t="s">
        <v>3632</v>
      </c>
      <c r="I4518">
        <v>3.2854000000000001</v>
      </c>
      <c r="J4518">
        <v>2906.99</v>
      </c>
      <c r="K4518">
        <v>884.82072198210267</v>
      </c>
    </row>
    <row r="4519" spans="1:11" x14ac:dyDescent="0.25">
      <c r="A4519" t="s">
        <v>179</v>
      </c>
      <c r="B4519" t="s">
        <v>180</v>
      </c>
      <c r="C4519" s="1">
        <v>42594</v>
      </c>
      <c r="D4519" s="1">
        <v>42597</v>
      </c>
      <c r="E4519">
        <v>1</v>
      </c>
      <c r="F4519" t="s">
        <v>368</v>
      </c>
      <c r="G4519" t="s">
        <v>16</v>
      </c>
      <c r="H4519" t="s">
        <v>3633</v>
      </c>
      <c r="I4519">
        <v>3.1364000000000001</v>
      </c>
      <c r="J4519">
        <v>41471</v>
      </c>
      <c r="K4519">
        <v>13222.48437699273</v>
      </c>
    </row>
    <row r="4520" spans="1:11" x14ac:dyDescent="0.25">
      <c r="A4520" t="s">
        <v>62</v>
      </c>
      <c r="B4520" t="s">
        <v>63</v>
      </c>
      <c r="C4520" s="1">
        <v>42595</v>
      </c>
      <c r="D4520" s="1">
        <v>42597</v>
      </c>
      <c r="E4520">
        <v>1</v>
      </c>
      <c r="F4520" t="s">
        <v>368</v>
      </c>
      <c r="G4520" t="s">
        <v>16</v>
      </c>
      <c r="H4520" t="s">
        <v>3634</v>
      </c>
      <c r="I4520">
        <v>3.1602000000000001</v>
      </c>
      <c r="J4520">
        <v>42046.92</v>
      </c>
      <c r="K4520">
        <v>13305.1452439719</v>
      </c>
    </row>
    <row r="4521" spans="1:11" x14ac:dyDescent="0.25">
      <c r="A4521" t="s">
        <v>137</v>
      </c>
      <c r="B4521" t="s">
        <v>138</v>
      </c>
      <c r="C4521" s="1">
        <v>42563</v>
      </c>
      <c r="D4521" s="1">
        <v>42598</v>
      </c>
      <c r="E4521">
        <v>5</v>
      </c>
      <c r="F4521" t="s">
        <v>675</v>
      </c>
      <c r="G4521" t="s">
        <v>16</v>
      </c>
      <c r="H4521" t="s">
        <v>6846</v>
      </c>
      <c r="I4521">
        <v>3.3031000000000001</v>
      </c>
      <c r="J4521">
        <v>98190</v>
      </c>
      <c r="K4521">
        <v>29726.620447458448</v>
      </c>
    </row>
    <row r="4522" spans="1:11" x14ac:dyDescent="0.25">
      <c r="A4522" t="s">
        <v>260</v>
      </c>
      <c r="B4522" t="s">
        <v>261</v>
      </c>
      <c r="C4522" s="1">
        <v>42577</v>
      </c>
      <c r="D4522" s="1">
        <v>42598</v>
      </c>
      <c r="E4522">
        <v>19</v>
      </c>
      <c r="F4522" t="s">
        <v>301</v>
      </c>
      <c r="G4522" t="s">
        <v>16</v>
      </c>
      <c r="H4522" t="s">
        <v>6847</v>
      </c>
      <c r="I4522">
        <v>3.2818999999999998</v>
      </c>
      <c r="J4522">
        <v>22358.99</v>
      </c>
      <c r="K4522">
        <v>6812.8187939912859</v>
      </c>
    </row>
    <row r="4523" spans="1:11" x14ac:dyDescent="0.25">
      <c r="A4523" t="s">
        <v>175</v>
      </c>
      <c r="B4523" t="s">
        <v>176</v>
      </c>
      <c r="C4523" s="1">
        <v>42576</v>
      </c>
      <c r="D4523" s="1">
        <v>42598</v>
      </c>
      <c r="E4523">
        <v>1</v>
      </c>
      <c r="F4523" t="s">
        <v>301</v>
      </c>
      <c r="G4523" t="s">
        <v>16</v>
      </c>
      <c r="H4523" t="s">
        <v>6848</v>
      </c>
      <c r="I4523">
        <v>3.2854000000000001</v>
      </c>
      <c r="J4523">
        <v>6405</v>
      </c>
      <c r="K4523">
        <v>1949.5343032811834</v>
      </c>
    </row>
    <row r="4524" spans="1:11" x14ac:dyDescent="0.25">
      <c r="A4524" t="s">
        <v>640</v>
      </c>
      <c r="B4524" t="s">
        <v>641</v>
      </c>
      <c r="C4524" s="1">
        <v>40796</v>
      </c>
      <c r="D4524" s="1">
        <v>40800</v>
      </c>
      <c r="E4524">
        <v>115</v>
      </c>
      <c r="F4524" t="s">
        <v>642</v>
      </c>
      <c r="G4524" t="s">
        <v>16</v>
      </c>
      <c r="H4524" t="s">
        <v>509</v>
      </c>
      <c r="I4524">
        <v>1.6774</v>
      </c>
      <c r="J4524">
        <v>82280.070000000007</v>
      </c>
      <c r="K4524">
        <v>49052.14617860975</v>
      </c>
    </row>
    <row r="4525" spans="1:11" x14ac:dyDescent="0.25">
      <c r="A4525" t="s">
        <v>3635</v>
      </c>
      <c r="B4525" t="s">
        <v>458</v>
      </c>
      <c r="C4525" s="1">
        <v>40787</v>
      </c>
      <c r="D4525" s="1">
        <v>40791</v>
      </c>
      <c r="E4525">
        <v>5</v>
      </c>
      <c r="F4525" t="s">
        <v>3636</v>
      </c>
      <c r="G4525" t="s">
        <v>16</v>
      </c>
      <c r="H4525" t="s">
        <v>584</v>
      </c>
      <c r="I4525">
        <v>1.5871999999999999</v>
      </c>
      <c r="J4525">
        <v>20951.04</v>
      </c>
      <c r="K4525">
        <v>13200</v>
      </c>
    </row>
    <row r="4526" spans="1:11" x14ac:dyDescent="0.25">
      <c r="A4526" t="s">
        <v>640</v>
      </c>
      <c r="B4526" t="s">
        <v>641</v>
      </c>
      <c r="C4526" s="1">
        <v>40789</v>
      </c>
      <c r="D4526" s="1">
        <v>40791</v>
      </c>
      <c r="E4526">
        <v>115</v>
      </c>
      <c r="F4526" t="s">
        <v>642</v>
      </c>
      <c r="G4526" t="s">
        <v>16</v>
      </c>
      <c r="H4526" t="s">
        <v>6849</v>
      </c>
      <c r="I4526">
        <v>1.6343000000000001</v>
      </c>
      <c r="J4526">
        <v>82280.070000000007</v>
      </c>
      <c r="K4526">
        <v>50345.756593036771</v>
      </c>
    </row>
    <row r="4527" spans="1:11" x14ac:dyDescent="0.25">
      <c r="A4527" t="s">
        <v>640</v>
      </c>
      <c r="B4527" t="s">
        <v>641</v>
      </c>
      <c r="C4527" s="1">
        <v>40807</v>
      </c>
      <c r="D4527" s="1">
        <v>40809</v>
      </c>
      <c r="E4527">
        <v>115</v>
      </c>
      <c r="F4527" t="s">
        <v>642</v>
      </c>
      <c r="G4527" t="s">
        <v>16</v>
      </c>
      <c r="H4527" t="s">
        <v>6850</v>
      </c>
      <c r="I4527">
        <v>1.7869999999999999</v>
      </c>
      <c r="J4527">
        <v>82280.070000000007</v>
      </c>
      <c r="K4527">
        <v>46043.687744823728</v>
      </c>
    </row>
    <row r="4528" spans="1:11" x14ac:dyDescent="0.25">
      <c r="A4528" t="s">
        <v>3637</v>
      </c>
      <c r="B4528" t="s">
        <v>3638</v>
      </c>
      <c r="C4528" s="1">
        <v>40807</v>
      </c>
      <c r="D4528" s="1">
        <v>40808</v>
      </c>
      <c r="E4528">
        <v>1</v>
      </c>
      <c r="F4528" t="s">
        <v>368</v>
      </c>
      <c r="G4528" t="s">
        <v>16</v>
      </c>
      <c r="H4528" t="s">
        <v>1367</v>
      </c>
      <c r="I4528">
        <v>1.7869999999999999</v>
      </c>
      <c r="J4528">
        <v>105766.72</v>
      </c>
      <c r="K4528">
        <v>59186.748740906551</v>
      </c>
    </row>
    <row r="4529" spans="1:11" x14ac:dyDescent="0.25">
      <c r="A4529" t="s">
        <v>640</v>
      </c>
      <c r="B4529" t="s">
        <v>641</v>
      </c>
      <c r="C4529" s="1">
        <v>40807</v>
      </c>
      <c r="D4529" s="1">
        <v>40808</v>
      </c>
      <c r="E4529">
        <v>115</v>
      </c>
      <c r="F4529" t="s">
        <v>642</v>
      </c>
      <c r="G4529" t="s">
        <v>16</v>
      </c>
      <c r="H4529" t="s">
        <v>3639</v>
      </c>
      <c r="I4529">
        <v>1.7869999999999999</v>
      </c>
      <c r="J4529">
        <v>82280.070000000007</v>
      </c>
      <c r="K4529">
        <v>46043.687744823728</v>
      </c>
    </row>
    <row r="4530" spans="1:11" x14ac:dyDescent="0.25">
      <c r="A4530" t="s">
        <v>651</v>
      </c>
      <c r="B4530" t="s">
        <v>652</v>
      </c>
      <c r="C4530" s="1">
        <v>40814</v>
      </c>
      <c r="D4530" s="1">
        <v>40819</v>
      </c>
      <c r="E4530">
        <v>141</v>
      </c>
      <c r="F4530" t="s">
        <v>331</v>
      </c>
      <c r="G4530" t="s">
        <v>16</v>
      </c>
      <c r="H4530" t="s">
        <v>3640</v>
      </c>
      <c r="I4530">
        <v>1.8008</v>
      </c>
      <c r="J4530">
        <v>57257.87</v>
      </c>
      <c r="K4530">
        <v>31795.796312749888</v>
      </c>
    </row>
    <row r="4531" spans="1:11" x14ac:dyDescent="0.25">
      <c r="A4531" t="s">
        <v>651</v>
      </c>
      <c r="B4531" t="s">
        <v>652</v>
      </c>
      <c r="C4531" s="1">
        <v>40814</v>
      </c>
      <c r="D4531" s="1">
        <v>40819</v>
      </c>
      <c r="E4531">
        <v>141</v>
      </c>
      <c r="F4531" t="s">
        <v>331</v>
      </c>
      <c r="G4531" t="s">
        <v>16</v>
      </c>
      <c r="H4531" t="s">
        <v>3641</v>
      </c>
      <c r="I4531">
        <v>1.8008</v>
      </c>
      <c r="J4531">
        <v>57098.67</v>
      </c>
      <c r="K4531">
        <v>31707.391159484672</v>
      </c>
    </row>
    <row r="4532" spans="1:11" x14ac:dyDescent="0.25">
      <c r="A4532" t="s">
        <v>654</v>
      </c>
      <c r="B4532" t="s">
        <v>655</v>
      </c>
      <c r="C4532" s="1">
        <v>40810</v>
      </c>
      <c r="D4532" s="1">
        <v>40816</v>
      </c>
      <c r="E4532">
        <v>116</v>
      </c>
      <c r="F4532" t="s">
        <v>301</v>
      </c>
      <c r="G4532" t="s">
        <v>16</v>
      </c>
      <c r="H4532" t="s">
        <v>6851</v>
      </c>
      <c r="I4532">
        <v>1.8734999999999999</v>
      </c>
      <c r="J4532">
        <v>63980.01</v>
      </c>
      <c r="K4532">
        <v>34149.991993594878</v>
      </c>
    </row>
    <row r="4533" spans="1:11" x14ac:dyDescent="0.25">
      <c r="A4533" t="s">
        <v>1828</v>
      </c>
      <c r="B4533" t="s">
        <v>549</v>
      </c>
      <c r="C4533" s="1">
        <v>40842</v>
      </c>
      <c r="D4533" s="1">
        <v>40848</v>
      </c>
      <c r="E4533">
        <v>1685</v>
      </c>
      <c r="F4533" t="s">
        <v>311</v>
      </c>
      <c r="G4533" t="s">
        <v>16</v>
      </c>
      <c r="H4533" t="s">
        <v>3642</v>
      </c>
      <c r="I4533">
        <v>1.7547999999999999</v>
      </c>
      <c r="J4533">
        <v>8917.84</v>
      </c>
      <c r="K4533">
        <v>5081.9694552085712</v>
      </c>
    </row>
    <row r="4534" spans="1:11" x14ac:dyDescent="0.25">
      <c r="A4534" t="s">
        <v>1339</v>
      </c>
      <c r="B4534" t="s">
        <v>1340</v>
      </c>
      <c r="C4534" s="1">
        <v>40854</v>
      </c>
      <c r="D4534" s="1">
        <v>40856</v>
      </c>
      <c r="E4534">
        <v>1843</v>
      </c>
      <c r="F4534" t="s">
        <v>373</v>
      </c>
      <c r="G4534" t="s">
        <v>16</v>
      </c>
      <c r="H4534" t="s">
        <v>3643</v>
      </c>
      <c r="I4534">
        <v>1.7415</v>
      </c>
      <c r="J4534">
        <v>86783.039999999994</v>
      </c>
      <c r="K4534">
        <v>49832.351421188629</v>
      </c>
    </row>
    <row r="4535" spans="1:11" x14ac:dyDescent="0.25">
      <c r="A4535" t="s">
        <v>654</v>
      </c>
      <c r="B4535" t="s">
        <v>655</v>
      </c>
      <c r="C4535" s="1">
        <v>40841</v>
      </c>
      <c r="D4535" s="1">
        <v>40843</v>
      </c>
      <c r="E4535">
        <v>116</v>
      </c>
      <c r="F4535" t="s">
        <v>301</v>
      </c>
      <c r="G4535" t="s">
        <v>16</v>
      </c>
      <c r="H4535" t="s">
        <v>6852</v>
      </c>
      <c r="I4535">
        <v>1.7767999999999999</v>
      </c>
      <c r="J4535">
        <v>386078.4</v>
      </c>
      <c r="K4535">
        <v>217288.60873480415</v>
      </c>
    </row>
    <row r="4536" spans="1:11" x14ac:dyDescent="0.25">
      <c r="A4536" t="s">
        <v>1813</v>
      </c>
      <c r="C4536" s="1">
        <v>40831</v>
      </c>
      <c r="D4536" s="1">
        <v>40835</v>
      </c>
      <c r="E4536">
        <v>1533</v>
      </c>
      <c r="F4536" t="s">
        <v>282</v>
      </c>
      <c r="G4536" t="s">
        <v>16</v>
      </c>
      <c r="H4536" t="s">
        <v>6853</v>
      </c>
      <c r="I4536">
        <v>1.7376</v>
      </c>
      <c r="J4536">
        <v>175</v>
      </c>
      <c r="K4536">
        <v>100.71362799263352</v>
      </c>
    </row>
    <row r="4537" spans="1:11" x14ac:dyDescent="0.25">
      <c r="A4537" t="s">
        <v>3644</v>
      </c>
      <c r="C4537" s="1">
        <v>40830</v>
      </c>
      <c r="D4537" s="1">
        <v>40834</v>
      </c>
      <c r="E4537">
        <v>1522</v>
      </c>
      <c r="F4537" t="s">
        <v>447</v>
      </c>
      <c r="G4537" t="s">
        <v>16</v>
      </c>
      <c r="H4537" t="s">
        <v>3645</v>
      </c>
      <c r="I4537">
        <v>1.7376</v>
      </c>
      <c r="J4537">
        <v>19120</v>
      </c>
      <c r="K4537">
        <v>11003.683241252302</v>
      </c>
    </row>
    <row r="4538" spans="1:11" x14ac:dyDescent="0.25">
      <c r="A4538" t="s">
        <v>3646</v>
      </c>
      <c r="B4538" t="s">
        <v>3647</v>
      </c>
      <c r="C4538" s="1">
        <v>40836</v>
      </c>
      <c r="D4538" s="1">
        <v>40847</v>
      </c>
      <c r="E4538">
        <v>1705</v>
      </c>
      <c r="F4538" t="s">
        <v>3648</v>
      </c>
      <c r="G4538" t="s">
        <v>16</v>
      </c>
      <c r="H4538" t="s">
        <v>3649</v>
      </c>
      <c r="I4538">
        <v>1.7604</v>
      </c>
      <c r="J4538">
        <v>105606</v>
      </c>
      <c r="K4538">
        <v>59989.775051124743</v>
      </c>
    </row>
    <row r="4539" spans="1:11" x14ac:dyDescent="0.25">
      <c r="A4539" t="s">
        <v>654</v>
      </c>
      <c r="B4539" t="s">
        <v>655</v>
      </c>
      <c r="C4539" s="1">
        <v>40841</v>
      </c>
      <c r="D4539" s="1">
        <v>40844</v>
      </c>
      <c r="E4539">
        <v>116</v>
      </c>
      <c r="F4539" t="s">
        <v>301</v>
      </c>
      <c r="G4539" t="s">
        <v>16</v>
      </c>
      <c r="H4539" t="s">
        <v>6854</v>
      </c>
      <c r="I4539">
        <v>1.7767999999999999</v>
      </c>
      <c r="J4539">
        <v>436975.8</v>
      </c>
      <c r="K4539">
        <v>245934.15128320575</v>
      </c>
    </row>
    <row r="4540" spans="1:11" x14ac:dyDescent="0.25">
      <c r="A4540" t="s">
        <v>654</v>
      </c>
      <c r="B4540" t="s">
        <v>655</v>
      </c>
      <c r="C4540" s="1">
        <v>40841</v>
      </c>
      <c r="D4540" s="1">
        <v>40845</v>
      </c>
      <c r="E4540">
        <v>116</v>
      </c>
      <c r="F4540" t="s">
        <v>301</v>
      </c>
      <c r="G4540" t="s">
        <v>16</v>
      </c>
      <c r="H4540" t="s">
        <v>3650</v>
      </c>
      <c r="I4540">
        <v>1.7767999999999999</v>
      </c>
      <c r="J4540">
        <v>37080</v>
      </c>
      <c r="K4540">
        <v>20868.977937865828</v>
      </c>
    </row>
    <row r="4541" spans="1:11" x14ac:dyDescent="0.25">
      <c r="A4541" t="s">
        <v>654</v>
      </c>
      <c r="B4541" t="s">
        <v>655</v>
      </c>
      <c r="C4541" s="1">
        <v>40845</v>
      </c>
      <c r="D4541" s="1">
        <v>40847</v>
      </c>
      <c r="E4541">
        <v>116</v>
      </c>
      <c r="F4541" t="s">
        <v>301</v>
      </c>
      <c r="G4541" t="s">
        <v>16</v>
      </c>
      <c r="H4541" t="s">
        <v>3651</v>
      </c>
      <c r="I4541">
        <v>1.6986000000000001</v>
      </c>
      <c r="J4541">
        <v>35521.19</v>
      </c>
      <c r="K4541">
        <v>20912.039326504178</v>
      </c>
    </row>
    <row r="4542" spans="1:11" x14ac:dyDescent="0.25">
      <c r="A4542" t="s">
        <v>663</v>
      </c>
      <c r="B4542" t="s">
        <v>664</v>
      </c>
      <c r="C4542" s="1">
        <v>40843</v>
      </c>
      <c r="D4542" s="1">
        <v>40845</v>
      </c>
      <c r="E4542">
        <v>1660</v>
      </c>
      <c r="F4542" t="s">
        <v>665</v>
      </c>
      <c r="G4542" t="s">
        <v>16</v>
      </c>
      <c r="H4542" t="s">
        <v>3652</v>
      </c>
      <c r="I4542">
        <v>1.7605999999999999</v>
      </c>
      <c r="J4542">
        <v>50054.400000000001</v>
      </c>
      <c r="K4542">
        <v>28430.307849596727</v>
      </c>
    </row>
    <row r="4543" spans="1:11" x14ac:dyDescent="0.25">
      <c r="A4543" t="s">
        <v>4484</v>
      </c>
      <c r="B4543" t="s">
        <v>4485</v>
      </c>
      <c r="C4543" s="1">
        <v>40813</v>
      </c>
      <c r="D4543" s="1">
        <v>40823</v>
      </c>
      <c r="E4543">
        <v>3</v>
      </c>
      <c r="F4543" t="s">
        <v>368</v>
      </c>
      <c r="G4543" t="s">
        <v>16</v>
      </c>
      <c r="H4543" t="s">
        <v>6855</v>
      </c>
      <c r="I4543">
        <v>1.8445</v>
      </c>
      <c r="J4543">
        <v>19787.189999999999</v>
      </c>
      <c r="K4543">
        <v>10727.671455679047</v>
      </c>
    </row>
    <row r="4544" spans="1:11" x14ac:dyDescent="0.25">
      <c r="A4544" t="s">
        <v>1828</v>
      </c>
      <c r="B4544" t="s">
        <v>549</v>
      </c>
      <c r="C4544" s="1">
        <v>40842</v>
      </c>
      <c r="D4544" s="1">
        <v>40851</v>
      </c>
      <c r="E4544">
        <v>1685</v>
      </c>
      <c r="F4544" t="s">
        <v>311</v>
      </c>
      <c r="G4544" t="s">
        <v>16</v>
      </c>
      <c r="H4544" t="s">
        <v>3653</v>
      </c>
      <c r="I4544">
        <v>1.7547999999999999</v>
      </c>
      <c r="J4544">
        <v>50065.79</v>
      </c>
      <c r="K4544">
        <v>28530.7670389788</v>
      </c>
    </row>
    <row r="4545" spans="1:11" x14ac:dyDescent="0.25">
      <c r="A4545" t="s">
        <v>668</v>
      </c>
      <c r="B4545" t="s">
        <v>476</v>
      </c>
      <c r="C4545" s="1">
        <v>40843</v>
      </c>
      <c r="D4545" s="1">
        <v>40851</v>
      </c>
      <c r="E4545">
        <v>1687</v>
      </c>
      <c r="F4545" t="s">
        <v>311</v>
      </c>
      <c r="G4545" t="s">
        <v>16</v>
      </c>
      <c r="H4545" t="s">
        <v>6856</v>
      </c>
      <c r="I4545">
        <v>1.7605999999999999</v>
      </c>
      <c r="J4545">
        <v>194630.86</v>
      </c>
      <c r="K4545">
        <v>110548.02908099511</v>
      </c>
    </row>
    <row r="4546" spans="1:11" x14ac:dyDescent="0.25">
      <c r="A4546" t="s">
        <v>654</v>
      </c>
      <c r="B4546" t="s">
        <v>655</v>
      </c>
      <c r="C4546" s="1">
        <v>40841</v>
      </c>
      <c r="D4546" s="1">
        <v>40844</v>
      </c>
      <c r="E4546">
        <v>116</v>
      </c>
      <c r="F4546" t="s">
        <v>301</v>
      </c>
      <c r="G4546" t="s">
        <v>16</v>
      </c>
      <c r="H4546" t="s">
        <v>2868</v>
      </c>
      <c r="I4546">
        <v>1.7767999999999999</v>
      </c>
      <c r="J4546">
        <v>37080</v>
      </c>
      <c r="K4546">
        <v>20868.977937865828</v>
      </c>
    </row>
    <row r="4547" spans="1:11" x14ac:dyDescent="0.25">
      <c r="A4547" t="s">
        <v>654</v>
      </c>
      <c r="B4547" t="s">
        <v>655</v>
      </c>
      <c r="C4547" s="1">
        <v>40841</v>
      </c>
      <c r="D4547" s="1">
        <v>40845</v>
      </c>
      <c r="E4547">
        <v>116</v>
      </c>
      <c r="F4547" t="s">
        <v>301</v>
      </c>
      <c r="G4547" t="s">
        <v>16</v>
      </c>
      <c r="H4547" t="s">
        <v>3654</v>
      </c>
      <c r="I4547">
        <v>1.7767999999999999</v>
      </c>
      <c r="J4547">
        <v>37080</v>
      </c>
      <c r="K4547">
        <v>20868.977937865828</v>
      </c>
    </row>
    <row r="4548" spans="1:11" x14ac:dyDescent="0.25">
      <c r="A4548" t="s">
        <v>654</v>
      </c>
      <c r="B4548" t="s">
        <v>655</v>
      </c>
      <c r="C4548" s="1">
        <v>40841</v>
      </c>
      <c r="D4548" s="1">
        <v>40845</v>
      </c>
      <c r="E4548">
        <v>116</v>
      </c>
      <c r="F4548" t="s">
        <v>301</v>
      </c>
      <c r="G4548" t="s">
        <v>16</v>
      </c>
      <c r="H4548" t="s">
        <v>6857</v>
      </c>
      <c r="I4548">
        <v>1.7767999999999999</v>
      </c>
      <c r="J4548">
        <v>37080</v>
      </c>
      <c r="K4548">
        <v>20868.977937865828</v>
      </c>
    </row>
    <row r="4549" spans="1:11" x14ac:dyDescent="0.25">
      <c r="A4549" t="s">
        <v>668</v>
      </c>
      <c r="B4549" t="s">
        <v>476</v>
      </c>
      <c r="C4549" s="1">
        <v>40847</v>
      </c>
      <c r="D4549" s="1">
        <v>40855</v>
      </c>
      <c r="E4549">
        <v>1687</v>
      </c>
      <c r="F4549" t="s">
        <v>311</v>
      </c>
      <c r="G4549" t="s">
        <v>16</v>
      </c>
      <c r="H4549" t="s">
        <v>6858</v>
      </c>
      <c r="I4549">
        <v>1.6986000000000001</v>
      </c>
      <c r="J4549">
        <v>145231.57999999999</v>
      </c>
      <c r="K4549">
        <v>85500.753561756734</v>
      </c>
    </row>
    <row r="4550" spans="1:11" x14ac:dyDescent="0.25">
      <c r="A4550" t="s">
        <v>654</v>
      </c>
      <c r="B4550" t="s">
        <v>655</v>
      </c>
      <c r="C4550" s="1">
        <v>40841</v>
      </c>
      <c r="D4550" s="1">
        <v>40844</v>
      </c>
      <c r="E4550">
        <v>116</v>
      </c>
      <c r="F4550" t="s">
        <v>301</v>
      </c>
      <c r="G4550" t="s">
        <v>16</v>
      </c>
      <c r="H4550" t="s">
        <v>3655</v>
      </c>
      <c r="I4550">
        <v>1.7767999999999999</v>
      </c>
      <c r="J4550">
        <v>37080</v>
      </c>
      <c r="K4550">
        <v>20868.977937865828</v>
      </c>
    </row>
    <row r="4551" spans="1:11" x14ac:dyDescent="0.25">
      <c r="A4551" t="s">
        <v>654</v>
      </c>
      <c r="B4551" t="s">
        <v>655</v>
      </c>
      <c r="C4551" s="1">
        <v>40841</v>
      </c>
      <c r="D4551" s="1">
        <v>40844</v>
      </c>
      <c r="E4551">
        <v>116</v>
      </c>
      <c r="F4551" t="s">
        <v>301</v>
      </c>
      <c r="G4551" t="s">
        <v>16</v>
      </c>
      <c r="H4551" t="s">
        <v>6859</v>
      </c>
      <c r="I4551">
        <v>1.7767999999999999</v>
      </c>
      <c r="J4551">
        <v>37080</v>
      </c>
      <c r="K4551">
        <v>20868.977937865828</v>
      </c>
    </row>
    <row r="4552" spans="1:11" x14ac:dyDescent="0.25">
      <c r="A4552" t="s">
        <v>1339</v>
      </c>
      <c r="B4552" t="s">
        <v>1340</v>
      </c>
      <c r="C4552" s="1">
        <v>40843</v>
      </c>
      <c r="D4552" s="1">
        <v>40850</v>
      </c>
      <c r="E4552">
        <v>1843</v>
      </c>
      <c r="F4552" t="s">
        <v>373</v>
      </c>
      <c r="G4552" t="s">
        <v>16</v>
      </c>
      <c r="H4552" t="s">
        <v>3656</v>
      </c>
      <c r="I4552">
        <v>1.7605999999999999</v>
      </c>
      <c r="J4552">
        <v>108478.8</v>
      </c>
      <c r="K4552">
        <v>61614.676814722254</v>
      </c>
    </row>
    <row r="4553" spans="1:11" x14ac:dyDescent="0.25">
      <c r="A4553" t="s">
        <v>3205</v>
      </c>
      <c r="B4553" t="s">
        <v>3206</v>
      </c>
      <c r="C4553" s="1">
        <v>40815</v>
      </c>
      <c r="D4553" s="1">
        <v>40827</v>
      </c>
      <c r="E4553">
        <v>111</v>
      </c>
      <c r="F4553" t="s">
        <v>311</v>
      </c>
      <c r="G4553" t="s">
        <v>16</v>
      </c>
      <c r="H4553" t="s">
        <v>6860</v>
      </c>
      <c r="I4553">
        <v>1.8123</v>
      </c>
      <c r="J4553">
        <v>1126993.67</v>
      </c>
      <c r="K4553">
        <v>621858.22987364128</v>
      </c>
    </row>
    <row r="4554" spans="1:11" x14ac:dyDescent="0.25">
      <c r="A4554" t="s">
        <v>672</v>
      </c>
      <c r="B4554" t="s">
        <v>673</v>
      </c>
      <c r="C4554" s="1">
        <v>40815</v>
      </c>
      <c r="D4554" s="1">
        <v>40827</v>
      </c>
      <c r="E4554">
        <v>118</v>
      </c>
      <c r="F4554" t="s">
        <v>370</v>
      </c>
      <c r="G4554" t="s">
        <v>16</v>
      </c>
      <c r="H4554" t="s">
        <v>3568</v>
      </c>
      <c r="I4554">
        <v>1.8123</v>
      </c>
      <c r="J4554">
        <v>3481.15</v>
      </c>
      <c r="K4554">
        <v>1920.8464382276666</v>
      </c>
    </row>
    <row r="4555" spans="1:11" x14ac:dyDescent="0.25">
      <c r="A4555" t="s">
        <v>1332</v>
      </c>
      <c r="B4555" t="s">
        <v>1333</v>
      </c>
      <c r="C4555" s="1">
        <v>40833</v>
      </c>
      <c r="D4555" s="1">
        <v>40837</v>
      </c>
      <c r="E4555">
        <v>142</v>
      </c>
      <c r="F4555" t="s">
        <v>331</v>
      </c>
      <c r="G4555" t="s">
        <v>16</v>
      </c>
      <c r="H4555" t="s">
        <v>6861</v>
      </c>
      <c r="I4555">
        <v>1.7376</v>
      </c>
      <c r="J4555">
        <v>58878.53</v>
      </c>
      <c r="K4555">
        <v>33884.973526703499</v>
      </c>
    </row>
    <row r="4556" spans="1:11" x14ac:dyDescent="0.25">
      <c r="A4556" t="s">
        <v>670</v>
      </c>
      <c r="C4556" s="1">
        <v>40847</v>
      </c>
      <c r="D4556" s="1">
        <v>40871</v>
      </c>
      <c r="E4556">
        <v>352</v>
      </c>
      <c r="F4556" t="s">
        <v>478</v>
      </c>
      <c r="G4556" t="s">
        <v>16</v>
      </c>
      <c r="H4556" t="s">
        <v>6862</v>
      </c>
      <c r="I4556">
        <v>1.6986000000000001</v>
      </c>
      <c r="J4556">
        <v>747</v>
      </c>
      <c r="K4556">
        <v>439.77393147297772</v>
      </c>
    </row>
    <row r="4557" spans="1:11" x14ac:dyDescent="0.25">
      <c r="A4557" t="s">
        <v>1336</v>
      </c>
      <c r="B4557" t="s">
        <v>1337</v>
      </c>
      <c r="C4557" s="1">
        <v>40835</v>
      </c>
      <c r="D4557" s="1">
        <v>40835</v>
      </c>
      <c r="E4557">
        <v>1644</v>
      </c>
      <c r="F4557" t="s">
        <v>1338</v>
      </c>
      <c r="G4557" t="s">
        <v>16</v>
      </c>
      <c r="H4557" t="s">
        <v>6863</v>
      </c>
      <c r="I4557">
        <v>1.7724</v>
      </c>
      <c r="J4557">
        <v>23625</v>
      </c>
      <c r="K4557">
        <v>13329.383886255924</v>
      </c>
    </row>
    <row r="4558" spans="1:11" x14ac:dyDescent="0.25">
      <c r="A4558" t="s">
        <v>1332</v>
      </c>
      <c r="B4558" t="s">
        <v>1333</v>
      </c>
      <c r="C4558" s="1">
        <v>40833</v>
      </c>
      <c r="D4558" s="1">
        <v>40836</v>
      </c>
      <c r="E4558">
        <v>142</v>
      </c>
      <c r="F4558" t="s">
        <v>331</v>
      </c>
      <c r="G4558" t="s">
        <v>16</v>
      </c>
      <c r="H4558" t="s">
        <v>3657</v>
      </c>
      <c r="I4558">
        <v>1.7376</v>
      </c>
      <c r="J4558">
        <v>58910.37</v>
      </c>
      <c r="K4558">
        <v>33903.297651933703</v>
      </c>
    </row>
    <row r="4559" spans="1:11" x14ac:dyDescent="0.25">
      <c r="A4559" t="s">
        <v>709</v>
      </c>
      <c r="B4559" t="s">
        <v>710</v>
      </c>
      <c r="C4559" s="1">
        <v>40868</v>
      </c>
      <c r="D4559" s="1">
        <v>40870</v>
      </c>
      <c r="E4559">
        <v>4</v>
      </c>
      <c r="F4559" t="s">
        <v>278</v>
      </c>
      <c r="G4559" t="s">
        <v>16</v>
      </c>
      <c r="H4559" t="s">
        <v>3658</v>
      </c>
      <c r="I4559">
        <v>1.7723</v>
      </c>
      <c r="J4559">
        <v>96018.27</v>
      </c>
      <c r="K4559">
        <v>54177.210404559046</v>
      </c>
    </row>
    <row r="4560" spans="1:11" x14ac:dyDescent="0.25">
      <c r="A4560" t="s">
        <v>1339</v>
      </c>
      <c r="B4560" t="s">
        <v>1340</v>
      </c>
      <c r="C4560" s="1">
        <v>40876</v>
      </c>
      <c r="D4560" s="1">
        <v>40879</v>
      </c>
      <c r="E4560">
        <v>1843</v>
      </c>
      <c r="F4560" t="s">
        <v>373</v>
      </c>
      <c r="G4560" t="s">
        <v>16</v>
      </c>
      <c r="H4560" t="s">
        <v>3659</v>
      </c>
      <c r="I4560">
        <v>1.8595999999999999</v>
      </c>
      <c r="J4560">
        <v>92316</v>
      </c>
      <c r="K4560">
        <v>49642.933964293399</v>
      </c>
    </row>
    <row r="4561" spans="1:11" x14ac:dyDescent="0.25">
      <c r="A4561" t="s">
        <v>709</v>
      </c>
      <c r="B4561" t="s">
        <v>710</v>
      </c>
      <c r="C4561" s="1">
        <v>40938</v>
      </c>
      <c r="D4561" s="1">
        <v>40939</v>
      </c>
      <c r="E4561">
        <v>4</v>
      </c>
      <c r="F4561" t="s">
        <v>278</v>
      </c>
      <c r="G4561" t="s">
        <v>16</v>
      </c>
      <c r="H4561" t="s">
        <v>3660</v>
      </c>
      <c r="I4561">
        <v>1.7436</v>
      </c>
      <c r="J4561">
        <v>289050.09999999998</v>
      </c>
      <c r="K4561">
        <v>165777.75866024318</v>
      </c>
    </row>
    <row r="4562" spans="1:11" x14ac:dyDescent="0.25">
      <c r="A4562" t="s">
        <v>700</v>
      </c>
      <c r="B4562" t="s">
        <v>701</v>
      </c>
      <c r="C4562" s="1">
        <v>40938</v>
      </c>
      <c r="D4562" s="1">
        <v>40940</v>
      </c>
      <c r="E4562">
        <v>113</v>
      </c>
      <c r="F4562" t="s">
        <v>642</v>
      </c>
      <c r="G4562" t="s">
        <v>16</v>
      </c>
      <c r="H4562" t="s">
        <v>1608</v>
      </c>
      <c r="I4562">
        <v>1.7436</v>
      </c>
      <c r="J4562">
        <v>51500</v>
      </c>
      <c r="K4562">
        <v>29536.590961229638</v>
      </c>
    </row>
    <row r="4563" spans="1:11" x14ac:dyDescent="0.25">
      <c r="A4563" t="s">
        <v>6864</v>
      </c>
      <c r="C4563" s="1">
        <v>40904</v>
      </c>
      <c r="D4563" s="1">
        <v>40907</v>
      </c>
      <c r="E4563">
        <v>3132</v>
      </c>
      <c r="F4563" t="s">
        <v>314</v>
      </c>
      <c r="G4563" t="s">
        <v>16</v>
      </c>
      <c r="H4563" t="s">
        <v>6865</v>
      </c>
      <c r="I4563">
        <v>1.8566</v>
      </c>
      <c r="J4563">
        <v>90</v>
      </c>
      <c r="K4563">
        <v>48.475708283959925</v>
      </c>
    </row>
    <row r="4564" spans="1:11" x14ac:dyDescent="0.25">
      <c r="A4564" t="s">
        <v>6866</v>
      </c>
      <c r="C4564" s="1">
        <v>40883</v>
      </c>
      <c r="D4564" s="1">
        <v>40906</v>
      </c>
      <c r="E4564">
        <v>3048</v>
      </c>
      <c r="F4564" t="s">
        <v>388</v>
      </c>
      <c r="G4564" t="s">
        <v>16</v>
      </c>
      <c r="H4564" t="s">
        <v>6867</v>
      </c>
      <c r="I4564">
        <v>1.7912999999999999</v>
      </c>
      <c r="J4564">
        <v>760.17</v>
      </c>
      <c r="K4564">
        <v>424.3677775916932</v>
      </c>
    </row>
    <row r="4565" spans="1:11" x14ac:dyDescent="0.25">
      <c r="A4565" t="s">
        <v>672</v>
      </c>
      <c r="B4565" t="s">
        <v>673</v>
      </c>
      <c r="C4565" s="1">
        <v>40896</v>
      </c>
      <c r="D4565" s="1">
        <v>40904</v>
      </c>
      <c r="E4565">
        <v>118</v>
      </c>
      <c r="F4565" t="s">
        <v>370</v>
      </c>
      <c r="G4565" t="s">
        <v>16</v>
      </c>
      <c r="H4565" t="s">
        <v>6868</v>
      </c>
      <c r="I4565">
        <v>1.8465</v>
      </c>
      <c r="J4565">
        <v>45239.25</v>
      </c>
      <c r="K4565">
        <v>24500</v>
      </c>
    </row>
    <row r="4566" spans="1:11" x14ac:dyDescent="0.25">
      <c r="A4566" t="s">
        <v>677</v>
      </c>
      <c r="B4566" t="s">
        <v>678</v>
      </c>
      <c r="C4566" s="1">
        <v>40906</v>
      </c>
      <c r="D4566" s="1">
        <v>40910</v>
      </c>
      <c r="E4566">
        <v>2629</v>
      </c>
      <c r="F4566" t="s">
        <v>331</v>
      </c>
      <c r="G4566" t="s">
        <v>16</v>
      </c>
      <c r="H4566" t="s">
        <v>6869</v>
      </c>
      <c r="I4566">
        <v>1.8633999999999999</v>
      </c>
      <c r="J4566">
        <v>57020.97</v>
      </c>
      <c r="K4566">
        <v>30600.499087689172</v>
      </c>
    </row>
    <row r="4567" spans="1:11" x14ac:dyDescent="0.25">
      <c r="A4567" t="s">
        <v>681</v>
      </c>
      <c r="B4567" t="s">
        <v>682</v>
      </c>
      <c r="C4567" s="1">
        <v>40899</v>
      </c>
      <c r="D4567" s="1">
        <v>40921</v>
      </c>
      <c r="E4567">
        <v>1534</v>
      </c>
      <c r="F4567" t="s">
        <v>331</v>
      </c>
      <c r="G4567" t="s">
        <v>16</v>
      </c>
      <c r="H4567" t="s">
        <v>3661</v>
      </c>
      <c r="I4567">
        <v>1.8555999999999999</v>
      </c>
      <c r="J4567">
        <v>57559.56</v>
      </c>
      <c r="K4567">
        <v>31019.37917654667</v>
      </c>
    </row>
    <row r="4568" spans="1:11" x14ac:dyDescent="0.25">
      <c r="A4568" t="s">
        <v>1368</v>
      </c>
      <c r="B4568" t="s">
        <v>1369</v>
      </c>
      <c r="C4568" s="1">
        <v>40932</v>
      </c>
      <c r="D4568" s="1">
        <v>40935</v>
      </c>
      <c r="E4568">
        <v>3413</v>
      </c>
      <c r="F4568" t="s">
        <v>689</v>
      </c>
      <c r="G4568" t="s">
        <v>16</v>
      </c>
      <c r="H4568" t="s">
        <v>6870</v>
      </c>
      <c r="I4568">
        <v>1.7527999999999999</v>
      </c>
      <c r="J4568">
        <v>50205.59</v>
      </c>
      <c r="K4568">
        <v>28643.079643998175</v>
      </c>
    </row>
    <row r="4569" spans="1:11" x14ac:dyDescent="0.25">
      <c r="A4569" t="s">
        <v>672</v>
      </c>
      <c r="B4569" t="s">
        <v>673</v>
      </c>
      <c r="C4569" s="1">
        <v>40887</v>
      </c>
      <c r="D4569" s="1">
        <v>40893</v>
      </c>
      <c r="E4569">
        <v>118</v>
      </c>
      <c r="F4569" t="s">
        <v>370</v>
      </c>
      <c r="G4569" t="s">
        <v>16</v>
      </c>
      <c r="H4569" t="s">
        <v>3662</v>
      </c>
      <c r="I4569">
        <v>1.8129999999999999</v>
      </c>
      <c r="J4569">
        <v>324980.25</v>
      </c>
      <c r="K4569">
        <v>179250</v>
      </c>
    </row>
    <row r="4570" spans="1:11" x14ac:dyDescent="0.25">
      <c r="A4570" t="s">
        <v>672</v>
      </c>
      <c r="B4570" t="s">
        <v>673</v>
      </c>
      <c r="C4570" s="1">
        <v>40887</v>
      </c>
      <c r="D4570" s="1">
        <v>40893</v>
      </c>
      <c r="E4570">
        <v>118</v>
      </c>
      <c r="F4570" t="s">
        <v>370</v>
      </c>
      <c r="G4570" t="s">
        <v>16</v>
      </c>
      <c r="H4570" t="s">
        <v>3663</v>
      </c>
      <c r="I4570">
        <v>1.8129999999999999</v>
      </c>
      <c r="J4570">
        <v>222999</v>
      </c>
      <c r="K4570">
        <v>123000</v>
      </c>
    </row>
    <row r="4571" spans="1:11" x14ac:dyDescent="0.25">
      <c r="A4571" t="s">
        <v>1368</v>
      </c>
      <c r="B4571" t="s">
        <v>1369</v>
      </c>
      <c r="C4571" s="1">
        <v>40932</v>
      </c>
      <c r="D4571" s="1">
        <v>40938</v>
      </c>
      <c r="E4571">
        <v>3413</v>
      </c>
      <c r="F4571" t="s">
        <v>689</v>
      </c>
      <c r="G4571" t="s">
        <v>16</v>
      </c>
      <c r="H4571" t="s">
        <v>3638</v>
      </c>
      <c r="I4571">
        <v>1.7527999999999999</v>
      </c>
      <c r="J4571">
        <v>50452.24</v>
      </c>
      <c r="K4571">
        <v>28783.797352806938</v>
      </c>
    </row>
    <row r="4572" spans="1:11" x14ac:dyDescent="0.25">
      <c r="A4572" t="s">
        <v>677</v>
      </c>
      <c r="B4572" t="s">
        <v>678</v>
      </c>
      <c r="C4572" s="1">
        <v>40906</v>
      </c>
      <c r="D4572" s="1">
        <v>40911</v>
      </c>
      <c r="E4572">
        <v>2629</v>
      </c>
      <c r="F4572" t="s">
        <v>331</v>
      </c>
      <c r="G4572" t="s">
        <v>16</v>
      </c>
      <c r="H4572" t="s">
        <v>3664</v>
      </c>
      <c r="I4572">
        <v>1.8633999999999999</v>
      </c>
      <c r="J4572">
        <v>80505.72</v>
      </c>
      <c r="K4572">
        <v>43203.670709455837</v>
      </c>
    </row>
    <row r="4573" spans="1:11" x14ac:dyDescent="0.25">
      <c r="A4573" t="s">
        <v>677</v>
      </c>
      <c r="B4573" t="s">
        <v>678</v>
      </c>
      <c r="C4573" s="1">
        <v>40906</v>
      </c>
      <c r="D4573" s="1">
        <v>40911</v>
      </c>
      <c r="E4573">
        <v>2629</v>
      </c>
      <c r="F4573" t="s">
        <v>331</v>
      </c>
      <c r="G4573" t="s">
        <v>16</v>
      </c>
      <c r="H4573" t="s">
        <v>6871</v>
      </c>
      <c r="I4573">
        <v>1.8633999999999999</v>
      </c>
      <c r="J4573">
        <v>76842.100000000006</v>
      </c>
      <c r="K4573">
        <v>41237.576473113666</v>
      </c>
    </row>
    <row r="4574" spans="1:11" x14ac:dyDescent="0.25">
      <c r="A4574" t="s">
        <v>677</v>
      </c>
      <c r="B4574" t="s">
        <v>678</v>
      </c>
      <c r="C4574" s="1">
        <v>40907</v>
      </c>
      <c r="D4574" s="1">
        <v>40913</v>
      </c>
      <c r="E4574">
        <v>2629</v>
      </c>
      <c r="F4574" t="s">
        <v>331</v>
      </c>
      <c r="G4574" t="s">
        <v>16</v>
      </c>
      <c r="H4574" t="s">
        <v>6872</v>
      </c>
      <c r="I4574">
        <v>1.8757999999999999</v>
      </c>
      <c r="J4574">
        <v>48378.59</v>
      </c>
      <c r="K4574">
        <v>25790.910544834205</v>
      </c>
    </row>
    <row r="4575" spans="1:11" x14ac:dyDescent="0.25">
      <c r="A4575" t="s">
        <v>677</v>
      </c>
      <c r="B4575" t="s">
        <v>678</v>
      </c>
      <c r="C4575" s="1">
        <v>40912</v>
      </c>
      <c r="D4575" s="1">
        <v>40913</v>
      </c>
      <c r="E4575">
        <v>2629</v>
      </c>
      <c r="F4575" t="s">
        <v>331</v>
      </c>
      <c r="G4575" t="s">
        <v>16</v>
      </c>
      <c r="H4575" t="s">
        <v>3665</v>
      </c>
      <c r="I4575">
        <v>1.8456999999999999</v>
      </c>
      <c r="J4575">
        <v>56488.65</v>
      </c>
      <c r="K4575">
        <v>30605.542612558922</v>
      </c>
    </row>
    <row r="4576" spans="1:11" x14ac:dyDescent="0.25">
      <c r="A4576" t="s">
        <v>677</v>
      </c>
      <c r="B4576" t="s">
        <v>678</v>
      </c>
      <c r="C4576" s="1">
        <v>40905</v>
      </c>
      <c r="D4576" s="1">
        <v>40907</v>
      </c>
      <c r="E4576">
        <v>2629</v>
      </c>
      <c r="F4576" t="s">
        <v>331</v>
      </c>
      <c r="G4576" t="s">
        <v>16</v>
      </c>
      <c r="H4576" t="s">
        <v>6873</v>
      </c>
      <c r="I4576">
        <v>1.8585</v>
      </c>
      <c r="J4576">
        <v>58430.06</v>
      </c>
      <c r="K4576">
        <v>31439.365079365078</v>
      </c>
    </row>
    <row r="4577" spans="1:11" x14ac:dyDescent="0.25">
      <c r="A4577" t="s">
        <v>654</v>
      </c>
      <c r="B4577" t="s">
        <v>655</v>
      </c>
      <c r="C4577" s="1">
        <v>40897</v>
      </c>
      <c r="D4577" s="1">
        <v>40899</v>
      </c>
      <c r="E4577">
        <v>116</v>
      </c>
      <c r="F4577" t="s">
        <v>675</v>
      </c>
      <c r="G4577" t="s">
        <v>16</v>
      </c>
      <c r="H4577" t="s">
        <v>6874</v>
      </c>
      <c r="I4577">
        <v>1.8615999999999999</v>
      </c>
      <c r="J4577">
        <v>615670</v>
      </c>
      <c r="K4577">
        <v>330720.8852599914</v>
      </c>
    </row>
    <row r="4578" spans="1:11" x14ac:dyDescent="0.25">
      <c r="A4578" t="s">
        <v>654</v>
      </c>
      <c r="B4578" t="s">
        <v>655</v>
      </c>
      <c r="C4578" s="1">
        <v>40897</v>
      </c>
      <c r="D4578" s="1">
        <v>40899</v>
      </c>
      <c r="E4578">
        <v>116</v>
      </c>
      <c r="F4578" t="s">
        <v>675</v>
      </c>
      <c r="G4578" t="s">
        <v>16</v>
      </c>
      <c r="H4578" t="s">
        <v>6875</v>
      </c>
      <c r="I4578">
        <v>1.8615999999999999</v>
      </c>
      <c r="J4578">
        <v>6213.21</v>
      </c>
      <c r="K4578">
        <v>3337.5644606789856</v>
      </c>
    </row>
    <row r="4579" spans="1:11" x14ac:dyDescent="0.25">
      <c r="A4579" t="s">
        <v>684</v>
      </c>
      <c r="B4579" t="s">
        <v>685</v>
      </c>
      <c r="C4579" s="1">
        <v>40926</v>
      </c>
      <c r="D4579" s="1">
        <v>40931</v>
      </c>
      <c r="E4579">
        <v>3636</v>
      </c>
      <c r="F4579" t="s">
        <v>309</v>
      </c>
      <c r="G4579" t="s">
        <v>16</v>
      </c>
      <c r="H4579" t="s">
        <v>6876</v>
      </c>
      <c r="I4579">
        <v>1.776</v>
      </c>
      <c r="J4579">
        <v>25671.99</v>
      </c>
      <c r="K4579">
        <v>14454.949324324325</v>
      </c>
    </row>
    <row r="4580" spans="1:11" x14ac:dyDescent="0.25">
      <c r="A4580" t="s">
        <v>654</v>
      </c>
      <c r="B4580" t="s">
        <v>655</v>
      </c>
      <c r="C4580" s="1">
        <v>40892</v>
      </c>
      <c r="D4580" s="1">
        <v>40896</v>
      </c>
      <c r="E4580">
        <v>116</v>
      </c>
      <c r="F4580" t="s">
        <v>675</v>
      </c>
      <c r="G4580" t="s">
        <v>16</v>
      </c>
      <c r="H4580" t="s">
        <v>3666</v>
      </c>
      <c r="I4580">
        <v>1.8728</v>
      </c>
      <c r="J4580">
        <v>39658</v>
      </c>
      <c r="K4580">
        <v>21175.779581375482</v>
      </c>
    </row>
    <row r="4581" spans="1:11" x14ac:dyDescent="0.25">
      <c r="A4581" t="s">
        <v>654</v>
      </c>
      <c r="B4581" t="s">
        <v>655</v>
      </c>
      <c r="C4581" s="1">
        <v>40891</v>
      </c>
      <c r="D4581" s="1">
        <v>40896</v>
      </c>
      <c r="E4581">
        <v>116</v>
      </c>
      <c r="F4581" t="s">
        <v>675</v>
      </c>
      <c r="G4581" t="s">
        <v>16</v>
      </c>
      <c r="H4581" t="s">
        <v>6877</v>
      </c>
      <c r="I4581">
        <v>1.8409</v>
      </c>
      <c r="J4581">
        <v>110880</v>
      </c>
      <c r="K4581">
        <v>60231.408550165681</v>
      </c>
    </row>
    <row r="4582" spans="1:11" x14ac:dyDescent="0.25">
      <c r="A4582" t="s">
        <v>704</v>
      </c>
      <c r="B4582" t="s">
        <v>705</v>
      </c>
      <c r="C4582" s="1">
        <v>40930</v>
      </c>
      <c r="D4582" s="1">
        <v>40932</v>
      </c>
      <c r="E4582">
        <v>3416</v>
      </c>
      <c r="F4582" t="s">
        <v>689</v>
      </c>
      <c r="G4582" t="s">
        <v>16</v>
      </c>
      <c r="H4582" t="s">
        <v>6878</v>
      </c>
      <c r="I4582">
        <v>1.7669999999999999</v>
      </c>
      <c r="J4582">
        <v>40258.589999999997</v>
      </c>
      <c r="K4582">
        <v>22783.58234295416</v>
      </c>
    </row>
    <row r="4583" spans="1:11" x14ac:dyDescent="0.25">
      <c r="A4583" t="s">
        <v>672</v>
      </c>
      <c r="B4583" t="s">
        <v>673</v>
      </c>
      <c r="C4583" s="1">
        <v>40892</v>
      </c>
      <c r="D4583" s="1">
        <v>40898</v>
      </c>
      <c r="E4583">
        <v>118</v>
      </c>
      <c r="F4583" t="s">
        <v>370</v>
      </c>
      <c r="G4583" t="s">
        <v>16</v>
      </c>
      <c r="H4583" t="s">
        <v>3667</v>
      </c>
      <c r="I4583">
        <v>1.8728</v>
      </c>
      <c r="J4583">
        <v>232227.20000000001</v>
      </c>
      <c r="K4583">
        <v>124000</v>
      </c>
    </row>
    <row r="4584" spans="1:11" x14ac:dyDescent="0.25">
      <c r="A4584" t="s">
        <v>704</v>
      </c>
      <c r="B4584" t="s">
        <v>705</v>
      </c>
      <c r="C4584" s="1">
        <v>40931</v>
      </c>
      <c r="D4584" s="1">
        <v>40933</v>
      </c>
      <c r="E4584">
        <v>3416</v>
      </c>
      <c r="F4584" t="s">
        <v>689</v>
      </c>
      <c r="G4584" t="s">
        <v>16</v>
      </c>
      <c r="H4584" t="s">
        <v>3668</v>
      </c>
      <c r="I4584">
        <v>1.7669999999999999</v>
      </c>
      <c r="J4584">
        <v>40258.589999999997</v>
      </c>
      <c r="K4584">
        <v>22783.58234295416</v>
      </c>
    </row>
    <row r="4585" spans="1:11" x14ac:dyDescent="0.25">
      <c r="A4585" t="s">
        <v>684</v>
      </c>
      <c r="B4585" t="s">
        <v>685</v>
      </c>
      <c r="C4585" s="1">
        <v>40925</v>
      </c>
      <c r="D4585" s="1">
        <v>40931</v>
      </c>
      <c r="E4585">
        <v>3636</v>
      </c>
      <c r="F4585" t="s">
        <v>309</v>
      </c>
      <c r="G4585" t="s">
        <v>16</v>
      </c>
      <c r="H4585" t="s">
        <v>6879</v>
      </c>
      <c r="I4585">
        <v>1.7836000000000001</v>
      </c>
      <c r="J4585">
        <v>25694.84</v>
      </c>
      <c r="K4585">
        <v>14406.167302085669</v>
      </c>
    </row>
    <row r="4586" spans="1:11" x14ac:dyDescent="0.25">
      <c r="A4586" t="s">
        <v>684</v>
      </c>
      <c r="B4586" t="s">
        <v>685</v>
      </c>
      <c r="C4586" s="1">
        <v>40925</v>
      </c>
      <c r="D4586" s="1">
        <v>40932</v>
      </c>
      <c r="E4586">
        <v>3636</v>
      </c>
      <c r="F4586" t="s">
        <v>309</v>
      </c>
      <c r="G4586" t="s">
        <v>16</v>
      </c>
      <c r="H4586" t="s">
        <v>6880</v>
      </c>
      <c r="I4586">
        <v>1.7836000000000001</v>
      </c>
      <c r="J4586">
        <v>28406.78</v>
      </c>
      <c r="K4586">
        <v>15926.653958286612</v>
      </c>
    </row>
    <row r="4587" spans="1:11" x14ac:dyDescent="0.25">
      <c r="A4587" t="s">
        <v>684</v>
      </c>
      <c r="B4587" t="s">
        <v>685</v>
      </c>
      <c r="C4587" s="1">
        <v>40926</v>
      </c>
      <c r="D4587" s="1">
        <v>40932</v>
      </c>
      <c r="E4587">
        <v>3636</v>
      </c>
      <c r="F4587" t="s">
        <v>309</v>
      </c>
      <c r="G4587" t="s">
        <v>16</v>
      </c>
      <c r="H4587" t="s">
        <v>6881</v>
      </c>
      <c r="I4587">
        <v>1.776</v>
      </c>
      <c r="J4587">
        <v>28376.31</v>
      </c>
      <c r="K4587">
        <v>15977.652027027027</v>
      </c>
    </row>
    <row r="4588" spans="1:11" x14ac:dyDescent="0.25">
      <c r="A4588" t="s">
        <v>704</v>
      </c>
      <c r="B4588" t="s">
        <v>705</v>
      </c>
      <c r="C4588" s="1">
        <v>40931</v>
      </c>
      <c r="D4588" s="1">
        <v>40933</v>
      </c>
      <c r="E4588">
        <v>3416</v>
      </c>
      <c r="F4588" t="s">
        <v>689</v>
      </c>
      <c r="G4588" t="s">
        <v>16</v>
      </c>
      <c r="H4588" t="s">
        <v>3669</v>
      </c>
      <c r="I4588">
        <v>1.7669999999999999</v>
      </c>
      <c r="J4588">
        <v>40258.589999999997</v>
      </c>
      <c r="K4588">
        <v>22783.58234295416</v>
      </c>
    </row>
    <row r="4589" spans="1:11" x14ac:dyDescent="0.25">
      <c r="A4589" t="s">
        <v>672</v>
      </c>
      <c r="B4589" t="s">
        <v>673</v>
      </c>
      <c r="C4589" s="1">
        <v>40925</v>
      </c>
      <c r="D4589" s="1">
        <v>40931</v>
      </c>
      <c r="E4589">
        <v>118</v>
      </c>
      <c r="F4589" t="s">
        <v>370</v>
      </c>
      <c r="G4589" t="s">
        <v>16</v>
      </c>
      <c r="H4589" t="s">
        <v>6882</v>
      </c>
      <c r="I4589">
        <v>1.7836000000000001</v>
      </c>
      <c r="J4589">
        <v>65921.86</v>
      </c>
      <c r="K4589">
        <v>36960.002242655304</v>
      </c>
    </row>
    <row r="4590" spans="1:11" x14ac:dyDescent="0.25">
      <c r="A4590" t="s">
        <v>2313</v>
      </c>
      <c r="B4590" t="s">
        <v>2314</v>
      </c>
      <c r="C4590" s="1">
        <v>40927</v>
      </c>
      <c r="D4590" s="1">
        <v>40934</v>
      </c>
      <c r="E4590">
        <v>1747</v>
      </c>
      <c r="F4590" t="s">
        <v>309</v>
      </c>
      <c r="G4590" t="s">
        <v>16</v>
      </c>
      <c r="H4590" t="s">
        <v>6883</v>
      </c>
      <c r="I4590">
        <v>1.7790999999999999</v>
      </c>
      <c r="J4590">
        <v>69673.5</v>
      </c>
      <c r="K4590">
        <v>39162.216851216908</v>
      </c>
    </row>
    <row r="4591" spans="1:11" x14ac:dyDescent="0.25">
      <c r="A4591" t="s">
        <v>691</v>
      </c>
      <c r="B4591" t="s">
        <v>692</v>
      </c>
      <c r="C4591" s="1">
        <v>40938</v>
      </c>
      <c r="D4591" s="1">
        <v>40942</v>
      </c>
      <c r="E4591">
        <v>3419</v>
      </c>
      <c r="F4591" t="s">
        <v>338</v>
      </c>
      <c r="G4591" t="s">
        <v>16</v>
      </c>
      <c r="H4591" t="s">
        <v>6884</v>
      </c>
      <c r="I4591">
        <v>1.7436</v>
      </c>
      <c r="J4591">
        <v>238122.78</v>
      </c>
      <c r="K4591">
        <v>136569.6145905024</v>
      </c>
    </row>
    <row r="4592" spans="1:11" x14ac:dyDescent="0.25">
      <c r="A4592" t="s">
        <v>713</v>
      </c>
      <c r="B4592" t="s">
        <v>714</v>
      </c>
      <c r="C4592" s="1">
        <v>40942</v>
      </c>
      <c r="D4592" s="1">
        <v>40943</v>
      </c>
      <c r="E4592">
        <v>3412</v>
      </c>
      <c r="F4592" t="s">
        <v>689</v>
      </c>
      <c r="G4592" t="s">
        <v>16</v>
      </c>
      <c r="H4592" t="s">
        <v>3670</v>
      </c>
      <c r="I4592">
        <v>1.7325999999999999</v>
      </c>
      <c r="J4592">
        <v>27095.119999999999</v>
      </c>
      <c r="K4592">
        <v>15638.416253030127</v>
      </c>
    </row>
    <row r="4593" spans="1:11" x14ac:dyDescent="0.25">
      <c r="A4593" t="s">
        <v>654</v>
      </c>
      <c r="B4593" t="s">
        <v>655</v>
      </c>
      <c r="C4593" s="1">
        <v>40953</v>
      </c>
      <c r="D4593" s="1">
        <v>40956</v>
      </c>
      <c r="E4593">
        <v>116</v>
      </c>
      <c r="F4593" t="s">
        <v>675</v>
      </c>
      <c r="G4593" t="s">
        <v>16</v>
      </c>
      <c r="H4593" t="s">
        <v>6885</v>
      </c>
      <c r="I4593">
        <v>1.7169000000000001</v>
      </c>
      <c r="J4593">
        <v>12450.01</v>
      </c>
      <c r="K4593">
        <v>7251.4473760848041</v>
      </c>
    </row>
    <row r="4594" spans="1:11" x14ac:dyDescent="0.25">
      <c r="A4594" t="s">
        <v>736</v>
      </c>
      <c r="B4594" t="s">
        <v>737</v>
      </c>
      <c r="C4594" s="1">
        <v>40968</v>
      </c>
      <c r="D4594" s="1">
        <v>40970</v>
      </c>
      <c r="E4594">
        <v>3415</v>
      </c>
      <c r="F4594" t="s">
        <v>689</v>
      </c>
      <c r="G4594" t="s">
        <v>16</v>
      </c>
      <c r="H4594" t="s">
        <v>3671</v>
      </c>
      <c r="I4594">
        <v>1.7023999999999999</v>
      </c>
      <c r="J4594">
        <v>49662.87</v>
      </c>
      <c r="K4594">
        <v>29172.268562030076</v>
      </c>
    </row>
    <row r="4595" spans="1:11" x14ac:dyDescent="0.25">
      <c r="A4595" t="s">
        <v>704</v>
      </c>
      <c r="B4595" t="s">
        <v>705</v>
      </c>
      <c r="C4595" s="1">
        <v>40969</v>
      </c>
      <c r="D4595" s="1">
        <v>40971</v>
      </c>
      <c r="E4595">
        <v>3416</v>
      </c>
      <c r="F4595" t="s">
        <v>689</v>
      </c>
      <c r="G4595" t="s">
        <v>16</v>
      </c>
      <c r="H4595" t="s">
        <v>3672</v>
      </c>
      <c r="I4595">
        <v>1.7092000000000001</v>
      </c>
      <c r="J4595">
        <v>40258.589999999997</v>
      </c>
      <c r="K4595">
        <v>23554.054528434357</v>
      </c>
    </row>
    <row r="4596" spans="1:11" x14ac:dyDescent="0.25">
      <c r="A4596" t="s">
        <v>736</v>
      </c>
      <c r="B4596" t="s">
        <v>737</v>
      </c>
      <c r="C4596" s="1">
        <v>40968</v>
      </c>
      <c r="D4596" s="1">
        <v>40971</v>
      </c>
      <c r="E4596">
        <v>3415</v>
      </c>
      <c r="F4596" t="s">
        <v>689</v>
      </c>
      <c r="G4596" t="s">
        <v>16</v>
      </c>
      <c r="H4596" t="s">
        <v>6886</v>
      </c>
      <c r="I4596">
        <v>1.7023999999999999</v>
      </c>
      <c r="J4596">
        <v>50980.41</v>
      </c>
      <c r="K4596">
        <v>29946.199483082706</v>
      </c>
    </row>
    <row r="4597" spans="1:11" x14ac:dyDescent="0.25">
      <c r="A4597" t="s">
        <v>736</v>
      </c>
      <c r="B4597" t="s">
        <v>737</v>
      </c>
      <c r="C4597" s="1">
        <v>40968</v>
      </c>
      <c r="D4597" s="1">
        <v>40971</v>
      </c>
      <c r="E4597">
        <v>3415</v>
      </c>
      <c r="F4597" t="s">
        <v>689</v>
      </c>
      <c r="G4597" t="s">
        <v>16</v>
      </c>
      <c r="H4597" t="s">
        <v>3673</v>
      </c>
      <c r="I4597">
        <v>1.7023999999999999</v>
      </c>
      <c r="J4597">
        <v>51208.959999999999</v>
      </c>
      <c r="K4597">
        <v>30080.45112781955</v>
      </c>
    </row>
    <row r="4598" spans="1:11" x14ac:dyDescent="0.25">
      <c r="A4598" t="s">
        <v>717</v>
      </c>
      <c r="B4598" t="s">
        <v>718</v>
      </c>
      <c r="C4598" s="1">
        <v>40994</v>
      </c>
      <c r="D4598" s="1">
        <v>41001</v>
      </c>
      <c r="E4598">
        <v>3</v>
      </c>
      <c r="F4598" t="s">
        <v>309</v>
      </c>
      <c r="G4598" t="s">
        <v>16</v>
      </c>
      <c r="H4598" t="s">
        <v>6887</v>
      </c>
      <c r="I4598">
        <v>1.8193999999999999</v>
      </c>
      <c r="J4598">
        <v>41575.879999999997</v>
      </c>
      <c r="K4598">
        <v>22851.423546224029</v>
      </c>
    </row>
    <row r="4599" spans="1:11" x14ac:dyDescent="0.25">
      <c r="A4599" t="s">
        <v>3674</v>
      </c>
      <c r="B4599" t="s">
        <v>3675</v>
      </c>
      <c r="C4599" s="1">
        <v>40980</v>
      </c>
      <c r="D4599" s="1">
        <v>40985</v>
      </c>
      <c r="E4599">
        <v>4482</v>
      </c>
      <c r="F4599" t="s">
        <v>301</v>
      </c>
      <c r="G4599" t="s">
        <v>16</v>
      </c>
      <c r="H4599" t="s">
        <v>3676</v>
      </c>
      <c r="I4599">
        <v>1.7766999999999999</v>
      </c>
      <c r="J4599">
        <v>55653</v>
      </c>
      <c r="K4599">
        <v>31323.802555299149</v>
      </c>
    </row>
    <row r="4600" spans="1:11" x14ac:dyDescent="0.25">
      <c r="A4600" t="s">
        <v>736</v>
      </c>
      <c r="B4600" t="s">
        <v>737</v>
      </c>
      <c r="C4600" s="1">
        <v>40969</v>
      </c>
      <c r="D4600" s="1">
        <v>40970</v>
      </c>
      <c r="E4600">
        <v>3415</v>
      </c>
      <c r="F4600" t="s">
        <v>689</v>
      </c>
      <c r="G4600" t="s">
        <v>16</v>
      </c>
      <c r="H4600" t="s">
        <v>6888</v>
      </c>
      <c r="I4600">
        <v>1.7092000000000001</v>
      </c>
      <c r="J4600">
        <v>48385.68</v>
      </c>
      <c r="K4600">
        <v>28308.963257664403</v>
      </c>
    </row>
    <row r="4601" spans="1:11" x14ac:dyDescent="0.25">
      <c r="A4601" t="s">
        <v>704</v>
      </c>
      <c r="B4601" t="s">
        <v>705</v>
      </c>
      <c r="C4601" s="1">
        <v>40975</v>
      </c>
      <c r="D4601" s="1">
        <v>40977</v>
      </c>
      <c r="E4601">
        <v>3416</v>
      </c>
      <c r="F4601" t="s">
        <v>689</v>
      </c>
      <c r="G4601" t="s">
        <v>16</v>
      </c>
      <c r="H4601" t="s">
        <v>6889</v>
      </c>
      <c r="I4601">
        <v>1.7556</v>
      </c>
      <c r="J4601">
        <v>41346.660000000003</v>
      </c>
      <c r="K4601">
        <v>23551.2987012987</v>
      </c>
    </row>
    <row r="4602" spans="1:11" x14ac:dyDescent="0.25">
      <c r="A4602" t="s">
        <v>704</v>
      </c>
      <c r="B4602" t="s">
        <v>705</v>
      </c>
      <c r="C4602" s="1">
        <v>40974</v>
      </c>
      <c r="D4602" s="1">
        <v>40977</v>
      </c>
      <c r="E4602">
        <v>3416</v>
      </c>
      <c r="F4602" t="s">
        <v>689</v>
      </c>
      <c r="G4602" t="s">
        <v>16</v>
      </c>
      <c r="H4602" t="s">
        <v>3116</v>
      </c>
      <c r="I4602">
        <v>1.7314000000000001</v>
      </c>
      <c r="J4602">
        <v>40258.589999999997</v>
      </c>
      <c r="K4602">
        <v>23252.044588194523</v>
      </c>
    </row>
    <row r="4603" spans="1:11" x14ac:dyDescent="0.25">
      <c r="A4603" t="s">
        <v>1851</v>
      </c>
      <c r="B4603" t="s">
        <v>144</v>
      </c>
      <c r="C4603" s="1">
        <v>41004</v>
      </c>
      <c r="D4603" s="1">
        <v>41008</v>
      </c>
      <c r="E4603">
        <v>3513</v>
      </c>
      <c r="F4603" t="s">
        <v>689</v>
      </c>
      <c r="G4603" t="s">
        <v>16</v>
      </c>
      <c r="H4603" t="s">
        <v>3677</v>
      </c>
      <c r="I4603">
        <v>1.8315999999999999</v>
      </c>
      <c r="J4603">
        <v>22398</v>
      </c>
      <c r="K4603">
        <v>12228.652544223629</v>
      </c>
    </row>
    <row r="4604" spans="1:11" x14ac:dyDescent="0.25">
      <c r="A4604" t="s">
        <v>1851</v>
      </c>
      <c r="B4604" t="s">
        <v>144</v>
      </c>
      <c r="C4604" s="1">
        <v>41006</v>
      </c>
      <c r="D4604" s="1">
        <v>41008</v>
      </c>
      <c r="E4604">
        <v>3513</v>
      </c>
      <c r="F4604" t="s">
        <v>689</v>
      </c>
      <c r="G4604" t="s">
        <v>16</v>
      </c>
      <c r="H4604" t="s">
        <v>6890</v>
      </c>
      <c r="I4604">
        <v>1.8301000000000001</v>
      </c>
      <c r="J4604">
        <v>22164</v>
      </c>
      <c r="K4604">
        <v>12110.813616742254</v>
      </c>
    </row>
    <row r="4605" spans="1:11" x14ac:dyDescent="0.25">
      <c r="A4605" t="s">
        <v>704</v>
      </c>
      <c r="B4605" t="s">
        <v>705</v>
      </c>
      <c r="C4605" s="1">
        <v>40981</v>
      </c>
      <c r="D4605" s="1">
        <v>40985</v>
      </c>
      <c r="E4605">
        <v>3416</v>
      </c>
      <c r="F4605" t="s">
        <v>689</v>
      </c>
      <c r="G4605" t="s">
        <v>16</v>
      </c>
      <c r="H4605" t="s">
        <v>6891</v>
      </c>
      <c r="I4605">
        <v>1.8157000000000001</v>
      </c>
      <c r="J4605">
        <v>40258.589999999997</v>
      </c>
      <c r="K4605">
        <v>22172.489948780083</v>
      </c>
    </row>
    <row r="4606" spans="1:11" x14ac:dyDescent="0.25">
      <c r="A4606" t="s">
        <v>717</v>
      </c>
      <c r="B4606" t="s">
        <v>718</v>
      </c>
      <c r="C4606" s="1">
        <v>40992</v>
      </c>
      <c r="D4606" s="1">
        <v>40998</v>
      </c>
      <c r="E4606">
        <v>3</v>
      </c>
      <c r="F4606" t="s">
        <v>309</v>
      </c>
      <c r="G4606" t="s">
        <v>16</v>
      </c>
      <c r="H4606" t="s">
        <v>6892</v>
      </c>
      <c r="I4606">
        <v>1.8193999999999999</v>
      </c>
      <c r="J4606">
        <v>56674.02</v>
      </c>
      <c r="K4606">
        <v>31149.840606793448</v>
      </c>
    </row>
    <row r="4607" spans="1:11" x14ac:dyDescent="0.25">
      <c r="A4607" t="s">
        <v>687</v>
      </c>
      <c r="B4607" t="s">
        <v>688</v>
      </c>
      <c r="C4607" s="1">
        <v>40964</v>
      </c>
      <c r="D4607" s="1">
        <v>40967</v>
      </c>
      <c r="E4607">
        <v>3414</v>
      </c>
      <c r="F4607" t="s">
        <v>689</v>
      </c>
      <c r="G4607" t="s">
        <v>16</v>
      </c>
      <c r="H4607" t="s">
        <v>6893</v>
      </c>
      <c r="I4607">
        <v>1.7098</v>
      </c>
      <c r="J4607">
        <v>47248.77</v>
      </c>
      <c r="K4607">
        <v>27634.091706632356</v>
      </c>
    </row>
    <row r="4608" spans="1:11" x14ac:dyDescent="0.25">
      <c r="A4608" t="s">
        <v>704</v>
      </c>
      <c r="B4608" t="s">
        <v>705</v>
      </c>
      <c r="C4608" s="1">
        <v>40978</v>
      </c>
      <c r="D4608" s="1">
        <v>40981</v>
      </c>
      <c r="E4608">
        <v>3416</v>
      </c>
      <c r="F4608" t="s">
        <v>689</v>
      </c>
      <c r="G4608" t="s">
        <v>16</v>
      </c>
      <c r="H4608" t="s">
        <v>6894</v>
      </c>
      <c r="I4608">
        <v>1.7766999999999999</v>
      </c>
      <c r="J4608">
        <v>34818.239999999998</v>
      </c>
      <c r="K4608">
        <v>19597.140766589746</v>
      </c>
    </row>
    <row r="4609" spans="1:11" x14ac:dyDescent="0.25">
      <c r="A4609" t="s">
        <v>717</v>
      </c>
      <c r="B4609" t="s">
        <v>718</v>
      </c>
      <c r="C4609" s="1">
        <v>40998</v>
      </c>
      <c r="D4609" s="1">
        <v>41002</v>
      </c>
      <c r="E4609">
        <v>3</v>
      </c>
      <c r="F4609" t="s">
        <v>309</v>
      </c>
      <c r="G4609" t="s">
        <v>16</v>
      </c>
      <c r="H4609" t="s">
        <v>3678</v>
      </c>
      <c r="I4609">
        <v>1.8333999999999999</v>
      </c>
      <c r="J4609">
        <v>57592.46</v>
      </c>
      <c r="K4609">
        <v>31412.926802661721</v>
      </c>
    </row>
    <row r="4610" spans="1:11" x14ac:dyDescent="0.25">
      <c r="A4610" t="s">
        <v>727</v>
      </c>
      <c r="B4610" t="s">
        <v>728</v>
      </c>
      <c r="C4610" s="1">
        <v>40964</v>
      </c>
      <c r="D4610" s="1">
        <v>40976</v>
      </c>
      <c r="E4610">
        <v>1715</v>
      </c>
      <c r="F4610" t="s">
        <v>689</v>
      </c>
      <c r="G4610" t="s">
        <v>16</v>
      </c>
      <c r="H4610" t="s">
        <v>3679</v>
      </c>
      <c r="I4610">
        <v>1.7098</v>
      </c>
      <c r="J4610">
        <v>39170.519999999997</v>
      </c>
      <c r="K4610">
        <v>22909.416306000701</v>
      </c>
    </row>
    <row r="4611" spans="1:11" x14ac:dyDescent="0.25">
      <c r="A4611" t="s">
        <v>727</v>
      </c>
      <c r="B4611" t="s">
        <v>728</v>
      </c>
      <c r="C4611" s="1">
        <v>40967</v>
      </c>
      <c r="D4611" s="1">
        <v>40976</v>
      </c>
      <c r="E4611">
        <v>1715</v>
      </c>
      <c r="F4611" t="s">
        <v>689</v>
      </c>
      <c r="G4611" t="s">
        <v>16</v>
      </c>
      <c r="H4611" t="s">
        <v>3680</v>
      </c>
      <c r="I4611">
        <v>1.7088000000000001</v>
      </c>
      <c r="J4611">
        <v>39170.519999999997</v>
      </c>
      <c r="K4611">
        <v>22922.823033707864</v>
      </c>
    </row>
    <row r="4612" spans="1:11" x14ac:dyDescent="0.25">
      <c r="A4612" t="s">
        <v>687</v>
      </c>
      <c r="B4612" t="s">
        <v>688</v>
      </c>
      <c r="C4612" s="1">
        <v>40962</v>
      </c>
      <c r="D4612" s="1">
        <v>40963</v>
      </c>
      <c r="E4612">
        <v>3414</v>
      </c>
      <c r="F4612" t="s">
        <v>689</v>
      </c>
      <c r="G4612" t="s">
        <v>16</v>
      </c>
      <c r="H4612" t="s">
        <v>6895</v>
      </c>
      <c r="I4612">
        <v>1.7076</v>
      </c>
      <c r="J4612">
        <v>47440.47</v>
      </c>
      <c r="K4612">
        <v>27781.957132817992</v>
      </c>
    </row>
    <row r="4613" spans="1:11" x14ac:dyDescent="0.25">
      <c r="A4613" t="s">
        <v>731</v>
      </c>
      <c r="B4613" t="s">
        <v>732</v>
      </c>
      <c r="C4613" s="1">
        <v>40970</v>
      </c>
      <c r="D4613" s="1">
        <v>40976</v>
      </c>
      <c r="E4613">
        <v>1716</v>
      </c>
      <c r="F4613" t="s">
        <v>689</v>
      </c>
      <c r="G4613" t="s">
        <v>16</v>
      </c>
      <c r="H4613" t="s">
        <v>3681</v>
      </c>
      <c r="I4613">
        <v>1.7152000000000001</v>
      </c>
      <c r="J4613">
        <v>49689.760000000002</v>
      </c>
      <c r="K4613">
        <v>28970.242537313432</v>
      </c>
    </row>
    <row r="4614" spans="1:11" x14ac:dyDescent="0.25">
      <c r="A4614" t="s">
        <v>704</v>
      </c>
      <c r="B4614" t="s">
        <v>705</v>
      </c>
      <c r="C4614" s="1">
        <v>40973</v>
      </c>
      <c r="D4614" s="1">
        <v>40975</v>
      </c>
      <c r="E4614">
        <v>3416</v>
      </c>
      <c r="F4614" t="s">
        <v>689</v>
      </c>
      <c r="G4614" t="s">
        <v>16</v>
      </c>
      <c r="H4614" t="s">
        <v>3682</v>
      </c>
      <c r="I4614">
        <v>1.7244999999999999</v>
      </c>
      <c r="J4614">
        <v>40258.589999999997</v>
      </c>
      <c r="K4614">
        <v>23345.079733256018</v>
      </c>
    </row>
    <row r="4615" spans="1:11" x14ac:dyDescent="0.25">
      <c r="A4615" t="s">
        <v>704</v>
      </c>
      <c r="B4615" t="s">
        <v>705</v>
      </c>
      <c r="C4615" s="1">
        <v>40973</v>
      </c>
      <c r="D4615" s="1">
        <v>40975</v>
      </c>
      <c r="E4615">
        <v>3416</v>
      </c>
      <c r="F4615" t="s">
        <v>689</v>
      </c>
      <c r="G4615" t="s">
        <v>16</v>
      </c>
      <c r="H4615" t="s">
        <v>2646</v>
      </c>
      <c r="I4615">
        <v>1.7244999999999999</v>
      </c>
      <c r="J4615">
        <v>40258.589999999997</v>
      </c>
      <c r="K4615">
        <v>23345.079733256018</v>
      </c>
    </row>
    <row r="4616" spans="1:11" x14ac:dyDescent="0.25">
      <c r="A4616" t="s">
        <v>717</v>
      </c>
      <c r="B4616" t="s">
        <v>718</v>
      </c>
      <c r="C4616" s="1">
        <v>40992</v>
      </c>
      <c r="D4616" s="1">
        <v>40999</v>
      </c>
      <c r="E4616">
        <v>3</v>
      </c>
      <c r="F4616" t="s">
        <v>309</v>
      </c>
      <c r="G4616" t="s">
        <v>16</v>
      </c>
      <c r="H4616" t="s">
        <v>6896</v>
      </c>
      <c r="I4616">
        <v>1.8193999999999999</v>
      </c>
      <c r="J4616">
        <v>56002</v>
      </c>
      <c r="K4616">
        <v>30780.477080356162</v>
      </c>
    </row>
    <row r="4617" spans="1:11" x14ac:dyDescent="0.25">
      <c r="A4617" t="s">
        <v>704</v>
      </c>
      <c r="B4617" t="s">
        <v>705</v>
      </c>
      <c r="C4617" s="1">
        <v>40968</v>
      </c>
      <c r="D4617" s="1">
        <v>40969</v>
      </c>
      <c r="E4617">
        <v>3416</v>
      </c>
      <c r="F4617" t="s">
        <v>689</v>
      </c>
      <c r="G4617" t="s">
        <v>16</v>
      </c>
      <c r="H4617" t="s">
        <v>6897</v>
      </c>
      <c r="I4617">
        <v>1.7023999999999999</v>
      </c>
      <c r="J4617">
        <v>40258.589999999997</v>
      </c>
      <c r="K4617">
        <v>23648.137922932332</v>
      </c>
    </row>
    <row r="4618" spans="1:11" x14ac:dyDescent="0.25">
      <c r="A4618" t="s">
        <v>704</v>
      </c>
      <c r="B4618" t="s">
        <v>705</v>
      </c>
      <c r="C4618" s="1">
        <v>40973</v>
      </c>
      <c r="D4618" s="1">
        <v>40976</v>
      </c>
      <c r="E4618">
        <v>3416</v>
      </c>
      <c r="F4618" t="s">
        <v>689</v>
      </c>
      <c r="G4618" t="s">
        <v>16</v>
      </c>
      <c r="H4618" t="s">
        <v>6898</v>
      </c>
      <c r="I4618">
        <v>1.7244999999999999</v>
      </c>
      <c r="J4618">
        <v>40258.589999999997</v>
      </c>
      <c r="K4618">
        <v>23345.079733256018</v>
      </c>
    </row>
    <row r="4619" spans="1:11" x14ac:dyDescent="0.25">
      <c r="A4619" t="s">
        <v>736</v>
      </c>
      <c r="B4619" t="s">
        <v>737</v>
      </c>
      <c r="C4619" s="1">
        <v>40969</v>
      </c>
      <c r="D4619" s="1">
        <v>40976</v>
      </c>
      <c r="E4619">
        <v>3415</v>
      </c>
      <c r="F4619" t="s">
        <v>689</v>
      </c>
      <c r="G4619" t="s">
        <v>16</v>
      </c>
      <c r="H4619" t="s">
        <v>3683</v>
      </c>
      <c r="I4619">
        <v>1.7092000000000001</v>
      </c>
      <c r="J4619">
        <v>48412.56</v>
      </c>
      <c r="K4619">
        <v>28324.689913409784</v>
      </c>
    </row>
    <row r="4620" spans="1:11" x14ac:dyDescent="0.25">
      <c r="A4620" t="s">
        <v>736</v>
      </c>
      <c r="B4620" t="s">
        <v>737</v>
      </c>
      <c r="C4620" s="1">
        <v>40967</v>
      </c>
      <c r="D4620" s="1">
        <v>40968</v>
      </c>
      <c r="E4620">
        <v>3415</v>
      </c>
      <c r="F4620" t="s">
        <v>689</v>
      </c>
      <c r="G4620" t="s">
        <v>16</v>
      </c>
      <c r="H4620" t="s">
        <v>3684</v>
      </c>
      <c r="I4620">
        <v>1.7088000000000001</v>
      </c>
      <c r="J4620">
        <v>49689.760000000002</v>
      </c>
      <c r="K4620">
        <v>29078.745318352059</v>
      </c>
    </row>
    <row r="4621" spans="1:11" x14ac:dyDescent="0.25">
      <c r="A4621" t="s">
        <v>687</v>
      </c>
      <c r="B4621" t="s">
        <v>688</v>
      </c>
      <c r="C4621" s="1">
        <v>40958</v>
      </c>
      <c r="D4621" s="1">
        <v>40960</v>
      </c>
      <c r="E4621">
        <v>3414</v>
      </c>
      <c r="F4621" t="s">
        <v>689</v>
      </c>
      <c r="G4621" t="s">
        <v>16</v>
      </c>
      <c r="H4621" t="s">
        <v>6899</v>
      </c>
      <c r="I4621">
        <v>1.7136</v>
      </c>
      <c r="J4621">
        <v>47338.23</v>
      </c>
      <c r="K4621">
        <v>27625.017507002802</v>
      </c>
    </row>
    <row r="4622" spans="1:11" x14ac:dyDescent="0.25">
      <c r="A4622" t="s">
        <v>6900</v>
      </c>
      <c r="B4622" t="s">
        <v>572</v>
      </c>
      <c r="C4622" s="1">
        <v>40997</v>
      </c>
      <c r="D4622" s="1">
        <v>40997</v>
      </c>
      <c r="E4622">
        <v>4808</v>
      </c>
      <c r="F4622" t="s">
        <v>373</v>
      </c>
      <c r="G4622" t="s">
        <v>16</v>
      </c>
      <c r="H4622" t="s">
        <v>586</v>
      </c>
      <c r="I4622">
        <v>1.8223</v>
      </c>
      <c r="J4622">
        <v>6800</v>
      </c>
      <c r="K4622">
        <v>3731.5480436810626</v>
      </c>
    </row>
    <row r="4623" spans="1:11" x14ac:dyDescent="0.25">
      <c r="A4623" t="s">
        <v>2313</v>
      </c>
      <c r="B4623" t="s">
        <v>2314</v>
      </c>
      <c r="C4623" s="1">
        <v>40928</v>
      </c>
      <c r="D4623" s="1">
        <v>40951</v>
      </c>
      <c r="E4623">
        <v>1747</v>
      </c>
      <c r="F4623" t="s">
        <v>309</v>
      </c>
      <c r="G4623" t="s">
        <v>16</v>
      </c>
      <c r="H4623" t="s">
        <v>6901</v>
      </c>
      <c r="I4623">
        <v>1.7647999999999999</v>
      </c>
      <c r="J4623">
        <v>20902.05</v>
      </c>
      <c r="K4623">
        <v>11843.863327289211</v>
      </c>
    </row>
    <row r="4624" spans="1:11" x14ac:dyDescent="0.25">
      <c r="A4624" t="s">
        <v>1368</v>
      </c>
      <c r="B4624" t="s">
        <v>1369</v>
      </c>
      <c r="C4624" s="1">
        <v>40948</v>
      </c>
      <c r="D4624" s="1">
        <v>40951</v>
      </c>
      <c r="E4624">
        <v>3413</v>
      </c>
      <c r="F4624" t="s">
        <v>689</v>
      </c>
      <c r="G4624" t="s">
        <v>16</v>
      </c>
      <c r="H4624" t="s">
        <v>3685</v>
      </c>
      <c r="I4624">
        <v>1.7195</v>
      </c>
      <c r="J4624">
        <v>48159.69</v>
      </c>
      <c r="K4624">
        <v>28007.961616749057</v>
      </c>
    </row>
    <row r="4625" spans="1:11" x14ac:dyDescent="0.25">
      <c r="A4625" t="s">
        <v>704</v>
      </c>
      <c r="B4625" t="s">
        <v>705</v>
      </c>
      <c r="C4625" s="1">
        <v>40970</v>
      </c>
      <c r="D4625" s="1">
        <v>40973</v>
      </c>
      <c r="E4625">
        <v>3416</v>
      </c>
      <c r="F4625" t="s">
        <v>689</v>
      </c>
      <c r="G4625" t="s">
        <v>16</v>
      </c>
      <c r="H4625" t="s">
        <v>6902</v>
      </c>
      <c r="I4625">
        <v>1.7152000000000001</v>
      </c>
      <c r="J4625">
        <v>40258.589999999997</v>
      </c>
      <c r="K4625">
        <v>23471.659281716416</v>
      </c>
    </row>
    <row r="4626" spans="1:11" x14ac:dyDescent="0.25">
      <c r="A4626" t="s">
        <v>687</v>
      </c>
      <c r="B4626" t="s">
        <v>688</v>
      </c>
      <c r="C4626" s="1">
        <v>40961</v>
      </c>
      <c r="D4626" s="1">
        <v>40963</v>
      </c>
      <c r="E4626">
        <v>3414</v>
      </c>
      <c r="F4626" t="s">
        <v>689</v>
      </c>
      <c r="G4626" t="s">
        <v>16</v>
      </c>
      <c r="H4626" t="s">
        <v>6903</v>
      </c>
      <c r="I4626">
        <v>1.7136</v>
      </c>
      <c r="J4626">
        <v>46226.35</v>
      </c>
      <c r="K4626">
        <v>26976.161297852475</v>
      </c>
    </row>
    <row r="4627" spans="1:11" x14ac:dyDescent="0.25">
      <c r="A4627" t="s">
        <v>1368</v>
      </c>
      <c r="B4627" t="s">
        <v>1369</v>
      </c>
      <c r="C4627" s="1">
        <v>40947</v>
      </c>
      <c r="D4627" s="1">
        <v>40949</v>
      </c>
      <c r="E4627">
        <v>3413</v>
      </c>
      <c r="F4627" t="s">
        <v>689</v>
      </c>
      <c r="G4627" t="s">
        <v>16</v>
      </c>
      <c r="H4627" t="s">
        <v>6904</v>
      </c>
      <c r="I4627">
        <v>1.7261</v>
      </c>
      <c r="J4627">
        <v>48081.63</v>
      </c>
      <c r="K4627">
        <v>27855.645675221596</v>
      </c>
    </row>
    <row r="4628" spans="1:11" x14ac:dyDescent="0.25">
      <c r="A4628" t="s">
        <v>704</v>
      </c>
      <c r="B4628" t="s">
        <v>705</v>
      </c>
      <c r="C4628" s="1">
        <v>40981</v>
      </c>
      <c r="D4628" s="1">
        <v>40982</v>
      </c>
      <c r="E4628">
        <v>3416</v>
      </c>
      <c r="F4628" t="s">
        <v>689</v>
      </c>
      <c r="G4628" t="s">
        <v>16</v>
      </c>
      <c r="H4628" t="s">
        <v>2158</v>
      </c>
      <c r="I4628">
        <v>1.8157000000000001</v>
      </c>
      <c r="J4628">
        <v>41346.660000000003</v>
      </c>
      <c r="K4628">
        <v>22771.74643388225</v>
      </c>
    </row>
    <row r="4629" spans="1:11" x14ac:dyDescent="0.25">
      <c r="A4629" t="s">
        <v>1368</v>
      </c>
      <c r="B4629" t="s">
        <v>1369</v>
      </c>
      <c r="C4629" s="1">
        <v>40947</v>
      </c>
      <c r="D4629" s="1">
        <v>40948</v>
      </c>
      <c r="E4629">
        <v>3413</v>
      </c>
      <c r="F4629" t="s">
        <v>689</v>
      </c>
      <c r="G4629" t="s">
        <v>16</v>
      </c>
      <c r="H4629" t="s">
        <v>3686</v>
      </c>
      <c r="I4629">
        <v>1.7261</v>
      </c>
      <c r="J4629">
        <v>48315.8</v>
      </c>
      <c r="K4629">
        <v>27991.309889345925</v>
      </c>
    </row>
    <row r="4630" spans="1:11" x14ac:dyDescent="0.25">
      <c r="A4630" t="s">
        <v>687</v>
      </c>
      <c r="B4630" t="s">
        <v>688</v>
      </c>
      <c r="C4630" s="1">
        <v>40963</v>
      </c>
      <c r="D4630" s="1">
        <v>40966</v>
      </c>
      <c r="E4630">
        <v>3414</v>
      </c>
      <c r="F4630" t="s">
        <v>689</v>
      </c>
      <c r="G4630" t="s">
        <v>16</v>
      </c>
      <c r="H4630" t="s">
        <v>6905</v>
      </c>
      <c r="I4630">
        <v>1.704</v>
      </c>
      <c r="J4630">
        <v>47287.11</v>
      </c>
      <c r="K4630">
        <v>27750.651408450703</v>
      </c>
    </row>
    <row r="4631" spans="1:11" x14ac:dyDescent="0.25">
      <c r="A4631" t="s">
        <v>687</v>
      </c>
      <c r="B4631" t="s">
        <v>688</v>
      </c>
      <c r="C4631" s="1">
        <v>40963</v>
      </c>
      <c r="D4631" s="1">
        <v>40966</v>
      </c>
      <c r="E4631">
        <v>3414</v>
      </c>
      <c r="F4631" t="s">
        <v>689</v>
      </c>
      <c r="G4631" t="s">
        <v>16</v>
      </c>
      <c r="H4631" t="s">
        <v>6906</v>
      </c>
      <c r="I4631">
        <v>1.704</v>
      </c>
      <c r="J4631">
        <v>44794.95</v>
      </c>
      <c r="K4631">
        <v>26288.116197183099</v>
      </c>
    </row>
    <row r="4632" spans="1:11" x14ac:dyDescent="0.25">
      <c r="A4632" t="s">
        <v>704</v>
      </c>
      <c r="B4632" t="s">
        <v>705</v>
      </c>
      <c r="C4632" s="1">
        <v>40974</v>
      </c>
      <c r="D4632" s="1">
        <v>40976</v>
      </c>
      <c r="E4632">
        <v>3416</v>
      </c>
      <c r="F4632" t="s">
        <v>689</v>
      </c>
      <c r="G4632" t="s">
        <v>16</v>
      </c>
      <c r="H4632" t="s">
        <v>6027</v>
      </c>
      <c r="I4632">
        <v>1.7314000000000001</v>
      </c>
      <c r="J4632">
        <v>40258.589999999997</v>
      </c>
      <c r="K4632">
        <v>23252.044588194523</v>
      </c>
    </row>
    <row r="4633" spans="1:11" x14ac:dyDescent="0.25">
      <c r="A4633" t="s">
        <v>672</v>
      </c>
      <c r="B4633" t="s">
        <v>673</v>
      </c>
      <c r="C4633" s="1">
        <v>40982</v>
      </c>
      <c r="D4633" s="1">
        <v>40987</v>
      </c>
      <c r="E4633">
        <v>118</v>
      </c>
      <c r="F4633" t="s">
        <v>370</v>
      </c>
      <c r="G4633" t="s">
        <v>16</v>
      </c>
      <c r="H4633" t="s">
        <v>3687</v>
      </c>
      <c r="I4633">
        <v>1.8102</v>
      </c>
      <c r="J4633">
        <v>56451.09</v>
      </c>
      <c r="K4633">
        <v>31185.001657275439</v>
      </c>
    </row>
    <row r="4634" spans="1:11" x14ac:dyDescent="0.25">
      <c r="A4634" t="s">
        <v>1851</v>
      </c>
      <c r="B4634" t="s">
        <v>144</v>
      </c>
      <c r="C4634" s="1">
        <v>41003</v>
      </c>
      <c r="D4634" s="1">
        <v>41009</v>
      </c>
      <c r="E4634">
        <v>3513</v>
      </c>
      <c r="F4634" t="s">
        <v>689</v>
      </c>
      <c r="G4634" t="s">
        <v>16</v>
      </c>
      <c r="H4634" t="s">
        <v>6907</v>
      </c>
      <c r="I4634">
        <v>1.8255999999999999</v>
      </c>
      <c r="J4634">
        <v>21966</v>
      </c>
      <c r="K4634">
        <v>12032.208588957055</v>
      </c>
    </row>
    <row r="4635" spans="1:11" x14ac:dyDescent="0.25">
      <c r="A4635" t="s">
        <v>727</v>
      </c>
      <c r="B4635" t="s">
        <v>728</v>
      </c>
      <c r="C4635" s="1">
        <v>40950</v>
      </c>
      <c r="D4635" s="1">
        <v>40954</v>
      </c>
      <c r="E4635">
        <v>1715</v>
      </c>
      <c r="F4635" t="s">
        <v>689</v>
      </c>
      <c r="G4635" t="s">
        <v>16</v>
      </c>
      <c r="H4635" t="s">
        <v>3688</v>
      </c>
      <c r="I4635">
        <v>1.726</v>
      </c>
      <c r="J4635">
        <v>40258.589999999997</v>
      </c>
      <c r="K4635">
        <v>23324.791425260719</v>
      </c>
    </row>
    <row r="4636" spans="1:11" x14ac:dyDescent="0.25">
      <c r="A4636" t="s">
        <v>727</v>
      </c>
      <c r="B4636" t="s">
        <v>728</v>
      </c>
      <c r="C4636" s="1">
        <v>40951</v>
      </c>
      <c r="D4636" s="1">
        <v>40954</v>
      </c>
      <c r="E4636">
        <v>1715</v>
      </c>
      <c r="F4636" t="s">
        <v>689</v>
      </c>
      <c r="G4636" t="s">
        <v>16</v>
      </c>
      <c r="H4636" t="s">
        <v>6908</v>
      </c>
      <c r="I4636">
        <v>1.726</v>
      </c>
      <c r="J4636">
        <v>47875.08</v>
      </c>
      <c r="K4636">
        <v>27737.589803012746</v>
      </c>
    </row>
    <row r="4637" spans="1:11" x14ac:dyDescent="0.25">
      <c r="A4637" t="s">
        <v>720</v>
      </c>
      <c r="B4637" t="s">
        <v>721</v>
      </c>
      <c r="C4637" s="1">
        <v>41081</v>
      </c>
      <c r="D4637" s="1">
        <v>41083</v>
      </c>
      <c r="E4637">
        <v>4819</v>
      </c>
      <c r="F4637" t="s">
        <v>689</v>
      </c>
      <c r="G4637" t="s">
        <v>16</v>
      </c>
      <c r="H4637" t="s">
        <v>3689</v>
      </c>
      <c r="I4637">
        <v>2.0293000000000001</v>
      </c>
      <c r="J4637">
        <v>43184.79</v>
      </c>
      <c r="K4637">
        <v>21280.633716059725</v>
      </c>
    </row>
    <row r="4638" spans="1:11" x14ac:dyDescent="0.25">
      <c r="A4638" t="s">
        <v>720</v>
      </c>
      <c r="B4638" t="s">
        <v>721</v>
      </c>
      <c r="C4638" s="1">
        <v>41080</v>
      </c>
      <c r="D4638" s="1">
        <v>41082</v>
      </c>
      <c r="E4638">
        <v>4819</v>
      </c>
      <c r="F4638" t="s">
        <v>689</v>
      </c>
      <c r="G4638" t="s">
        <v>16</v>
      </c>
      <c r="H4638" t="s">
        <v>3690</v>
      </c>
      <c r="I4638">
        <v>2.044</v>
      </c>
      <c r="J4638">
        <v>43138.66</v>
      </c>
      <c r="K4638">
        <v>21105.019569471624</v>
      </c>
    </row>
    <row r="4639" spans="1:11" x14ac:dyDescent="0.25">
      <c r="A4639" t="s">
        <v>720</v>
      </c>
      <c r="B4639" t="s">
        <v>721</v>
      </c>
      <c r="C4639" s="1">
        <v>41080</v>
      </c>
      <c r="D4639" s="1">
        <v>41083</v>
      </c>
      <c r="E4639">
        <v>4819</v>
      </c>
      <c r="F4639" t="s">
        <v>689</v>
      </c>
      <c r="G4639" t="s">
        <v>16</v>
      </c>
      <c r="H4639" t="s">
        <v>3691</v>
      </c>
      <c r="I4639">
        <v>2.044</v>
      </c>
      <c r="J4639">
        <v>42792.62</v>
      </c>
      <c r="K4639">
        <v>20935.724070450098</v>
      </c>
    </row>
    <row r="4640" spans="1:11" x14ac:dyDescent="0.25">
      <c r="A4640" t="s">
        <v>720</v>
      </c>
      <c r="B4640" t="s">
        <v>721</v>
      </c>
      <c r="C4640" s="1">
        <v>41082</v>
      </c>
      <c r="D4640" s="1">
        <v>41086</v>
      </c>
      <c r="E4640">
        <v>4819</v>
      </c>
      <c r="F4640" t="s">
        <v>689</v>
      </c>
      <c r="G4640" t="s">
        <v>16</v>
      </c>
      <c r="H4640" t="s">
        <v>6909</v>
      </c>
      <c r="I4640">
        <v>2.0363000000000002</v>
      </c>
      <c r="J4640">
        <v>43807.65</v>
      </c>
      <c r="K4640">
        <v>21513.357560280903</v>
      </c>
    </row>
    <row r="4641" spans="1:11" x14ac:dyDescent="0.25">
      <c r="A4641" t="s">
        <v>720</v>
      </c>
      <c r="B4641" t="s">
        <v>721</v>
      </c>
      <c r="C4641" s="1">
        <v>41070</v>
      </c>
      <c r="D4641" s="1">
        <v>41072</v>
      </c>
      <c r="E4641">
        <v>4819</v>
      </c>
      <c r="F4641" t="s">
        <v>689</v>
      </c>
      <c r="G4641" t="s">
        <v>16</v>
      </c>
      <c r="H4641" t="s">
        <v>3692</v>
      </c>
      <c r="I4641">
        <v>2.0352999999999999</v>
      </c>
      <c r="J4641">
        <v>44831.93</v>
      </c>
      <c r="K4641">
        <v>22027.185181545719</v>
      </c>
    </row>
    <row r="4642" spans="1:11" x14ac:dyDescent="0.25">
      <c r="A4642" t="s">
        <v>720</v>
      </c>
      <c r="B4642" t="s">
        <v>721</v>
      </c>
      <c r="C4642" s="1">
        <v>41081</v>
      </c>
      <c r="D4642" s="1">
        <v>41086</v>
      </c>
      <c r="E4642">
        <v>4819</v>
      </c>
      <c r="F4642" t="s">
        <v>689</v>
      </c>
      <c r="G4642" t="s">
        <v>16</v>
      </c>
      <c r="H4642" t="s">
        <v>1901</v>
      </c>
      <c r="I4642">
        <v>2.0293000000000001</v>
      </c>
      <c r="J4642">
        <v>42469.66</v>
      </c>
      <c r="K4642">
        <v>20928.231409845761</v>
      </c>
    </row>
    <row r="4643" spans="1:11" x14ac:dyDescent="0.25">
      <c r="A4643" t="s">
        <v>720</v>
      </c>
      <c r="B4643" t="s">
        <v>721</v>
      </c>
      <c r="C4643" s="1">
        <v>41071</v>
      </c>
      <c r="D4643" s="1">
        <v>41073</v>
      </c>
      <c r="E4643">
        <v>4819</v>
      </c>
      <c r="F4643" t="s">
        <v>689</v>
      </c>
      <c r="G4643" t="s">
        <v>16</v>
      </c>
      <c r="H4643" t="s">
        <v>6910</v>
      </c>
      <c r="I4643">
        <v>2.0352999999999999</v>
      </c>
      <c r="J4643">
        <v>43461.62</v>
      </c>
      <c r="K4643">
        <v>21353.913427995874</v>
      </c>
    </row>
    <row r="4644" spans="1:11" x14ac:dyDescent="0.25">
      <c r="A4644" t="s">
        <v>720</v>
      </c>
      <c r="B4644" t="s">
        <v>721</v>
      </c>
      <c r="C4644" s="1">
        <v>41079</v>
      </c>
      <c r="D4644" s="1">
        <v>41081</v>
      </c>
      <c r="E4644">
        <v>4819</v>
      </c>
      <c r="F4644" t="s">
        <v>689</v>
      </c>
      <c r="G4644" t="s">
        <v>16</v>
      </c>
      <c r="H4644" t="s">
        <v>6911</v>
      </c>
      <c r="I4644">
        <v>2.0634000000000001</v>
      </c>
      <c r="J4644">
        <v>28536.11</v>
      </c>
      <c r="K4644">
        <v>13829.6549384511</v>
      </c>
    </row>
    <row r="4645" spans="1:11" x14ac:dyDescent="0.25">
      <c r="A4645" t="s">
        <v>720</v>
      </c>
      <c r="B4645" t="s">
        <v>721</v>
      </c>
      <c r="C4645" s="1">
        <v>41078</v>
      </c>
      <c r="D4645" s="1">
        <v>41081</v>
      </c>
      <c r="E4645">
        <v>4819</v>
      </c>
      <c r="F4645" t="s">
        <v>689</v>
      </c>
      <c r="G4645" t="s">
        <v>16</v>
      </c>
      <c r="H4645" t="s">
        <v>3693</v>
      </c>
      <c r="I4645">
        <v>2.0442999999999998</v>
      </c>
      <c r="J4645">
        <v>43207.86</v>
      </c>
      <c r="K4645">
        <v>21135.77263611016</v>
      </c>
    </row>
    <row r="4646" spans="1:11" x14ac:dyDescent="0.25">
      <c r="A4646" t="s">
        <v>720</v>
      </c>
      <c r="B4646" t="s">
        <v>721</v>
      </c>
      <c r="C4646" s="1">
        <v>41078</v>
      </c>
      <c r="D4646" s="1">
        <v>41081</v>
      </c>
      <c r="E4646">
        <v>4819</v>
      </c>
      <c r="F4646" t="s">
        <v>689</v>
      </c>
      <c r="G4646" t="s">
        <v>16</v>
      </c>
      <c r="H4646" t="s">
        <v>6912</v>
      </c>
      <c r="I4646">
        <v>2.0442999999999998</v>
      </c>
      <c r="J4646">
        <v>43069.45</v>
      </c>
      <c r="K4646">
        <v>21068.06730910336</v>
      </c>
    </row>
    <row r="4647" spans="1:11" x14ac:dyDescent="0.25">
      <c r="A4647" t="s">
        <v>720</v>
      </c>
      <c r="B4647" t="s">
        <v>721</v>
      </c>
      <c r="C4647" s="1">
        <v>41074</v>
      </c>
      <c r="D4647" s="1">
        <v>41075</v>
      </c>
      <c r="E4647">
        <v>4819</v>
      </c>
      <c r="F4647" t="s">
        <v>689</v>
      </c>
      <c r="G4647" t="s">
        <v>16</v>
      </c>
      <c r="H4647" t="s">
        <v>6913</v>
      </c>
      <c r="I4647">
        <v>2.0604</v>
      </c>
      <c r="J4647">
        <v>42354.32</v>
      </c>
      <c r="K4647">
        <v>20556.357988740052</v>
      </c>
    </row>
    <row r="4648" spans="1:11" x14ac:dyDescent="0.25">
      <c r="A4648" t="s">
        <v>720</v>
      </c>
      <c r="B4648" t="s">
        <v>721</v>
      </c>
      <c r="C4648" s="1">
        <v>41041</v>
      </c>
      <c r="D4648" s="1">
        <v>41047</v>
      </c>
      <c r="E4648">
        <v>4819</v>
      </c>
      <c r="F4648" t="s">
        <v>689</v>
      </c>
      <c r="G4648" t="s">
        <v>16</v>
      </c>
      <c r="H4648" t="s">
        <v>6914</v>
      </c>
      <c r="I4648">
        <v>1.9513</v>
      </c>
      <c r="J4648">
        <v>43859.39</v>
      </c>
      <c r="K4648">
        <v>22477.010198329321</v>
      </c>
    </row>
    <row r="4649" spans="1:11" x14ac:dyDescent="0.25">
      <c r="A4649" t="s">
        <v>720</v>
      </c>
      <c r="B4649" t="s">
        <v>721</v>
      </c>
      <c r="C4649" s="1">
        <v>41071</v>
      </c>
      <c r="D4649" s="1">
        <v>41073</v>
      </c>
      <c r="E4649">
        <v>4819</v>
      </c>
      <c r="F4649" t="s">
        <v>689</v>
      </c>
      <c r="G4649" t="s">
        <v>16</v>
      </c>
      <c r="H4649" t="s">
        <v>3694</v>
      </c>
      <c r="I4649">
        <v>2.0352999999999999</v>
      </c>
      <c r="J4649">
        <v>42746.49</v>
      </c>
      <c r="K4649">
        <v>21002.54999263008</v>
      </c>
    </row>
    <row r="4650" spans="1:11" x14ac:dyDescent="0.25">
      <c r="A4650" t="s">
        <v>751</v>
      </c>
      <c r="B4650" t="s">
        <v>752</v>
      </c>
      <c r="C4650" s="1">
        <v>41115</v>
      </c>
      <c r="D4650" s="1">
        <v>41116</v>
      </c>
      <c r="E4650">
        <v>4250</v>
      </c>
      <c r="F4650" t="s">
        <v>689</v>
      </c>
      <c r="G4650" t="s">
        <v>16</v>
      </c>
      <c r="H4650" t="s">
        <v>6915</v>
      </c>
      <c r="I4650">
        <v>1</v>
      </c>
      <c r="J4650">
        <v>24235.98</v>
      </c>
      <c r="K4650">
        <v>24235.98</v>
      </c>
    </row>
    <row r="4651" spans="1:11" x14ac:dyDescent="0.25">
      <c r="A4651" t="s">
        <v>751</v>
      </c>
      <c r="B4651" t="s">
        <v>752</v>
      </c>
      <c r="C4651" s="1">
        <v>41108</v>
      </c>
      <c r="D4651" s="1">
        <v>41109</v>
      </c>
      <c r="E4651">
        <v>4250</v>
      </c>
      <c r="F4651" t="s">
        <v>689</v>
      </c>
      <c r="G4651" t="s">
        <v>16</v>
      </c>
      <c r="H4651" t="s">
        <v>3695</v>
      </c>
      <c r="I4651">
        <v>2.0348999999999999</v>
      </c>
      <c r="J4651">
        <v>33310.49</v>
      </c>
      <c r="K4651">
        <v>16369.595557521254</v>
      </c>
    </row>
    <row r="4652" spans="1:11" x14ac:dyDescent="0.25">
      <c r="A4652" t="s">
        <v>751</v>
      </c>
      <c r="B4652" t="s">
        <v>752</v>
      </c>
      <c r="C4652" s="1">
        <v>41106</v>
      </c>
      <c r="D4652" s="1">
        <v>41108</v>
      </c>
      <c r="E4652">
        <v>4250</v>
      </c>
      <c r="F4652" t="s">
        <v>689</v>
      </c>
      <c r="G4652" t="s">
        <v>16</v>
      </c>
      <c r="H4652" t="s">
        <v>6916</v>
      </c>
      <c r="I4652">
        <v>2.0337999999999998</v>
      </c>
      <c r="J4652">
        <v>24518.94</v>
      </c>
      <c r="K4652">
        <v>12055.728193529354</v>
      </c>
    </row>
    <row r="4653" spans="1:11" x14ac:dyDescent="0.25">
      <c r="A4653" t="s">
        <v>751</v>
      </c>
      <c r="B4653" t="s">
        <v>752</v>
      </c>
      <c r="C4653" s="1">
        <v>41110</v>
      </c>
      <c r="D4653" s="1">
        <v>41112</v>
      </c>
      <c r="E4653">
        <v>4250</v>
      </c>
      <c r="F4653" t="s">
        <v>689</v>
      </c>
      <c r="G4653" t="s">
        <v>16</v>
      </c>
      <c r="H4653" t="s">
        <v>6917</v>
      </c>
      <c r="I4653">
        <v>2.0238999999999998</v>
      </c>
      <c r="J4653">
        <v>24341.27</v>
      </c>
      <c r="K4653">
        <v>12026.913385048669</v>
      </c>
    </row>
    <row r="4654" spans="1:11" x14ac:dyDescent="0.25">
      <c r="A4654" t="s">
        <v>751</v>
      </c>
      <c r="B4654" t="s">
        <v>752</v>
      </c>
      <c r="C4654" s="1">
        <v>41116</v>
      </c>
      <c r="D4654" s="1">
        <v>41117</v>
      </c>
      <c r="E4654">
        <v>4250</v>
      </c>
      <c r="F4654" t="s">
        <v>689</v>
      </c>
      <c r="G4654" t="s">
        <v>16</v>
      </c>
      <c r="H4654" t="s">
        <v>3696</v>
      </c>
      <c r="I4654">
        <v>1</v>
      </c>
      <c r="J4654">
        <v>32086.52</v>
      </c>
      <c r="K4654">
        <v>32086.52</v>
      </c>
    </row>
    <row r="4655" spans="1:11" x14ac:dyDescent="0.25">
      <c r="A4655" t="s">
        <v>751</v>
      </c>
      <c r="B4655" t="s">
        <v>752</v>
      </c>
      <c r="C4655" s="1">
        <v>41113</v>
      </c>
      <c r="D4655" s="1">
        <v>41115</v>
      </c>
      <c r="E4655">
        <v>4250</v>
      </c>
      <c r="F4655" t="s">
        <v>689</v>
      </c>
      <c r="G4655" t="s">
        <v>16</v>
      </c>
      <c r="H4655" t="s">
        <v>6918</v>
      </c>
      <c r="I4655">
        <v>2.0226999999999999</v>
      </c>
      <c r="J4655">
        <v>24604.49</v>
      </c>
      <c r="K4655">
        <v>12164.181539526375</v>
      </c>
    </row>
    <row r="4656" spans="1:11" x14ac:dyDescent="0.25">
      <c r="A4656" t="s">
        <v>751</v>
      </c>
      <c r="B4656" t="s">
        <v>752</v>
      </c>
      <c r="C4656" s="1">
        <v>41113</v>
      </c>
      <c r="D4656" s="1">
        <v>41115</v>
      </c>
      <c r="E4656">
        <v>4250</v>
      </c>
      <c r="F4656" t="s">
        <v>689</v>
      </c>
      <c r="G4656" t="s">
        <v>16</v>
      </c>
      <c r="H4656" t="s">
        <v>3697</v>
      </c>
      <c r="I4656">
        <v>2.0226999999999999</v>
      </c>
      <c r="J4656">
        <v>33665.839999999997</v>
      </c>
      <c r="K4656">
        <v>16644.010481040194</v>
      </c>
    </row>
    <row r="4657" spans="1:11" x14ac:dyDescent="0.25">
      <c r="A4657" t="s">
        <v>751</v>
      </c>
      <c r="B4657" t="s">
        <v>752</v>
      </c>
      <c r="C4657" s="1">
        <v>41113</v>
      </c>
      <c r="D4657" s="1">
        <v>41115</v>
      </c>
      <c r="E4657">
        <v>4250</v>
      </c>
      <c r="F4657" t="s">
        <v>689</v>
      </c>
      <c r="G4657" t="s">
        <v>16</v>
      </c>
      <c r="H4657" t="s">
        <v>3698</v>
      </c>
      <c r="I4657">
        <v>2.0226999999999999</v>
      </c>
      <c r="J4657">
        <v>24328.11</v>
      </c>
      <c r="K4657">
        <v>12027.54239383003</v>
      </c>
    </row>
    <row r="4658" spans="1:11" x14ac:dyDescent="0.25">
      <c r="A4658" t="s">
        <v>751</v>
      </c>
      <c r="B4658" t="s">
        <v>752</v>
      </c>
      <c r="C4658" s="1">
        <v>41107</v>
      </c>
      <c r="D4658" s="1">
        <v>41108</v>
      </c>
      <c r="E4658">
        <v>4250</v>
      </c>
      <c r="F4658" t="s">
        <v>689</v>
      </c>
      <c r="G4658" t="s">
        <v>16</v>
      </c>
      <c r="H4658" t="s">
        <v>5890</v>
      </c>
      <c r="I4658">
        <v>2.0379999999999998</v>
      </c>
      <c r="J4658">
        <v>24459.72</v>
      </c>
      <c r="K4658">
        <v>12001.825318940137</v>
      </c>
    </row>
    <row r="4659" spans="1:11" x14ac:dyDescent="0.25">
      <c r="A4659" t="s">
        <v>751</v>
      </c>
      <c r="B4659" t="s">
        <v>752</v>
      </c>
      <c r="C4659" s="1">
        <v>41110</v>
      </c>
      <c r="D4659" s="1">
        <v>41112</v>
      </c>
      <c r="E4659">
        <v>4250</v>
      </c>
      <c r="F4659" t="s">
        <v>689</v>
      </c>
      <c r="G4659" t="s">
        <v>16</v>
      </c>
      <c r="H4659" t="s">
        <v>3699</v>
      </c>
      <c r="I4659">
        <v>2.0238999999999998</v>
      </c>
      <c r="J4659">
        <v>24275.46</v>
      </c>
      <c r="K4659">
        <v>11994.396956371362</v>
      </c>
    </row>
    <row r="4660" spans="1:11" x14ac:dyDescent="0.25">
      <c r="A4660" t="s">
        <v>751</v>
      </c>
      <c r="B4660" t="s">
        <v>752</v>
      </c>
      <c r="C4660" s="1">
        <v>41116</v>
      </c>
      <c r="D4660" s="1">
        <v>41117</v>
      </c>
      <c r="E4660">
        <v>4250</v>
      </c>
      <c r="F4660" t="s">
        <v>689</v>
      </c>
      <c r="G4660" t="s">
        <v>16</v>
      </c>
      <c r="H4660" t="s">
        <v>6919</v>
      </c>
      <c r="I4660">
        <v>1</v>
      </c>
      <c r="J4660">
        <v>24703.200000000001</v>
      </c>
      <c r="K4660">
        <v>24703.200000000001</v>
      </c>
    </row>
    <row r="4661" spans="1:11" x14ac:dyDescent="0.25">
      <c r="A4661" t="s">
        <v>751</v>
      </c>
      <c r="B4661" t="s">
        <v>752</v>
      </c>
      <c r="C4661" s="1">
        <v>41121</v>
      </c>
      <c r="D4661" s="1">
        <v>41123</v>
      </c>
      <c r="E4661">
        <v>4250</v>
      </c>
      <c r="F4661" t="s">
        <v>689</v>
      </c>
      <c r="G4661" t="s">
        <v>16</v>
      </c>
      <c r="H4661" t="s">
        <v>6920</v>
      </c>
      <c r="I4661">
        <v>2.0312999999999999</v>
      </c>
      <c r="J4661">
        <v>23531.87</v>
      </c>
      <c r="K4661">
        <v>11584.635455127258</v>
      </c>
    </row>
    <row r="4662" spans="1:11" x14ac:dyDescent="0.25">
      <c r="A4662" t="s">
        <v>751</v>
      </c>
      <c r="B4662" t="s">
        <v>752</v>
      </c>
      <c r="C4662" s="1">
        <v>41111</v>
      </c>
      <c r="D4662" s="1">
        <v>41114</v>
      </c>
      <c r="E4662">
        <v>4250</v>
      </c>
      <c r="F4662" t="s">
        <v>689</v>
      </c>
      <c r="G4662" t="s">
        <v>16</v>
      </c>
      <c r="H4662" t="s">
        <v>6921</v>
      </c>
      <c r="I4662">
        <v>2.0226999999999999</v>
      </c>
      <c r="J4662">
        <v>33494.75</v>
      </c>
      <c r="K4662">
        <v>16559.425520344095</v>
      </c>
    </row>
    <row r="4663" spans="1:11" x14ac:dyDescent="0.25">
      <c r="A4663" t="s">
        <v>751</v>
      </c>
      <c r="B4663" t="s">
        <v>752</v>
      </c>
      <c r="C4663" s="1">
        <v>41111</v>
      </c>
      <c r="D4663" s="1">
        <v>41114</v>
      </c>
      <c r="E4663">
        <v>4250</v>
      </c>
      <c r="F4663" t="s">
        <v>689</v>
      </c>
      <c r="G4663" t="s">
        <v>16</v>
      </c>
      <c r="H4663" t="s">
        <v>6922</v>
      </c>
      <c r="I4663">
        <v>2.0226999999999999</v>
      </c>
      <c r="J4663">
        <v>25012.48</v>
      </c>
      <c r="K4663">
        <v>12365.88718050131</v>
      </c>
    </row>
    <row r="4664" spans="1:11" x14ac:dyDescent="0.25">
      <c r="A4664" t="s">
        <v>751</v>
      </c>
      <c r="B4664" t="s">
        <v>752</v>
      </c>
      <c r="C4664" s="1">
        <v>41110</v>
      </c>
      <c r="D4664" s="1">
        <v>41111</v>
      </c>
      <c r="E4664">
        <v>4250</v>
      </c>
      <c r="F4664" t="s">
        <v>689</v>
      </c>
      <c r="G4664" t="s">
        <v>16</v>
      </c>
      <c r="H4664" t="s">
        <v>6923</v>
      </c>
      <c r="I4664">
        <v>2.0238999999999998</v>
      </c>
      <c r="J4664">
        <v>33560.550000000003</v>
      </c>
      <c r="K4664">
        <v>16582.118681753051</v>
      </c>
    </row>
    <row r="4665" spans="1:11" x14ac:dyDescent="0.25">
      <c r="A4665" t="s">
        <v>751</v>
      </c>
      <c r="B4665" t="s">
        <v>752</v>
      </c>
      <c r="C4665" s="1">
        <v>41109</v>
      </c>
      <c r="D4665" s="1">
        <v>41111</v>
      </c>
      <c r="E4665">
        <v>4250</v>
      </c>
      <c r="F4665" t="s">
        <v>689</v>
      </c>
      <c r="G4665" t="s">
        <v>16</v>
      </c>
      <c r="H4665" t="s">
        <v>3700</v>
      </c>
      <c r="I4665">
        <v>2.0257999999999998</v>
      </c>
      <c r="J4665">
        <v>33468.42</v>
      </c>
      <c r="K4665">
        <v>16521.087965248298</v>
      </c>
    </row>
    <row r="4666" spans="1:11" x14ac:dyDescent="0.25">
      <c r="A4666" t="s">
        <v>751</v>
      </c>
      <c r="B4666" t="s">
        <v>752</v>
      </c>
      <c r="C4666" s="1">
        <v>41109</v>
      </c>
      <c r="D4666" s="1">
        <v>41110</v>
      </c>
      <c r="E4666">
        <v>4250</v>
      </c>
      <c r="F4666" t="s">
        <v>689</v>
      </c>
      <c r="G4666" t="s">
        <v>16</v>
      </c>
      <c r="H4666" t="s">
        <v>3701</v>
      </c>
      <c r="I4666">
        <v>2.0257999999999998</v>
      </c>
      <c r="J4666">
        <v>24690.04</v>
      </c>
      <c r="K4666">
        <v>12187.797413367558</v>
      </c>
    </row>
    <row r="4667" spans="1:11" x14ac:dyDescent="0.25">
      <c r="A4667" t="s">
        <v>751</v>
      </c>
      <c r="B4667" t="s">
        <v>752</v>
      </c>
      <c r="C4667" s="1">
        <v>41108</v>
      </c>
      <c r="D4667" s="1">
        <v>41110</v>
      </c>
      <c r="E4667">
        <v>4250</v>
      </c>
      <c r="F4667" t="s">
        <v>689</v>
      </c>
      <c r="G4667" t="s">
        <v>16</v>
      </c>
      <c r="H4667" t="s">
        <v>6924</v>
      </c>
      <c r="I4667">
        <v>2.0348999999999999</v>
      </c>
      <c r="J4667">
        <v>24742.68</v>
      </c>
      <c r="K4667">
        <v>12159.162612413387</v>
      </c>
    </row>
    <row r="4668" spans="1:11" x14ac:dyDescent="0.25">
      <c r="A4668" t="s">
        <v>751</v>
      </c>
      <c r="B4668" t="s">
        <v>752</v>
      </c>
      <c r="C4668" s="1">
        <v>41108</v>
      </c>
      <c r="D4668" s="1">
        <v>41110</v>
      </c>
      <c r="E4668">
        <v>4250</v>
      </c>
      <c r="F4668" t="s">
        <v>689</v>
      </c>
      <c r="G4668" t="s">
        <v>16</v>
      </c>
      <c r="H4668" t="s">
        <v>3702</v>
      </c>
      <c r="I4668">
        <v>2.0348999999999999</v>
      </c>
      <c r="J4668">
        <v>33165.72</v>
      </c>
      <c r="K4668">
        <v>16298.452012383901</v>
      </c>
    </row>
    <row r="4669" spans="1:11" x14ac:dyDescent="0.25">
      <c r="A4669" t="s">
        <v>751</v>
      </c>
      <c r="B4669" t="s">
        <v>752</v>
      </c>
      <c r="C4669" s="1">
        <v>41108</v>
      </c>
      <c r="D4669" s="1">
        <v>41110</v>
      </c>
      <c r="E4669">
        <v>4250</v>
      </c>
      <c r="F4669" t="s">
        <v>689</v>
      </c>
      <c r="G4669" t="s">
        <v>16</v>
      </c>
      <c r="H4669" t="s">
        <v>3703</v>
      </c>
      <c r="I4669">
        <v>2.0348999999999999</v>
      </c>
      <c r="J4669">
        <v>33468.42</v>
      </c>
      <c r="K4669">
        <v>16447.206250921423</v>
      </c>
    </row>
    <row r="4670" spans="1:11" x14ac:dyDescent="0.25">
      <c r="A4670" t="s">
        <v>3704</v>
      </c>
      <c r="B4670" t="s">
        <v>3705</v>
      </c>
      <c r="C4670" s="1">
        <v>41156</v>
      </c>
      <c r="D4670" s="1">
        <v>41158</v>
      </c>
      <c r="E4670">
        <v>4865</v>
      </c>
      <c r="F4670" t="s">
        <v>278</v>
      </c>
      <c r="G4670" t="s">
        <v>16</v>
      </c>
      <c r="H4670" t="s">
        <v>3706</v>
      </c>
      <c r="I4670">
        <v>2.0335000000000001</v>
      </c>
      <c r="J4670">
        <v>4692</v>
      </c>
      <c r="K4670">
        <v>2307.3518564052129</v>
      </c>
    </row>
    <row r="4671" spans="1:11" x14ac:dyDescent="0.25">
      <c r="A4671" t="s">
        <v>751</v>
      </c>
      <c r="B4671" t="s">
        <v>752</v>
      </c>
      <c r="C4671" s="1">
        <v>41125</v>
      </c>
      <c r="D4671" s="1">
        <v>41127</v>
      </c>
      <c r="E4671">
        <v>4250</v>
      </c>
      <c r="F4671" t="s">
        <v>689</v>
      </c>
      <c r="G4671" t="s">
        <v>16</v>
      </c>
      <c r="H4671" t="s">
        <v>3707</v>
      </c>
      <c r="I4671">
        <v>2.0312999999999999</v>
      </c>
      <c r="J4671">
        <v>33626.36</v>
      </c>
      <c r="K4671">
        <v>16554.108206567224</v>
      </c>
    </row>
    <row r="4672" spans="1:11" x14ac:dyDescent="0.25">
      <c r="A4672" t="s">
        <v>751</v>
      </c>
      <c r="B4672" t="s">
        <v>752</v>
      </c>
      <c r="C4672" s="1">
        <v>41134</v>
      </c>
      <c r="D4672" s="1">
        <v>41135</v>
      </c>
      <c r="E4672">
        <v>4250</v>
      </c>
      <c r="F4672" t="s">
        <v>689</v>
      </c>
      <c r="G4672" t="s">
        <v>16</v>
      </c>
      <c r="H4672" t="s">
        <v>6925</v>
      </c>
      <c r="I4672">
        <v>2.0175000000000001</v>
      </c>
      <c r="J4672">
        <v>24749.26</v>
      </c>
      <c r="K4672">
        <v>12267.291201982653</v>
      </c>
    </row>
    <row r="4673" spans="1:11" x14ac:dyDescent="0.25">
      <c r="A4673" t="s">
        <v>1398</v>
      </c>
      <c r="B4673" t="s">
        <v>1399</v>
      </c>
      <c r="C4673" s="1">
        <v>41134</v>
      </c>
      <c r="D4673" s="1">
        <v>41136</v>
      </c>
      <c r="E4673">
        <v>1905</v>
      </c>
      <c r="F4673" t="s">
        <v>689</v>
      </c>
      <c r="G4673" t="s">
        <v>16</v>
      </c>
      <c r="H4673" t="s">
        <v>3708</v>
      </c>
      <c r="I4673">
        <v>2.0175000000000001</v>
      </c>
      <c r="J4673">
        <v>28908.14</v>
      </c>
      <c r="K4673">
        <v>14328.693928128872</v>
      </c>
    </row>
    <row r="4674" spans="1:11" x14ac:dyDescent="0.25">
      <c r="A4674" t="s">
        <v>779</v>
      </c>
      <c r="B4674" t="s">
        <v>771</v>
      </c>
      <c r="C4674" s="1">
        <v>41158</v>
      </c>
      <c r="D4674" s="1">
        <v>41159</v>
      </c>
      <c r="E4674">
        <v>4822</v>
      </c>
      <c r="F4674" t="s">
        <v>331</v>
      </c>
      <c r="G4674" t="s">
        <v>16</v>
      </c>
      <c r="H4674" t="s">
        <v>3709</v>
      </c>
      <c r="I4674">
        <v>2.0385</v>
      </c>
      <c r="J4674">
        <v>42026.28</v>
      </c>
      <c r="K4674">
        <v>20616.276674025019</v>
      </c>
    </row>
    <row r="4675" spans="1:11" x14ac:dyDescent="0.25">
      <c r="A4675" t="s">
        <v>751</v>
      </c>
      <c r="B4675" t="s">
        <v>752</v>
      </c>
      <c r="C4675" s="1">
        <v>41125</v>
      </c>
      <c r="D4675" s="1">
        <v>41128</v>
      </c>
      <c r="E4675">
        <v>4250</v>
      </c>
      <c r="F4675" t="s">
        <v>689</v>
      </c>
      <c r="G4675" t="s">
        <v>16</v>
      </c>
      <c r="H4675" t="s">
        <v>3710</v>
      </c>
      <c r="I4675">
        <v>2.0312999999999999</v>
      </c>
      <c r="J4675">
        <v>33553.97</v>
      </c>
      <c r="K4675">
        <v>16518.470929946339</v>
      </c>
    </row>
    <row r="4676" spans="1:11" x14ac:dyDescent="0.25">
      <c r="A4676" t="s">
        <v>751</v>
      </c>
      <c r="B4676" t="s">
        <v>752</v>
      </c>
      <c r="C4676" s="1">
        <v>41130</v>
      </c>
      <c r="D4676" s="1">
        <v>41132</v>
      </c>
      <c r="E4676">
        <v>4250</v>
      </c>
      <c r="F4676" t="s">
        <v>689</v>
      </c>
      <c r="G4676" t="s">
        <v>16</v>
      </c>
      <c r="H4676" t="s">
        <v>3711</v>
      </c>
      <c r="I4676">
        <v>2.0272999999999999</v>
      </c>
      <c r="J4676">
        <v>33257.85</v>
      </c>
      <c r="K4676">
        <v>16404.996793765105</v>
      </c>
    </row>
    <row r="4677" spans="1:11" x14ac:dyDescent="0.25">
      <c r="A4677" t="s">
        <v>751</v>
      </c>
      <c r="B4677" t="s">
        <v>752</v>
      </c>
      <c r="C4677" s="1">
        <v>41131</v>
      </c>
      <c r="D4677" s="1">
        <v>41132</v>
      </c>
      <c r="E4677">
        <v>4250</v>
      </c>
      <c r="F4677" t="s">
        <v>689</v>
      </c>
      <c r="G4677" t="s">
        <v>16</v>
      </c>
      <c r="H4677" t="s">
        <v>6926</v>
      </c>
      <c r="I4677">
        <v>2.0182000000000002</v>
      </c>
      <c r="J4677">
        <v>24979.58</v>
      </c>
      <c r="K4677">
        <v>12377.157863442671</v>
      </c>
    </row>
    <row r="4678" spans="1:11" x14ac:dyDescent="0.25">
      <c r="A4678" t="s">
        <v>751</v>
      </c>
      <c r="B4678" t="s">
        <v>752</v>
      </c>
      <c r="C4678" s="1">
        <v>41130</v>
      </c>
      <c r="D4678" s="1">
        <v>41132</v>
      </c>
      <c r="E4678">
        <v>4250</v>
      </c>
      <c r="F4678" t="s">
        <v>689</v>
      </c>
      <c r="G4678" t="s">
        <v>16</v>
      </c>
      <c r="H4678" t="s">
        <v>3712</v>
      </c>
      <c r="I4678">
        <v>2.0272999999999999</v>
      </c>
      <c r="J4678">
        <v>24801.9</v>
      </c>
      <c r="K4678">
        <v>12233.956493858826</v>
      </c>
    </row>
    <row r="4679" spans="1:11" x14ac:dyDescent="0.25">
      <c r="A4679" t="s">
        <v>799</v>
      </c>
      <c r="B4679" t="s">
        <v>800</v>
      </c>
      <c r="C4679" s="1">
        <v>41162</v>
      </c>
      <c r="D4679" s="1">
        <v>41165</v>
      </c>
      <c r="E4679">
        <v>4856</v>
      </c>
      <c r="F4679" t="s">
        <v>301</v>
      </c>
      <c r="G4679" t="s">
        <v>16</v>
      </c>
      <c r="H4679" t="s">
        <v>6927</v>
      </c>
      <c r="I4679">
        <v>2.0381</v>
      </c>
      <c r="J4679">
        <v>42480</v>
      </c>
      <c r="K4679">
        <v>20842.941955743096</v>
      </c>
    </row>
    <row r="4680" spans="1:11" x14ac:dyDescent="0.25">
      <c r="A4680" t="s">
        <v>1398</v>
      </c>
      <c r="B4680" t="s">
        <v>1399</v>
      </c>
      <c r="C4680" s="1">
        <v>41144</v>
      </c>
      <c r="D4680" s="1">
        <v>41151</v>
      </c>
      <c r="E4680">
        <v>1905</v>
      </c>
      <c r="F4680" t="s">
        <v>689</v>
      </c>
      <c r="G4680" t="s">
        <v>16</v>
      </c>
      <c r="H4680" t="s">
        <v>3713</v>
      </c>
      <c r="I4680">
        <v>2.0209999999999999</v>
      </c>
      <c r="J4680">
        <v>32859.730000000003</v>
      </c>
      <c r="K4680">
        <v>16259.143988124692</v>
      </c>
    </row>
    <row r="4681" spans="1:11" x14ac:dyDescent="0.25">
      <c r="A4681" t="s">
        <v>774</v>
      </c>
      <c r="B4681" t="s">
        <v>775</v>
      </c>
      <c r="C4681" s="1">
        <v>41142</v>
      </c>
      <c r="D4681" s="1">
        <v>41149</v>
      </c>
      <c r="E4681">
        <v>4826</v>
      </c>
      <c r="F4681" t="s">
        <v>311</v>
      </c>
      <c r="G4681" t="s">
        <v>16</v>
      </c>
      <c r="H4681" t="s">
        <v>6928</v>
      </c>
      <c r="I4681">
        <v>2.0209000000000001</v>
      </c>
      <c r="J4681">
        <v>555081.47</v>
      </c>
      <c r="K4681">
        <v>274670.42901677469</v>
      </c>
    </row>
    <row r="4682" spans="1:11" x14ac:dyDescent="0.25">
      <c r="A4682" t="s">
        <v>786</v>
      </c>
      <c r="B4682" t="s">
        <v>771</v>
      </c>
      <c r="C4682" s="1">
        <v>41164</v>
      </c>
      <c r="D4682" s="1">
        <v>41167</v>
      </c>
      <c r="E4682">
        <v>4823</v>
      </c>
      <c r="F4682" t="s">
        <v>331</v>
      </c>
      <c r="G4682" t="s">
        <v>16</v>
      </c>
      <c r="H4682" t="s">
        <v>6929</v>
      </c>
      <c r="I4682">
        <v>2.0196999999999998</v>
      </c>
      <c r="J4682">
        <v>41980.72</v>
      </c>
      <c r="K4682">
        <v>20785.621626974302</v>
      </c>
    </row>
    <row r="4683" spans="1:11" x14ac:dyDescent="0.25">
      <c r="A4683" t="s">
        <v>1416</v>
      </c>
      <c r="B4683" t="s">
        <v>771</v>
      </c>
      <c r="C4683" s="1">
        <v>41160</v>
      </c>
      <c r="D4683" s="1">
        <v>41164</v>
      </c>
      <c r="E4683">
        <v>4821</v>
      </c>
      <c r="F4683" t="s">
        <v>331</v>
      </c>
      <c r="G4683" t="s">
        <v>16</v>
      </c>
      <c r="H4683" t="s">
        <v>6930</v>
      </c>
      <c r="I4683">
        <v>2.0381</v>
      </c>
      <c r="J4683">
        <v>41844.07</v>
      </c>
      <c r="K4683">
        <v>20530.92095579216</v>
      </c>
    </row>
    <row r="4684" spans="1:11" x14ac:dyDescent="0.25">
      <c r="A4684" t="s">
        <v>1416</v>
      </c>
      <c r="B4684" t="s">
        <v>771</v>
      </c>
      <c r="C4684" s="1">
        <v>41161</v>
      </c>
      <c r="D4684" s="1">
        <v>41164</v>
      </c>
      <c r="E4684">
        <v>4821</v>
      </c>
      <c r="F4684" t="s">
        <v>331</v>
      </c>
      <c r="G4684" t="s">
        <v>16</v>
      </c>
      <c r="H4684" t="s">
        <v>6931</v>
      </c>
      <c r="I4684">
        <v>2.0381</v>
      </c>
      <c r="J4684">
        <v>42140.160000000003</v>
      </c>
      <c r="K4684">
        <v>20676.198420097149</v>
      </c>
    </row>
    <row r="4685" spans="1:11" x14ac:dyDescent="0.25">
      <c r="A4685" t="s">
        <v>751</v>
      </c>
      <c r="B4685" t="s">
        <v>752</v>
      </c>
      <c r="C4685" s="1">
        <v>41160</v>
      </c>
      <c r="D4685" s="1">
        <v>41164</v>
      </c>
      <c r="E4685">
        <v>4250</v>
      </c>
      <c r="F4685" t="s">
        <v>689</v>
      </c>
      <c r="G4685" t="s">
        <v>16</v>
      </c>
      <c r="H4685" t="s">
        <v>6932</v>
      </c>
      <c r="I4685">
        <v>2.0381</v>
      </c>
      <c r="J4685">
        <v>33754.68</v>
      </c>
      <c r="K4685">
        <v>16561.837005053727</v>
      </c>
    </row>
    <row r="4686" spans="1:11" x14ac:dyDescent="0.25">
      <c r="A4686" t="s">
        <v>786</v>
      </c>
      <c r="B4686" t="s">
        <v>771</v>
      </c>
      <c r="C4686" s="1">
        <v>41163</v>
      </c>
      <c r="D4686" s="1">
        <v>41167</v>
      </c>
      <c r="E4686">
        <v>4823</v>
      </c>
      <c r="F4686" t="s">
        <v>331</v>
      </c>
      <c r="G4686" t="s">
        <v>16</v>
      </c>
      <c r="H4686" t="s">
        <v>6933</v>
      </c>
      <c r="I4686">
        <v>2.0240999999999998</v>
      </c>
      <c r="J4686">
        <v>56307.97</v>
      </c>
      <c r="K4686">
        <v>27818.768835531842</v>
      </c>
    </row>
    <row r="4687" spans="1:11" x14ac:dyDescent="0.25">
      <c r="A4687" t="s">
        <v>4158</v>
      </c>
      <c r="B4687" t="s">
        <v>286</v>
      </c>
      <c r="C4687" s="1">
        <v>41146</v>
      </c>
      <c r="D4687" s="1">
        <v>41171</v>
      </c>
      <c r="E4687">
        <v>1</v>
      </c>
      <c r="F4687" t="s">
        <v>642</v>
      </c>
      <c r="G4687" t="s">
        <v>16</v>
      </c>
      <c r="H4687" t="s">
        <v>6934</v>
      </c>
      <c r="I4687">
        <v>2.0255000000000001</v>
      </c>
      <c r="J4687">
        <v>123420.62</v>
      </c>
      <c r="K4687">
        <v>60933.409034806224</v>
      </c>
    </row>
    <row r="4688" spans="1:11" x14ac:dyDescent="0.25">
      <c r="A4688" t="s">
        <v>811</v>
      </c>
      <c r="B4688" t="s">
        <v>812</v>
      </c>
      <c r="C4688" s="1">
        <v>41148</v>
      </c>
      <c r="D4688" s="1">
        <v>41163</v>
      </c>
      <c r="E4688">
        <v>5271</v>
      </c>
      <c r="F4688" t="s">
        <v>331</v>
      </c>
      <c r="G4688" t="s">
        <v>16</v>
      </c>
      <c r="H4688" t="s">
        <v>3714</v>
      </c>
      <c r="I4688">
        <v>2.0255000000000001</v>
      </c>
      <c r="J4688">
        <v>64416.05</v>
      </c>
      <c r="K4688">
        <v>31802.542582078499</v>
      </c>
    </row>
    <row r="4689" spans="1:11" x14ac:dyDescent="0.25">
      <c r="A4689" t="s">
        <v>1398</v>
      </c>
      <c r="B4689" t="s">
        <v>1399</v>
      </c>
      <c r="C4689" s="1">
        <v>41134</v>
      </c>
      <c r="D4689" s="1">
        <v>41139</v>
      </c>
      <c r="E4689">
        <v>1905</v>
      </c>
      <c r="F4689" t="s">
        <v>689</v>
      </c>
      <c r="G4689" t="s">
        <v>16</v>
      </c>
      <c r="H4689" t="s">
        <v>6935</v>
      </c>
      <c r="I4689">
        <v>2.0175000000000001</v>
      </c>
      <c r="J4689">
        <v>32941.980000000003</v>
      </c>
      <c r="K4689">
        <v>16328.118959107807</v>
      </c>
    </row>
    <row r="4690" spans="1:11" x14ac:dyDescent="0.25">
      <c r="A4690" t="s">
        <v>1398</v>
      </c>
      <c r="B4690" t="s">
        <v>1399</v>
      </c>
      <c r="C4690" s="1">
        <v>41134</v>
      </c>
      <c r="D4690" s="1">
        <v>41139</v>
      </c>
      <c r="E4690">
        <v>1905</v>
      </c>
      <c r="F4690" t="s">
        <v>689</v>
      </c>
      <c r="G4690" t="s">
        <v>16</v>
      </c>
      <c r="H4690" t="s">
        <v>6936</v>
      </c>
      <c r="I4690">
        <v>2.0175000000000001</v>
      </c>
      <c r="J4690">
        <v>33685.58</v>
      </c>
      <c r="K4690">
        <v>16696.693928128872</v>
      </c>
    </row>
    <row r="4691" spans="1:11" x14ac:dyDescent="0.25">
      <c r="A4691" t="s">
        <v>1398</v>
      </c>
      <c r="B4691" t="s">
        <v>1399</v>
      </c>
      <c r="C4691" s="1">
        <v>41134</v>
      </c>
      <c r="D4691" s="1">
        <v>41139</v>
      </c>
      <c r="E4691">
        <v>1905</v>
      </c>
      <c r="F4691" t="s">
        <v>689</v>
      </c>
      <c r="G4691" t="s">
        <v>16</v>
      </c>
      <c r="H4691" t="s">
        <v>3715</v>
      </c>
      <c r="I4691">
        <v>2.0175000000000001</v>
      </c>
      <c r="J4691">
        <v>24742.68</v>
      </c>
      <c r="K4691">
        <v>12264.029739776952</v>
      </c>
    </row>
    <row r="4692" spans="1:11" x14ac:dyDescent="0.25">
      <c r="A4692" t="s">
        <v>799</v>
      </c>
      <c r="B4692" t="s">
        <v>800</v>
      </c>
      <c r="C4692" s="1">
        <v>41162</v>
      </c>
      <c r="D4692" s="1">
        <v>41170</v>
      </c>
      <c r="E4692">
        <v>4856</v>
      </c>
      <c r="F4692" t="s">
        <v>301</v>
      </c>
      <c r="G4692" t="s">
        <v>16</v>
      </c>
      <c r="H4692" t="s">
        <v>6937</v>
      </c>
      <c r="I4692">
        <v>2.0381</v>
      </c>
      <c r="J4692">
        <v>802486</v>
      </c>
      <c r="K4692">
        <v>393742.21088268486</v>
      </c>
    </row>
    <row r="4693" spans="1:11" x14ac:dyDescent="0.25">
      <c r="A4693" t="s">
        <v>811</v>
      </c>
      <c r="B4693" t="s">
        <v>812</v>
      </c>
      <c r="C4693" s="1">
        <v>41134</v>
      </c>
      <c r="D4693" s="1">
        <v>41141</v>
      </c>
      <c r="E4693">
        <v>5271</v>
      </c>
      <c r="F4693" t="s">
        <v>331</v>
      </c>
      <c r="G4693" t="s">
        <v>16</v>
      </c>
      <c r="H4693" t="s">
        <v>6938</v>
      </c>
      <c r="I4693">
        <v>2.0175000000000001</v>
      </c>
      <c r="J4693">
        <v>87037.65</v>
      </c>
      <c r="K4693">
        <v>43141.338289962827</v>
      </c>
    </row>
    <row r="4694" spans="1:11" x14ac:dyDescent="0.25">
      <c r="A4694" t="s">
        <v>759</v>
      </c>
      <c r="B4694" t="s">
        <v>760</v>
      </c>
      <c r="C4694" s="1">
        <v>41116</v>
      </c>
      <c r="D4694" s="1">
        <v>41127</v>
      </c>
      <c r="E4694">
        <v>8</v>
      </c>
      <c r="F4694" t="s">
        <v>689</v>
      </c>
      <c r="G4694" t="s">
        <v>16</v>
      </c>
      <c r="H4694" t="s">
        <v>6939</v>
      </c>
      <c r="I4694">
        <v>1</v>
      </c>
      <c r="J4694">
        <v>43188.85</v>
      </c>
      <c r="K4694">
        <v>43188.85</v>
      </c>
    </row>
    <row r="4695" spans="1:11" x14ac:dyDescent="0.25">
      <c r="A4695" t="s">
        <v>759</v>
      </c>
      <c r="B4695" t="s">
        <v>760</v>
      </c>
      <c r="C4695" s="1">
        <v>41116</v>
      </c>
      <c r="D4695" s="1">
        <v>41127</v>
      </c>
      <c r="E4695">
        <v>8</v>
      </c>
      <c r="F4695" t="s">
        <v>689</v>
      </c>
      <c r="G4695" t="s">
        <v>16</v>
      </c>
      <c r="H4695" t="s">
        <v>3716</v>
      </c>
      <c r="I4695">
        <v>1</v>
      </c>
      <c r="J4695">
        <v>43084.08</v>
      </c>
      <c r="K4695">
        <v>43084.08</v>
      </c>
    </row>
    <row r="4696" spans="1:11" x14ac:dyDescent="0.25">
      <c r="A4696" t="s">
        <v>793</v>
      </c>
      <c r="B4696" t="s">
        <v>794</v>
      </c>
      <c r="C4696" s="1">
        <v>41145</v>
      </c>
      <c r="D4696" s="1">
        <v>41163</v>
      </c>
      <c r="E4696">
        <v>3</v>
      </c>
      <c r="F4696" t="s">
        <v>309</v>
      </c>
      <c r="G4696" t="s">
        <v>16</v>
      </c>
      <c r="H4696" t="s">
        <v>6940</v>
      </c>
      <c r="I4696">
        <v>2.0240999999999998</v>
      </c>
      <c r="J4696">
        <v>65340.5</v>
      </c>
      <c r="K4696">
        <v>32281.260807272367</v>
      </c>
    </row>
    <row r="4697" spans="1:11" x14ac:dyDescent="0.25">
      <c r="A4697" t="s">
        <v>751</v>
      </c>
      <c r="B4697" t="s">
        <v>752</v>
      </c>
      <c r="C4697" s="1">
        <v>41131</v>
      </c>
      <c r="D4697" s="1">
        <v>41134</v>
      </c>
      <c r="E4697">
        <v>4250</v>
      </c>
      <c r="F4697" t="s">
        <v>689</v>
      </c>
      <c r="G4697" t="s">
        <v>16</v>
      </c>
      <c r="H4697" t="s">
        <v>3717</v>
      </c>
      <c r="I4697">
        <v>2.0182000000000002</v>
      </c>
      <c r="J4697">
        <v>33165.72</v>
      </c>
      <c r="K4697">
        <v>16433.316816965613</v>
      </c>
    </row>
    <row r="4698" spans="1:11" x14ac:dyDescent="0.25">
      <c r="A4698" t="s">
        <v>751</v>
      </c>
      <c r="B4698" t="s">
        <v>752</v>
      </c>
      <c r="C4698" s="1">
        <v>41131</v>
      </c>
      <c r="D4698" s="1">
        <v>41134</v>
      </c>
      <c r="E4698">
        <v>4250</v>
      </c>
      <c r="F4698" t="s">
        <v>689</v>
      </c>
      <c r="G4698" t="s">
        <v>16</v>
      </c>
      <c r="H4698" t="s">
        <v>6941</v>
      </c>
      <c r="I4698">
        <v>2.0182000000000002</v>
      </c>
      <c r="J4698">
        <v>33218.36</v>
      </c>
      <c r="K4698">
        <v>16459.399464869686</v>
      </c>
    </row>
    <row r="4699" spans="1:11" x14ac:dyDescent="0.25">
      <c r="A4699" t="s">
        <v>786</v>
      </c>
      <c r="B4699" t="s">
        <v>771</v>
      </c>
      <c r="C4699" s="1">
        <v>41165</v>
      </c>
      <c r="D4699" s="1">
        <v>41167</v>
      </c>
      <c r="E4699">
        <v>4823</v>
      </c>
      <c r="F4699" t="s">
        <v>331</v>
      </c>
      <c r="G4699" t="s">
        <v>16</v>
      </c>
      <c r="H4699" t="s">
        <v>1417</v>
      </c>
      <c r="I4699">
        <v>2.0204</v>
      </c>
      <c r="J4699">
        <v>42140.160000000003</v>
      </c>
      <c r="K4699">
        <v>20857.335181152248</v>
      </c>
    </row>
    <row r="4700" spans="1:11" x14ac:dyDescent="0.25">
      <c r="A4700" t="s">
        <v>751</v>
      </c>
      <c r="B4700" t="s">
        <v>752</v>
      </c>
      <c r="C4700" s="1">
        <v>41134</v>
      </c>
      <c r="D4700" s="1">
        <v>41136</v>
      </c>
      <c r="E4700">
        <v>4250</v>
      </c>
      <c r="F4700" t="s">
        <v>689</v>
      </c>
      <c r="G4700" t="s">
        <v>16</v>
      </c>
      <c r="H4700" t="s">
        <v>3718</v>
      </c>
      <c r="I4700">
        <v>2.0175000000000001</v>
      </c>
      <c r="J4700">
        <v>33007.79</v>
      </c>
      <c r="K4700">
        <v>16360.738537794299</v>
      </c>
    </row>
    <row r="4701" spans="1:11" x14ac:dyDescent="0.25">
      <c r="A4701" t="s">
        <v>748</v>
      </c>
      <c r="B4701" t="s">
        <v>749</v>
      </c>
      <c r="C4701" s="1">
        <v>41153</v>
      </c>
      <c r="D4701" s="1">
        <v>41159</v>
      </c>
      <c r="E4701">
        <v>4855</v>
      </c>
      <c r="F4701" t="s">
        <v>309</v>
      </c>
      <c r="G4701" t="s">
        <v>16</v>
      </c>
      <c r="H4701" t="s">
        <v>3719</v>
      </c>
      <c r="I4701">
        <v>2.0371999999999999</v>
      </c>
      <c r="J4701">
        <v>46539.34</v>
      </c>
      <c r="K4701">
        <v>22844.757510308267</v>
      </c>
    </row>
    <row r="4702" spans="1:11" x14ac:dyDescent="0.25">
      <c r="A4702" t="s">
        <v>799</v>
      </c>
      <c r="B4702" t="s">
        <v>800</v>
      </c>
      <c r="C4702" s="1">
        <v>41197</v>
      </c>
      <c r="D4702" s="1">
        <v>41202</v>
      </c>
      <c r="E4702">
        <v>4856</v>
      </c>
      <c r="F4702" t="s">
        <v>301</v>
      </c>
      <c r="G4702" t="s">
        <v>16</v>
      </c>
      <c r="H4702" t="s">
        <v>6942</v>
      </c>
      <c r="I4702">
        <v>2.0369000000000002</v>
      </c>
      <c r="J4702">
        <v>42524.99</v>
      </c>
      <c r="K4702">
        <v>20877.308655309538</v>
      </c>
    </row>
    <row r="4703" spans="1:11" x14ac:dyDescent="0.25">
      <c r="A4703" t="s">
        <v>2869</v>
      </c>
      <c r="B4703" t="s">
        <v>144</v>
      </c>
      <c r="C4703" s="1">
        <v>41192</v>
      </c>
      <c r="D4703" s="1">
        <v>41202</v>
      </c>
      <c r="E4703">
        <v>9265</v>
      </c>
      <c r="F4703" t="s">
        <v>2481</v>
      </c>
      <c r="G4703" t="s">
        <v>16</v>
      </c>
      <c r="H4703" t="s">
        <v>6943</v>
      </c>
      <c r="I4703">
        <v>2.0337000000000001</v>
      </c>
      <c r="J4703">
        <v>301590</v>
      </c>
      <c r="K4703">
        <v>148296.20888036583</v>
      </c>
    </row>
    <row r="4704" spans="1:11" x14ac:dyDescent="0.25">
      <c r="A4704" t="s">
        <v>1425</v>
      </c>
      <c r="B4704" t="s">
        <v>1426</v>
      </c>
      <c r="C4704" s="1">
        <v>41171</v>
      </c>
      <c r="D4704" s="1">
        <v>41180</v>
      </c>
      <c r="E4704">
        <v>35</v>
      </c>
      <c r="F4704" t="s">
        <v>331</v>
      </c>
      <c r="G4704" t="s">
        <v>16</v>
      </c>
      <c r="H4704" t="s">
        <v>3720</v>
      </c>
      <c r="I4704">
        <v>2.0274000000000001</v>
      </c>
      <c r="J4704">
        <v>50166.29</v>
      </c>
      <c r="K4704">
        <v>24744.150143040348</v>
      </c>
    </row>
    <row r="4705" spans="1:11" x14ac:dyDescent="0.25">
      <c r="A4705" t="s">
        <v>1919</v>
      </c>
      <c r="B4705" t="s">
        <v>1920</v>
      </c>
      <c r="C4705" s="1">
        <v>41151</v>
      </c>
      <c r="D4705" s="1">
        <v>41171</v>
      </c>
      <c r="E4705">
        <v>8541</v>
      </c>
      <c r="F4705" t="s">
        <v>318</v>
      </c>
      <c r="G4705" t="s">
        <v>16</v>
      </c>
      <c r="H4705" t="s">
        <v>6944</v>
      </c>
      <c r="I4705">
        <v>2.0508999999999999</v>
      </c>
      <c r="J4705">
        <v>40868.32</v>
      </c>
      <c r="K4705">
        <v>19927.017406992054</v>
      </c>
    </row>
    <row r="4706" spans="1:11" x14ac:dyDescent="0.25">
      <c r="A4706" t="s">
        <v>2855</v>
      </c>
      <c r="B4706" t="s">
        <v>2856</v>
      </c>
      <c r="C4706" s="1">
        <v>41177</v>
      </c>
      <c r="D4706" s="1">
        <v>41206</v>
      </c>
      <c r="E4706">
        <v>5422</v>
      </c>
      <c r="F4706" t="s">
        <v>311</v>
      </c>
      <c r="G4706" t="s">
        <v>16</v>
      </c>
      <c r="H4706" t="s">
        <v>6945</v>
      </c>
      <c r="I4706">
        <v>2.0272999999999999</v>
      </c>
      <c r="J4706">
        <v>39835.14</v>
      </c>
      <c r="K4706">
        <v>19649.356286686725</v>
      </c>
    </row>
    <row r="4707" spans="1:11" x14ac:dyDescent="0.25">
      <c r="A4707" t="s">
        <v>1421</v>
      </c>
      <c r="B4707" t="s">
        <v>1422</v>
      </c>
      <c r="C4707" s="1">
        <v>41193</v>
      </c>
      <c r="D4707" s="1">
        <v>41199</v>
      </c>
      <c r="E4707">
        <v>5710</v>
      </c>
      <c r="F4707" t="s">
        <v>309</v>
      </c>
      <c r="G4707" t="s">
        <v>16</v>
      </c>
      <c r="H4707" t="s">
        <v>3721</v>
      </c>
      <c r="I4707">
        <v>2.0377999999999998</v>
      </c>
      <c r="J4707">
        <v>59332.09</v>
      </c>
      <c r="K4707">
        <v>29115.757189125528</v>
      </c>
    </row>
    <row r="4708" spans="1:11" x14ac:dyDescent="0.25">
      <c r="A4708" t="s">
        <v>1421</v>
      </c>
      <c r="B4708" t="s">
        <v>1422</v>
      </c>
      <c r="C4708" s="1">
        <v>41193</v>
      </c>
      <c r="D4708" s="1">
        <v>41199</v>
      </c>
      <c r="E4708">
        <v>5710</v>
      </c>
      <c r="F4708" t="s">
        <v>309</v>
      </c>
      <c r="G4708" t="s">
        <v>16</v>
      </c>
      <c r="H4708" t="s">
        <v>3722</v>
      </c>
      <c r="I4708">
        <v>2.0377999999999998</v>
      </c>
      <c r="J4708">
        <v>59332.09</v>
      </c>
      <c r="K4708">
        <v>29115.757189125528</v>
      </c>
    </row>
    <row r="4709" spans="1:11" x14ac:dyDescent="0.25">
      <c r="A4709" t="s">
        <v>1421</v>
      </c>
      <c r="B4709" t="s">
        <v>1422</v>
      </c>
      <c r="C4709" s="1">
        <v>41193</v>
      </c>
      <c r="D4709" s="1">
        <v>41199</v>
      </c>
      <c r="E4709">
        <v>5710</v>
      </c>
      <c r="F4709" t="s">
        <v>309</v>
      </c>
      <c r="G4709" t="s">
        <v>16</v>
      </c>
      <c r="H4709" t="s">
        <v>3723</v>
      </c>
      <c r="I4709">
        <v>2.0377999999999998</v>
      </c>
      <c r="J4709">
        <v>59332.09</v>
      </c>
      <c r="K4709">
        <v>29115.757189125528</v>
      </c>
    </row>
    <row r="4710" spans="1:11" x14ac:dyDescent="0.25">
      <c r="A4710" t="s">
        <v>793</v>
      </c>
      <c r="B4710" t="s">
        <v>794</v>
      </c>
      <c r="C4710" s="1">
        <v>41161</v>
      </c>
      <c r="D4710" s="1">
        <v>41182</v>
      </c>
      <c r="E4710">
        <v>3</v>
      </c>
      <c r="F4710" t="s">
        <v>309</v>
      </c>
      <c r="G4710" t="s">
        <v>16</v>
      </c>
      <c r="H4710" t="s">
        <v>6946</v>
      </c>
      <c r="I4710">
        <v>2.0381</v>
      </c>
      <c r="J4710">
        <v>47051.3</v>
      </c>
      <c r="K4710">
        <v>23085.864285363819</v>
      </c>
    </row>
    <row r="4711" spans="1:11" x14ac:dyDescent="0.25">
      <c r="A4711" t="s">
        <v>793</v>
      </c>
      <c r="B4711" t="s">
        <v>794</v>
      </c>
      <c r="C4711" s="1">
        <v>41159</v>
      </c>
      <c r="D4711" s="1">
        <v>41182</v>
      </c>
      <c r="E4711">
        <v>3</v>
      </c>
      <c r="F4711" t="s">
        <v>309</v>
      </c>
      <c r="G4711" t="s">
        <v>16</v>
      </c>
      <c r="H4711" t="s">
        <v>6947</v>
      </c>
      <c r="I4711">
        <v>2.0381</v>
      </c>
      <c r="J4711">
        <v>2543.31</v>
      </c>
      <c r="K4711">
        <v>1247.8828320494579</v>
      </c>
    </row>
    <row r="4712" spans="1:11" x14ac:dyDescent="0.25">
      <c r="A4712" t="s">
        <v>793</v>
      </c>
      <c r="B4712" t="s">
        <v>794</v>
      </c>
      <c r="C4712" s="1">
        <v>41161</v>
      </c>
      <c r="D4712" s="1">
        <v>41182</v>
      </c>
      <c r="E4712">
        <v>3</v>
      </c>
      <c r="F4712" t="s">
        <v>309</v>
      </c>
      <c r="G4712" t="s">
        <v>16</v>
      </c>
      <c r="H4712" t="s">
        <v>3724</v>
      </c>
      <c r="I4712">
        <v>2.0381</v>
      </c>
      <c r="J4712">
        <v>47051.3</v>
      </c>
      <c r="K4712">
        <v>23085.864285363819</v>
      </c>
    </row>
    <row r="4713" spans="1:11" x14ac:dyDescent="0.25">
      <c r="A4713" t="s">
        <v>2468</v>
      </c>
      <c r="B4713" t="s">
        <v>2469</v>
      </c>
      <c r="C4713" s="1">
        <v>41165</v>
      </c>
      <c r="D4713" s="1">
        <v>41185</v>
      </c>
      <c r="E4713">
        <v>62</v>
      </c>
      <c r="F4713" t="s">
        <v>301</v>
      </c>
      <c r="G4713" t="s">
        <v>16</v>
      </c>
      <c r="H4713" t="s">
        <v>6948</v>
      </c>
      <c r="I4713">
        <v>2.0204</v>
      </c>
      <c r="J4713">
        <v>31820.79</v>
      </c>
      <c r="K4713">
        <v>15749.747574737676</v>
      </c>
    </row>
    <row r="4714" spans="1:11" x14ac:dyDescent="0.25">
      <c r="A4714" t="s">
        <v>2468</v>
      </c>
      <c r="B4714" t="s">
        <v>2469</v>
      </c>
      <c r="C4714" s="1">
        <v>41197</v>
      </c>
      <c r="D4714" s="1">
        <v>41217</v>
      </c>
      <c r="E4714">
        <v>62</v>
      </c>
      <c r="F4714" t="s">
        <v>301</v>
      </c>
      <c r="G4714" t="s">
        <v>16</v>
      </c>
      <c r="H4714" t="s">
        <v>3725</v>
      </c>
      <c r="I4714">
        <v>2.0369000000000002</v>
      </c>
      <c r="J4714">
        <v>12719.99</v>
      </c>
      <c r="K4714">
        <v>6244.778830575875</v>
      </c>
    </row>
    <row r="4715" spans="1:11" x14ac:dyDescent="0.25">
      <c r="A4715" t="s">
        <v>2826</v>
      </c>
      <c r="B4715" t="s">
        <v>2827</v>
      </c>
      <c r="C4715" s="1">
        <v>41212</v>
      </c>
      <c r="D4715" s="1">
        <v>41212</v>
      </c>
      <c r="E4715">
        <v>4839</v>
      </c>
      <c r="F4715" t="s">
        <v>309</v>
      </c>
      <c r="G4715" t="s">
        <v>16</v>
      </c>
      <c r="H4715" t="s">
        <v>6949</v>
      </c>
      <c r="I4715">
        <v>2.0295999999999998</v>
      </c>
      <c r="J4715">
        <v>146793.24</v>
      </c>
      <c r="K4715">
        <v>72326.192353173043</v>
      </c>
    </row>
    <row r="4716" spans="1:11" x14ac:dyDescent="0.25">
      <c r="A4716" t="s">
        <v>799</v>
      </c>
      <c r="B4716" t="s">
        <v>800</v>
      </c>
      <c r="C4716" s="1">
        <v>41207</v>
      </c>
      <c r="D4716" s="1">
        <v>41212</v>
      </c>
      <c r="E4716">
        <v>4856</v>
      </c>
      <c r="F4716" t="s">
        <v>301</v>
      </c>
      <c r="G4716" t="s">
        <v>16</v>
      </c>
      <c r="H4716" t="s">
        <v>6950</v>
      </c>
      <c r="I4716">
        <v>2.0263</v>
      </c>
      <c r="J4716">
        <v>42300.01</v>
      </c>
      <c r="K4716">
        <v>20875.492276563193</v>
      </c>
    </row>
    <row r="4717" spans="1:11" x14ac:dyDescent="0.25">
      <c r="A4717" t="s">
        <v>1388</v>
      </c>
      <c r="B4717" t="s">
        <v>1389</v>
      </c>
      <c r="C4717" s="1">
        <v>41169</v>
      </c>
      <c r="D4717" s="1">
        <v>41173</v>
      </c>
      <c r="E4717">
        <v>4846</v>
      </c>
      <c r="F4717" t="s">
        <v>665</v>
      </c>
      <c r="G4717" t="s">
        <v>16</v>
      </c>
      <c r="H4717" t="s">
        <v>3726</v>
      </c>
      <c r="I4717">
        <v>2.0135999999999998</v>
      </c>
      <c r="J4717">
        <v>18831.900000000001</v>
      </c>
      <c r="K4717">
        <v>9352.3539928486298</v>
      </c>
    </row>
    <row r="4718" spans="1:11" x14ac:dyDescent="0.25">
      <c r="A4718" t="s">
        <v>832</v>
      </c>
      <c r="B4718" t="s">
        <v>144</v>
      </c>
      <c r="C4718" s="1">
        <v>41164</v>
      </c>
      <c r="D4718" s="1">
        <v>41173</v>
      </c>
      <c r="E4718">
        <v>4889</v>
      </c>
      <c r="F4718" t="s">
        <v>318</v>
      </c>
      <c r="G4718" t="s">
        <v>16</v>
      </c>
      <c r="H4718" t="s">
        <v>6951</v>
      </c>
      <c r="I4718">
        <v>2.0196999999999998</v>
      </c>
      <c r="J4718">
        <v>292089.23</v>
      </c>
      <c r="K4718">
        <v>144620.10694657621</v>
      </c>
    </row>
    <row r="4719" spans="1:11" x14ac:dyDescent="0.25">
      <c r="A4719" t="s">
        <v>808</v>
      </c>
      <c r="B4719" t="s">
        <v>809</v>
      </c>
      <c r="C4719" s="1">
        <v>41170</v>
      </c>
      <c r="D4719" s="1">
        <v>41177</v>
      </c>
      <c r="E4719">
        <v>4825</v>
      </c>
      <c r="F4719" t="s">
        <v>331</v>
      </c>
      <c r="G4719" t="s">
        <v>16</v>
      </c>
      <c r="H4719" t="s">
        <v>3727</v>
      </c>
      <c r="I4719">
        <v>2.0312000000000001</v>
      </c>
      <c r="J4719">
        <v>38980.03</v>
      </c>
      <c r="K4719">
        <v>19190.641000393854</v>
      </c>
    </row>
    <row r="4720" spans="1:11" x14ac:dyDescent="0.25">
      <c r="A4720" t="s">
        <v>808</v>
      </c>
      <c r="B4720" t="s">
        <v>809</v>
      </c>
      <c r="C4720" s="1">
        <v>41171</v>
      </c>
      <c r="D4720" s="1">
        <v>41177</v>
      </c>
      <c r="E4720">
        <v>4825</v>
      </c>
      <c r="F4720" t="s">
        <v>331</v>
      </c>
      <c r="G4720" t="s">
        <v>16</v>
      </c>
      <c r="H4720" t="s">
        <v>6952</v>
      </c>
      <c r="I4720">
        <v>2.0274000000000001</v>
      </c>
      <c r="J4720">
        <v>62965.81</v>
      </c>
      <c r="K4720">
        <v>31057.418368353556</v>
      </c>
    </row>
    <row r="4721" spans="1:11" x14ac:dyDescent="0.25">
      <c r="A4721" t="s">
        <v>808</v>
      </c>
      <c r="B4721" t="s">
        <v>809</v>
      </c>
      <c r="C4721" s="1">
        <v>41170</v>
      </c>
      <c r="D4721" s="1">
        <v>41177</v>
      </c>
      <c r="E4721">
        <v>4825</v>
      </c>
      <c r="F4721" t="s">
        <v>331</v>
      </c>
      <c r="G4721" t="s">
        <v>16</v>
      </c>
      <c r="H4721" t="s">
        <v>6953</v>
      </c>
      <c r="I4721">
        <v>2.0312000000000001</v>
      </c>
      <c r="J4721">
        <v>46627.85</v>
      </c>
      <c r="K4721">
        <v>22955.81429696731</v>
      </c>
    </row>
    <row r="4722" spans="1:11" x14ac:dyDescent="0.25">
      <c r="A4722" t="s">
        <v>804</v>
      </c>
      <c r="B4722" t="s">
        <v>805</v>
      </c>
      <c r="C4722" s="1">
        <v>41169</v>
      </c>
      <c r="D4722" s="1">
        <v>41181</v>
      </c>
      <c r="E4722">
        <v>34</v>
      </c>
      <c r="F4722" t="s">
        <v>331</v>
      </c>
      <c r="G4722" t="s">
        <v>16</v>
      </c>
      <c r="H4722" t="s">
        <v>6954</v>
      </c>
      <c r="I4722">
        <v>2.0135999999999998</v>
      </c>
      <c r="J4722">
        <v>50017.97</v>
      </c>
      <c r="K4722">
        <v>24840.072506952722</v>
      </c>
    </row>
    <row r="4723" spans="1:11" x14ac:dyDescent="0.25">
      <c r="A4723" t="s">
        <v>3728</v>
      </c>
      <c r="B4723" t="s">
        <v>3729</v>
      </c>
      <c r="C4723" s="1">
        <v>41176</v>
      </c>
      <c r="D4723" s="1">
        <v>41182</v>
      </c>
      <c r="E4723">
        <v>4921</v>
      </c>
      <c r="F4723" t="s">
        <v>309</v>
      </c>
      <c r="G4723" t="s">
        <v>16</v>
      </c>
      <c r="H4723" t="s">
        <v>3730</v>
      </c>
      <c r="I4723">
        <v>2.024</v>
      </c>
      <c r="J4723">
        <v>22240.62</v>
      </c>
      <c r="K4723">
        <v>10988.44861660079</v>
      </c>
    </row>
    <row r="4724" spans="1:11" x14ac:dyDescent="0.25">
      <c r="A4724" t="s">
        <v>808</v>
      </c>
      <c r="B4724" t="s">
        <v>809</v>
      </c>
      <c r="C4724" s="1">
        <v>41168</v>
      </c>
      <c r="D4724" s="1">
        <v>41182</v>
      </c>
      <c r="E4724">
        <v>4825</v>
      </c>
      <c r="F4724" t="s">
        <v>331</v>
      </c>
      <c r="G4724" t="s">
        <v>16</v>
      </c>
      <c r="H4724" t="s">
        <v>3731</v>
      </c>
      <c r="I4724">
        <v>2.0139</v>
      </c>
      <c r="J4724">
        <v>47268.31</v>
      </c>
      <c r="K4724">
        <v>23471.031332240924</v>
      </c>
    </row>
    <row r="4725" spans="1:11" x14ac:dyDescent="0.25">
      <c r="A4725" t="s">
        <v>1444</v>
      </c>
      <c r="C4725" s="1">
        <v>41204</v>
      </c>
      <c r="D4725" s="1">
        <v>41205</v>
      </c>
      <c r="E4725">
        <v>8826</v>
      </c>
      <c r="F4725" t="s">
        <v>421</v>
      </c>
      <c r="G4725" t="s">
        <v>16</v>
      </c>
      <c r="H4725" t="s">
        <v>3732</v>
      </c>
      <c r="I4725">
        <v>2.0272000000000001</v>
      </c>
      <c r="J4725">
        <v>109.01</v>
      </c>
      <c r="K4725">
        <v>53.773677979479082</v>
      </c>
    </row>
    <row r="4726" spans="1:11" x14ac:dyDescent="0.25">
      <c r="A4726" t="s">
        <v>3733</v>
      </c>
      <c r="B4726" t="s">
        <v>3734</v>
      </c>
      <c r="C4726" s="1">
        <v>41207</v>
      </c>
      <c r="D4726" s="1">
        <v>41213</v>
      </c>
      <c r="E4726">
        <v>4850</v>
      </c>
      <c r="F4726" t="s">
        <v>331</v>
      </c>
      <c r="G4726" t="s">
        <v>16</v>
      </c>
      <c r="H4726" t="s">
        <v>3735</v>
      </c>
      <c r="I4726">
        <v>2.0263</v>
      </c>
      <c r="J4726">
        <v>64448.639999999999</v>
      </c>
      <c r="K4726">
        <v>31806.070177170212</v>
      </c>
    </row>
    <row r="4727" spans="1:11" x14ac:dyDescent="0.25">
      <c r="A4727" t="s">
        <v>1429</v>
      </c>
      <c r="B4727" t="s">
        <v>1430</v>
      </c>
      <c r="C4727" s="1">
        <v>41197</v>
      </c>
      <c r="D4727" s="1">
        <v>41205</v>
      </c>
      <c r="E4727">
        <v>5441</v>
      </c>
      <c r="F4727" t="s">
        <v>301</v>
      </c>
      <c r="G4727" t="s">
        <v>16</v>
      </c>
      <c r="H4727" t="s">
        <v>6955</v>
      </c>
      <c r="I4727">
        <v>2.0369000000000002</v>
      </c>
      <c r="J4727">
        <v>14745</v>
      </c>
      <c r="K4727">
        <v>7238.9415287937554</v>
      </c>
    </row>
    <row r="4728" spans="1:11" x14ac:dyDescent="0.25">
      <c r="A4728" t="s">
        <v>808</v>
      </c>
      <c r="B4728" t="s">
        <v>809</v>
      </c>
      <c r="C4728" s="1">
        <v>41170</v>
      </c>
      <c r="D4728" s="1">
        <v>41173</v>
      </c>
      <c r="E4728">
        <v>4825</v>
      </c>
      <c r="F4728" t="s">
        <v>331</v>
      </c>
      <c r="G4728" t="s">
        <v>16</v>
      </c>
      <c r="H4728" t="s">
        <v>6956</v>
      </c>
      <c r="I4728">
        <v>2.0312000000000001</v>
      </c>
      <c r="J4728">
        <v>63719.29</v>
      </c>
      <c r="K4728">
        <v>31370.268806616779</v>
      </c>
    </row>
    <row r="4729" spans="1:11" x14ac:dyDescent="0.25">
      <c r="A4729" t="s">
        <v>808</v>
      </c>
      <c r="B4729" t="s">
        <v>809</v>
      </c>
      <c r="C4729" s="1">
        <v>41169</v>
      </c>
      <c r="D4729" s="1">
        <v>41173</v>
      </c>
      <c r="E4729">
        <v>4825</v>
      </c>
      <c r="F4729" t="s">
        <v>331</v>
      </c>
      <c r="G4729" t="s">
        <v>16</v>
      </c>
      <c r="H4729" t="s">
        <v>3736</v>
      </c>
      <c r="I4729">
        <v>2.0135999999999998</v>
      </c>
      <c r="J4729">
        <v>47029.71</v>
      </c>
      <c r="K4729">
        <v>23356.033969010728</v>
      </c>
    </row>
    <row r="4730" spans="1:11" x14ac:dyDescent="0.25">
      <c r="A4730" t="s">
        <v>787</v>
      </c>
      <c r="B4730" t="s">
        <v>788</v>
      </c>
      <c r="C4730" s="1">
        <v>41205</v>
      </c>
      <c r="D4730" s="1">
        <v>41207</v>
      </c>
      <c r="E4730">
        <v>5709</v>
      </c>
      <c r="F4730" t="s">
        <v>309</v>
      </c>
      <c r="G4730" t="s">
        <v>16</v>
      </c>
      <c r="H4730" t="s">
        <v>3737</v>
      </c>
      <c r="I4730">
        <v>2.0266000000000002</v>
      </c>
      <c r="J4730">
        <v>76425.5</v>
      </c>
      <c r="K4730">
        <v>37711.191157603869</v>
      </c>
    </row>
    <row r="4731" spans="1:11" x14ac:dyDescent="0.25">
      <c r="A4731" t="s">
        <v>814</v>
      </c>
      <c r="B4731" t="s">
        <v>815</v>
      </c>
      <c r="C4731" s="1">
        <v>41204</v>
      </c>
      <c r="D4731" s="1">
        <v>41219</v>
      </c>
      <c r="E4731">
        <v>9884</v>
      </c>
      <c r="F4731" t="s">
        <v>642</v>
      </c>
      <c r="G4731" t="s">
        <v>16</v>
      </c>
      <c r="H4731" t="s">
        <v>3738</v>
      </c>
      <c r="I4731">
        <v>2.0272000000000001</v>
      </c>
      <c r="J4731">
        <v>43400</v>
      </c>
      <c r="K4731">
        <v>21408.839779005524</v>
      </c>
    </row>
    <row r="4732" spans="1:11" x14ac:dyDescent="0.25">
      <c r="A4732" t="s">
        <v>799</v>
      </c>
      <c r="B4732" t="s">
        <v>800</v>
      </c>
      <c r="C4732" s="1">
        <v>41227</v>
      </c>
      <c r="D4732" s="1">
        <v>41235</v>
      </c>
      <c r="E4732">
        <v>4856</v>
      </c>
      <c r="F4732" t="s">
        <v>301</v>
      </c>
      <c r="G4732" t="s">
        <v>16</v>
      </c>
      <c r="H4732" t="s">
        <v>6957</v>
      </c>
      <c r="I4732">
        <v>2.0613999999999999</v>
      </c>
      <c r="J4732">
        <v>43020</v>
      </c>
      <c r="K4732">
        <v>20869.312117978072</v>
      </c>
    </row>
    <row r="4733" spans="1:11" x14ac:dyDescent="0.25">
      <c r="A4733" t="s">
        <v>2869</v>
      </c>
      <c r="B4733" t="s">
        <v>144</v>
      </c>
      <c r="C4733" s="1">
        <v>41226</v>
      </c>
      <c r="D4733" s="1">
        <v>41232</v>
      </c>
      <c r="E4733">
        <v>9265</v>
      </c>
      <c r="F4733" t="s">
        <v>2481</v>
      </c>
      <c r="G4733" t="s">
        <v>16</v>
      </c>
      <c r="H4733" t="s">
        <v>6958</v>
      </c>
      <c r="I4733">
        <v>1</v>
      </c>
      <c r="J4733">
        <v>55137.599999999999</v>
      </c>
      <c r="K4733">
        <v>55137.599999999999</v>
      </c>
    </row>
    <row r="4734" spans="1:11" x14ac:dyDescent="0.25">
      <c r="A4734" t="s">
        <v>799</v>
      </c>
      <c r="B4734" t="s">
        <v>800</v>
      </c>
      <c r="C4734" s="1">
        <v>41237</v>
      </c>
      <c r="D4734" s="1">
        <v>41247</v>
      </c>
      <c r="E4734">
        <v>4856</v>
      </c>
      <c r="F4734" t="s">
        <v>301</v>
      </c>
      <c r="G4734" t="s">
        <v>16</v>
      </c>
      <c r="H4734" t="s">
        <v>6959</v>
      </c>
      <c r="I4734">
        <v>2.0985</v>
      </c>
      <c r="J4734">
        <v>43740</v>
      </c>
      <c r="K4734">
        <v>20843.459614010007</v>
      </c>
    </row>
    <row r="4735" spans="1:11" x14ac:dyDescent="0.25">
      <c r="A4735" t="s">
        <v>6960</v>
      </c>
      <c r="B4735" t="s">
        <v>6961</v>
      </c>
      <c r="C4735" s="1">
        <v>41199</v>
      </c>
      <c r="D4735" s="1">
        <v>41214</v>
      </c>
      <c r="E4735">
        <v>9623</v>
      </c>
      <c r="F4735" t="s">
        <v>301</v>
      </c>
      <c r="G4735" t="s">
        <v>16</v>
      </c>
      <c r="H4735" t="s">
        <v>6962</v>
      </c>
      <c r="I4735">
        <v>2.0350999999999999</v>
      </c>
      <c r="J4735">
        <v>358176</v>
      </c>
      <c r="K4735">
        <v>175999.21379784777</v>
      </c>
    </row>
    <row r="4736" spans="1:11" x14ac:dyDescent="0.25">
      <c r="A4736" t="s">
        <v>799</v>
      </c>
      <c r="B4736" t="s">
        <v>800</v>
      </c>
      <c r="C4736" s="1">
        <v>41238</v>
      </c>
      <c r="D4736" s="1">
        <v>41247</v>
      </c>
      <c r="E4736">
        <v>4856</v>
      </c>
      <c r="F4736" t="s">
        <v>301</v>
      </c>
      <c r="G4736" t="s">
        <v>16</v>
      </c>
      <c r="H4736" t="s">
        <v>6963</v>
      </c>
      <c r="I4736">
        <v>2.0985</v>
      </c>
      <c r="J4736">
        <v>43740</v>
      </c>
      <c r="K4736">
        <v>20843.459614010007</v>
      </c>
    </row>
    <row r="4737" spans="1:11" x14ac:dyDescent="0.25">
      <c r="A4737" t="s">
        <v>799</v>
      </c>
      <c r="B4737" t="s">
        <v>800</v>
      </c>
      <c r="C4737" s="1">
        <v>41236</v>
      </c>
      <c r="D4737" s="1">
        <v>41247</v>
      </c>
      <c r="E4737">
        <v>4856</v>
      </c>
      <c r="F4737" t="s">
        <v>301</v>
      </c>
      <c r="G4737" t="s">
        <v>16</v>
      </c>
      <c r="H4737" t="s">
        <v>6964</v>
      </c>
      <c r="I4737">
        <v>2.0912000000000002</v>
      </c>
      <c r="J4737">
        <v>16489.990000000002</v>
      </c>
      <c r="K4737">
        <v>7885.4198546289208</v>
      </c>
    </row>
    <row r="4738" spans="1:11" x14ac:dyDescent="0.25">
      <c r="A4738" t="s">
        <v>1429</v>
      </c>
      <c r="B4738" t="s">
        <v>1430</v>
      </c>
      <c r="C4738" s="1">
        <v>41239</v>
      </c>
      <c r="D4738" s="1">
        <v>41247</v>
      </c>
      <c r="E4738">
        <v>5441</v>
      </c>
      <c r="F4738" t="s">
        <v>301</v>
      </c>
      <c r="G4738" t="s">
        <v>16</v>
      </c>
      <c r="H4738" t="s">
        <v>3739</v>
      </c>
      <c r="I4738">
        <v>2.0985</v>
      </c>
      <c r="J4738">
        <v>43740</v>
      </c>
      <c r="K4738">
        <v>20843.459614010007</v>
      </c>
    </row>
    <row r="4739" spans="1:11" x14ac:dyDescent="0.25">
      <c r="A4739" t="s">
        <v>835</v>
      </c>
      <c r="B4739" t="s">
        <v>836</v>
      </c>
      <c r="C4739" s="1">
        <v>41293</v>
      </c>
      <c r="D4739" s="1">
        <v>41298</v>
      </c>
      <c r="E4739">
        <v>11334</v>
      </c>
      <c r="F4739" t="s">
        <v>331</v>
      </c>
      <c r="G4739" t="s">
        <v>16</v>
      </c>
      <c r="H4739" t="s">
        <v>3740</v>
      </c>
      <c r="I4739">
        <v>2.0440999999999998</v>
      </c>
      <c r="J4739">
        <v>61456.87</v>
      </c>
      <c r="K4739">
        <v>30065.490925101512</v>
      </c>
    </row>
    <row r="4740" spans="1:11" x14ac:dyDescent="0.25">
      <c r="A4740" t="s">
        <v>821</v>
      </c>
      <c r="B4740" t="s">
        <v>822</v>
      </c>
      <c r="C4740" s="1">
        <v>41290</v>
      </c>
      <c r="D4740" s="1">
        <v>41292</v>
      </c>
      <c r="E4740">
        <v>11833</v>
      </c>
      <c r="F4740" t="s">
        <v>331</v>
      </c>
      <c r="G4740" t="s">
        <v>16</v>
      </c>
      <c r="H4740" t="s">
        <v>6965</v>
      </c>
      <c r="I4740">
        <v>2.0373999999999999</v>
      </c>
      <c r="J4740">
        <v>69242.33</v>
      </c>
      <c r="K4740">
        <v>33985.633650731324</v>
      </c>
    </row>
    <row r="4741" spans="1:11" x14ac:dyDescent="0.25">
      <c r="A4741" t="s">
        <v>821</v>
      </c>
      <c r="B4741" t="s">
        <v>822</v>
      </c>
      <c r="C4741" s="1">
        <v>41291</v>
      </c>
      <c r="D4741" s="1">
        <v>41292</v>
      </c>
      <c r="E4741">
        <v>11833</v>
      </c>
      <c r="F4741" t="s">
        <v>331</v>
      </c>
      <c r="G4741" t="s">
        <v>16</v>
      </c>
      <c r="H4741" t="s">
        <v>3741</v>
      </c>
      <c r="I4741">
        <v>2.0409000000000002</v>
      </c>
      <c r="J4741">
        <v>50896.31</v>
      </c>
      <c r="K4741">
        <v>24938.169435053162</v>
      </c>
    </row>
    <row r="4742" spans="1:11" x14ac:dyDescent="0.25">
      <c r="A4742" t="s">
        <v>835</v>
      </c>
      <c r="B4742" t="s">
        <v>836</v>
      </c>
      <c r="C4742" s="1">
        <v>41296</v>
      </c>
      <c r="D4742" s="1">
        <v>41298</v>
      </c>
      <c r="E4742">
        <v>11334</v>
      </c>
      <c r="F4742" t="s">
        <v>331</v>
      </c>
      <c r="G4742" t="s">
        <v>16</v>
      </c>
      <c r="H4742" t="s">
        <v>6966</v>
      </c>
      <c r="I4742">
        <v>2.0419999999999998</v>
      </c>
      <c r="J4742">
        <v>87009.63</v>
      </c>
      <c r="K4742">
        <v>42610.004897159648</v>
      </c>
    </row>
    <row r="4743" spans="1:11" x14ac:dyDescent="0.25">
      <c r="A4743" t="s">
        <v>835</v>
      </c>
      <c r="B4743" t="s">
        <v>836</v>
      </c>
      <c r="C4743" s="1">
        <v>41296</v>
      </c>
      <c r="D4743" s="1">
        <v>41298</v>
      </c>
      <c r="E4743">
        <v>11334</v>
      </c>
      <c r="F4743" t="s">
        <v>331</v>
      </c>
      <c r="G4743" t="s">
        <v>16</v>
      </c>
      <c r="H4743" t="s">
        <v>6967</v>
      </c>
      <c r="I4743">
        <v>2.0419999999999998</v>
      </c>
      <c r="J4743">
        <v>63410.6</v>
      </c>
      <c r="K4743">
        <v>31053.183153770813</v>
      </c>
    </row>
    <row r="4744" spans="1:11" x14ac:dyDescent="0.25">
      <c r="A4744" t="s">
        <v>821</v>
      </c>
      <c r="B4744" t="s">
        <v>822</v>
      </c>
      <c r="C4744" s="1">
        <v>41290</v>
      </c>
      <c r="D4744" s="1">
        <v>41292</v>
      </c>
      <c r="E4744">
        <v>11833</v>
      </c>
      <c r="F4744" t="s">
        <v>331</v>
      </c>
      <c r="G4744" t="s">
        <v>16</v>
      </c>
      <c r="H4744" t="s">
        <v>3742</v>
      </c>
      <c r="I4744">
        <v>2.0373999999999999</v>
      </c>
      <c r="J4744">
        <v>55788.58</v>
      </c>
      <c r="K4744">
        <v>27382.242073230587</v>
      </c>
    </row>
    <row r="4745" spans="1:11" x14ac:dyDescent="0.25">
      <c r="A4745" t="s">
        <v>1429</v>
      </c>
      <c r="B4745" t="s">
        <v>1430</v>
      </c>
      <c r="C4745" s="1">
        <v>41254</v>
      </c>
      <c r="D4745" s="1">
        <v>41260</v>
      </c>
      <c r="E4745">
        <v>5441</v>
      </c>
      <c r="F4745" t="s">
        <v>301</v>
      </c>
      <c r="G4745" t="s">
        <v>16</v>
      </c>
      <c r="H4745" t="s">
        <v>6968</v>
      </c>
      <c r="I4745">
        <v>2.081</v>
      </c>
      <c r="J4745">
        <v>42700</v>
      </c>
      <c r="K4745">
        <v>20518.981259010092</v>
      </c>
    </row>
    <row r="4746" spans="1:11" x14ac:dyDescent="0.25">
      <c r="A4746" t="s">
        <v>3743</v>
      </c>
      <c r="B4746" t="s">
        <v>596</v>
      </c>
      <c r="C4746" s="1">
        <v>41255</v>
      </c>
      <c r="D4746" s="1">
        <v>41263</v>
      </c>
      <c r="E4746">
        <v>5468</v>
      </c>
      <c r="F4746" t="s">
        <v>311</v>
      </c>
      <c r="G4746" t="s">
        <v>16</v>
      </c>
      <c r="H4746" t="s">
        <v>3744</v>
      </c>
      <c r="I4746">
        <v>2.0743</v>
      </c>
      <c r="J4746">
        <v>18663.3</v>
      </c>
      <c r="K4746">
        <v>8997.3967121438563</v>
      </c>
    </row>
    <row r="4747" spans="1:11" x14ac:dyDescent="0.25">
      <c r="A4747" t="s">
        <v>774</v>
      </c>
      <c r="B4747" t="s">
        <v>775</v>
      </c>
      <c r="C4747" s="1">
        <v>41258</v>
      </c>
      <c r="D4747" s="1">
        <v>41263</v>
      </c>
      <c r="E4747">
        <v>4826</v>
      </c>
      <c r="F4747" t="s">
        <v>311</v>
      </c>
      <c r="G4747" t="s">
        <v>16</v>
      </c>
      <c r="H4747" t="s">
        <v>2403</v>
      </c>
      <c r="I4747">
        <v>2.0840000000000001</v>
      </c>
      <c r="J4747">
        <v>389063.35</v>
      </c>
      <c r="K4747">
        <v>186690.66698656429</v>
      </c>
    </row>
    <row r="4748" spans="1:11" x14ac:dyDescent="0.25">
      <c r="A4748" t="s">
        <v>838</v>
      </c>
      <c r="B4748" t="s">
        <v>839</v>
      </c>
      <c r="C4748" s="1">
        <v>41264</v>
      </c>
      <c r="D4748" s="1">
        <v>41272</v>
      </c>
      <c r="E4748">
        <v>11333</v>
      </c>
      <c r="F4748" t="s">
        <v>331</v>
      </c>
      <c r="G4748" t="s">
        <v>16</v>
      </c>
      <c r="H4748" t="s">
        <v>3745</v>
      </c>
      <c r="I4748">
        <v>2.0653999999999999</v>
      </c>
      <c r="J4748">
        <v>63924.74</v>
      </c>
      <c r="K4748">
        <v>30950.295342306574</v>
      </c>
    </row>
    <row r="4749" spans="1:11" x14ac:dyDescent="0.25">
      <c r="A4749" t="s">
        <v>1453</v>
      </c>
      <c r="B4749" t="s">
        <v>1454</v>
      </c>
      <c r="C4749" s="1">
        <v>41290</v>
      </c>
      <c r="D4749" s="1">
        <v>41295</v>
      </c>
      <c r="E4749">
        <v>8781</v>
      </c>
      <c r="F4749" t="s">
        <v>309</v>
      </c>
      <c r="G4749" t="s">
        <v>16</v>
      </c>
      <c r="H4749" t="s">
        <v>6969</v>
      </c>
      <c r="I4749">
        <v>2.0373999999999999</v>
      </c>
      <c r="J4749">
        <v>60129.81</v>
      </c>
      <c r="K4749">
        <v>29513.011681554923</v>
      </c>
    </row>
    <row r="4750" spans="1:11" x14ac:dyDescent="0.25">
      <c r="A4750" t="s">
        <v>799</v>
      </c>
      <c r="B4750" t="s">
        <v>800</v>
      </c>
      <c r="C4750" s="1">
        <v>41262</v>
      </c>
      <c r="D4750" s="1">
        <v>41277</v>
      </c>
      <c r="E4750">
        <v>4856</v>
      </c>
      <c r="F4750" t="s">
        <v>301</v>
      </c>
      <c r="G4750" t="s">
        <v>16</v>
      </c>
      <c r="H4750" t="s">
        <v>3746</v>
      </c>
      <c r="I4750">
        <v>2.0966</v>
      </c>
      <c r="J4750">
        <v>233628.48</v>
      </c>
      <c r="K4750">
        <v>111432.07097204999</v>
      </c>
    </row>
    <row r="4751" spans="1:11" x14ac:dyDescent="0.25">
      <c r="A4751" t="s">
        <v>2869</v>
      </c>
      <c r="B4751" t="s">
        <v>144</v>
      </c>
      <c r="C4751" s="1">
        <v>41261</v>
      </c>
      <c r="D4751" s="1">
        <v>41272</v>
      </c>
      <c r="E4751">
        <v>9265</v>
      </c>
      <c r="F4751" t="s">
        <v>2481</v>
      </c>
      <c r="G4751" t="s">
        <v>16</v>
      </c>
      <c r="H4751" t="s">
        <v>3747</v>
      </c>
      <c r="I4751">
        <v>2.0901999999999998</v>
      </c>
      <c r="J4751">
        <v>20802</v>
      </c>
      <c r="K4751">
        <v>9952.1576882594964</v>
      </c>
    </row>
    <row r="4752" spans="1:11" x14ac:dyDescent="0.25">
      <c r="A4752" t="s">
        <v>2419</v>
      </c>
      <c r="B4752" t="s">
        <v>2420</v>
      </c>
      <c r="C4752" s="1">
        <v>41255</v>
      </c>
      <c r="D4752" s="1">
        <v>41264</v>
      </c>
      <c r="E4752">
        <v>4845</v>
      </c>
      <c r="F4752" t="s">
        <v>280</v>
      </c>
      <c r="G4752" t="s">
        <v>16</v>
      </c>
      <c r="H4752" t="s">
        <v>392</v>
      </c>
      <c r="I4752">
        <v>2.0743</v>
      </c>
      <c r="J4752">
        <v>61814.14</v>
      </c>
      <c r="K4752">
        <v>29800</v>
      </c>
    </row>
    <row r="4753" spans="1:11" x14ac:dyDescent="0.25">
      <c r="A4753" t="s">
        <v>838</v>
      </c>
      <c r="B4753" t="s">
        <v>839</v>
      </c>
      <c r="C4753" s="1">
        <v>41263</v>
      </c>
      <c r="D4753" s="1">
        <v>41270</v>
      </c>
      <c r="E4753">
        <v>11333</v>
      </c>
      <c r="F4753" t="s">
        <v>331</v>
      </c>
      <c r="G4753" t="s">
        <v>16</v>
      </c>
      <c r="H4753" t="s">
        <v>3748</v>
      </c>
      <c r="I4753">
        <v>2.0790999999999999</v>
      </c>
      <c r="J4753">
        <v>62348.04</v>
      </c>
      <c r="K4753">
        <v>29987.994805444665</v>
      </c>
    </row>
    <row r="4754" spans="1:11" x14ac:dyDescent="0.25">
      <c r="A4754" t="s">
        <v>835</v>
      </c>
      <c r="B4754" t="s">
        <v>836</v>
      </c>
      <c r="C4754" s="1">
        <v>41293</v>
      </c>
      <c r="D4754" s="1">
        <v>41295</v>
      </c>
      <c r="E4754">
        <v>11334</v>
      </c>
      <c r="F4754" t="s">
        <v>331</v>
      </c>
      <c r="G4754" t="s">
        <v>16</v>
      </c>
      <c r="H4754" t="s">
        <v>3749</v>
      </c>
      <c r="I4754">
        <v>2.0440999999999998</v>
      </c>
      <c r="J4754">
        <v>61491.14</v>
      </c>
      <c r="K4754">
        <v>30082.256249694241</v>
      </c>
    </row>
    <row r="4755" spans="1:11" x14ac:dyDescent="0.25">
      <c r="A4755" t="s">
        <v>848</v>
      </c>
      <c r="B4755" t="s">
        <v>849</v>
      </c>
      <c r="C4755" s="1">
        <v>41313</v>
      </c>
      <c r="D4755" s="1">
        <v>41318</v>
      </c>
      <c r="E4755">
        <v>11834</v>
      </c>
      <c r="F4755" t="s">
        <v>331</v>
      </c>
      <c r="G4755" t="s">
        <v>16</v>
      </c>
      <c r="H4755" t="s">
        <v>3750</v>
      </c>
      <c r="I4755">
        <v>1.9789000000000001</v>
      </c>
      <c r="J4755">
        <v>37393.550000000003</v>
      </c>
      <c r="K4755">
        <v>18896.129162666126</v>
      </c>
    </row>
    <row r="4756" spans="1:11" x14ac:dyDescent="0.25">
      <c r="A4756" t="s">
        <v>848</v>
      </c>
      <c r="B4756" t="s">
        <v>849</v>
      </c>
      <c r="C4756" s="1">
        <v>41309</v>
      </c>
      <c r="D4756" s="1">
        <v>41317</v>
      </c>
      <c r="E4756">
        <v>11834</v>
      </c>
      <c r="F4756" t="s">
        <v>331</v>
      </c>
      <c r="G4756" t="s">
        <v>16</v>
      </c>
      <c r="H4756" t="s">
        <v>6970</v>
      </c>
      <c r="I4756">
        <v>1.9843</v>
      </c>
      <c r="J4756">
        <v>37130</v>
      </c>
      <c r="K4756">
        <v>18711.888323338204</v>
      </c>
    </row>
    <row r="4757" spans="1:11" x14ac:dyDescent="0.25">
      <c r="A4757" t="s">
        <v>848</v>
      </c>
      <c r="B4757" t="s">
        <v>849</v>
      </c>
      <c r="C4757" s="1">
        <v>41309</v>
      </c>
      <c r="D4757" s="1">
        <v>41316</v>
      </c>
      <c r="E4757">
        <v>11834</v>
      </c>
      <c r="F4757" t="s">
        <v>331</v>
      </c>
      <c r="G4757" t="s">
        <v>16</v>
      </c>
      <c r="H4757" t="s">
        <v>6971</v>
      </c>
      <c r="I4757">
        <v>1.9843</v>
      </c>
      <c r="J4757">
        <v>38022.01</v>
      </c>
      <c r="K4757">
        <v>19161.422163987299</v>
      </c>
    </row>
    <row r="4758" spans="1:11" x14ac:dyDescent="0.25">
      <c r="A4758" t="s">
        <v>848</v>
      </c>
      <c r="B4758" t="s">
        <v>849</v>
      </c>
      <c r="C4758" s="1">
        <v>41313</v>
      </c>
      <c r="D4758" s="1">
        <v>41317</v>
      </c>
      <c r="E4758">
        <v>11834</v>
      </c>
      <c r="F4758" t="s">
        <v>331</v>
      </c>
      <c r="G4758" t="s">
        <v>16</v>
      </c>
      <c r="H4758" t="s">
        <v>6972</v>
      </c>
      <c r="I4758">
        <v>1.9789000000000001</v>
      </c>
      <c r="J4758">
        <v>37535.46</v>
      </c>
      <c r="K4758">
        <v>18967.840719591692</v>
      </c>
    </row>
    <row r="4759" spans="1:11" x14ac:dyDescent="0.25">
      <c r="A4759" t="s">
        <v>852</v>
      </c>
      <c r="B4759" t="s">
        <v>853</v>
      </c>
      <c r="C4759" s="1">
        <v>41312</v>
      </c>
      <c r="D4759" s="1">
        <v>41320</v>
      </c>
      <c r="E4759">
        <v>11335</v>
      </c>
      <c r="F4759" t="s">
        <v>331</v>
      </c>
      <c r="G4759" t="s">
        <v>16</v>
      </c>
      <c r="H4759" t="s">
        <v>3751</v>
      </c>
      <c r="I4759">
        <v>1.9883999999999999</v>
      </c>
      <c r="J4759">
        <v>48333.34</v>
      </c>
      <c r="K4759">
        <v>24307.654395493864</v>
      </c>
    </row>
    <row r="4760" spans="1:11" x14ac:dyDescent="0.25">
      <c r="A4760" t="s">
        <v>852</v>
      </c>
      <c r="B4760" t="s">
        <v>853</v>
      </c>
      <c r="C4760" s="1">
        <v>41313</v>
      </c>
      <c r="D4760" s="1">
        <v>41317</v>
      </c>
      <c r="E4760">
        <v>11335</v>
      </c>
      <c r="F4760" t="s">
        <v>331</v>
      </c>
      <c r="G4760" t="s">
        <v>16</v>
      </c>
      <c r="H4760" t="s">
        <v>3752</v>
      </c>
      <c r="I4760">
        <v>1.9789000000000001</v>
      </c>
      <c r="J4760">
        <v>47983.47</v>
      </c>
      <c r="K4760">
        <v>24247.546616807318</v>
      </c>
    </row>
    <row r="4761" spans="1:11" x14ac:dyDescent="0.25">
      <c r="A4761" t="s">
        <v>852</v>
      </c>
      <c r="B4761" t="s">
        <v>853</v>
      </c>
      <c r="C4761" s="1">
        <v>41311</v>
      </c>
      <c r="D4761" s="1">
        <v>41316</v>
      </c>
      <c r="E4761">
        <v>11335</v>
      </c>
      <c r="F4761" t="s">
        <v>331</v>
      </c>
      <c r="G4761" t="s">
        <v>16</v>
      </c>
      <c r="H4761" t="s">
        <v>6563</v>
      </c>
      <c r="I4761">
        <v>1.9881</v>
      </c>
      <c r="J4761">
        <v>49084.9</v>
      </c>
      <c r="K4761">
        <v>24689.351642271515</v>
      </c>
    </row>
    <row r="4762" spans="1:11" x14ac:dyDescent="0.25">
      <c r="A4762" t="s">
        <v>852</v>
      </c>
      <c r="B4762" t="s">
        <v>853</v>
      </c>
      <c r="C4762" s="1">
        <v>41311</v>
      </c>
      <c r="D4762" s="1">
        <v>41316</v>
      </c>
      <c r="E4762">
        <v>11335</v>
      </c>
      <c r="F4762" t="s">
        <v>331</v>
      </c>
      <c r="G4762" t="s">
        <v>16</v>
      </c>
      <c r="H4762" t="s">
        <v>3753</v>
      </c>
      <c r="I4762">
        <v>1.9881</v>
      </c>
      <c r="J4762">
        <v>48735.040000000001</v>
      </c>
      <c r="K4762">
        <v>24513.374578743525</v>
      </c>
    </row>
    <row r="4763" spans="1:11" x14ac:dyDescent="0.25">
      <c r="A4763" t="s">
        <v>852</v>
      </c>
      <c r="B4763" t="s">
        <v>853</v>
      </c>
      <c r="C4763" s="1">
        <v>41312</v>
      </c>
      <c r="D4763" s="1">
        <v>41321</v>
      </c>
      <c r="E4763">
        <v>11335</v>
      </c>
      <c r="F4763" t="s">
        <v>331</v>
      </c>
      <c r="G4763" t="s">
        <v>16</v>
      </c>
      <c r="H4763" t="s">
        <v>3754</v>
      </c>
      <c r="I4763">
        <v>1.9883999999999999</v>
      </c>
      <c r="J4763">
        <v>48825.74</v>
      </c>
      <c r="K4763">
        <v>24555.290685978678</v>
      </c>
    </row>
    <row r="4764" spans="1:11" x14ac:dyDescent="0.25">
      <c r="A4764" t="s">
        <v>852</v>
      </c>
      <c r="B4764" t="s">
        <v>853</v>
      </c>
      <c r="C4764" s="1">
        <v>41312</v>
      </c>
      <c r="D4764" s="1">
        <v>41321</v>
      </c>
      <c r="E4764">
        <v>11335</v>
      </c>
      <c r="F4764" t="s">
        <v>331</v>
      </c>
      <c r="G4764" t="s">
        <v>16</v>
      </c>
      <c r="H4764" t="s">
        <v>3755</v>
      </c>
      <c r="I4764">
        <v>1.9883999999999999</v>
      </c>
      <c r="J4764">
        <v>47892.77</v>
      </c>
      <c r="K4764">
        <v>24086.084288875478</v>
      </c>
    </row>
    <row r="4765" spans="1:11" x14ac:dyDescent="0.25">
      <c r="A4765" t="s">
        <v>852</v>
      </c>
      <c r="B4765" t="s">
        <v>853</v>
      </c>
      <c r="C4765" s="1">
        <v>41313</v>
      </c>
      <c r="D4765" s="1">
        <v>41321</v>
      </c>
      <c r="E4765">
        <v>11335</v>
      </c>
      <c r="F4765" t="s">
        <v>331</v>
      </c>
      <c r="G4765" t="s">
        <v>16</v>
      </c>
      <c r="H4765" t="s">
        <v>6973</v>
      </c>
      <c r="I4765">
        <v>1.9789000000000001</v>
      </c>
      <c r="J4765">
        <v>65437.9</v>
      </c>
      <c r="K4765">
        <v>33067.815453029463</v>
      </c>
    </row>
    <row r="4766" spans="1:11" x14ac:dyDescent="0.25">
      <c r="A4766" t="s">
        <v>852</v>
      </c>
      <c r="B4766" t="s">
        <v>853</v>
      </c>
      <c r="C4766" s="1">
        <v>41313</v>
      </c>
      <c r="D4766" s="1">
        <v>41321</v>
      </c>
      <c r="E4766">
        <v>11335</v>
      </c>
      <c r="F4766" t="s">
        <v>331</v>
      </c>
      <c r="G4766" t="s">
        <v>16</v>
      </c>
      <c r="H4766" t="s">
        <v>3756</v>
      </c>
      <c r="I4766">
        <v>1.9789000000000001</v>
      </c>
      <c r="J4766">
        <v>48994.2</v>
      </c>
      <c r="K4766">
        <v>24758.300065693064</v>
      </c>
    </row>
    <row r="4767" spans="1:11" x14ac:dyDescent="0.25">
      <c r="A4767" t="s">
        <v>856</v>
      </c>
      <c r="B4767" t="s">
        <v>857</v>
      </c>
      <c r="C4767" s="1">
        <v>41314</v>
      </c>
      <c r="D4767" s="1">
        <v>41321</v>
      </c>
      <c r="E4767">
        <v>11832</v>
      </c>
      <c r="F4767" t="s">
        <v>331</v>
      </c>
      <c r="G4767" t="s">
        <v>16</v>
      </c>
      <c r="H4767" t="s">
        <v>3757</v>
      </c>
      <c r="I4767">
        <v>1.9636</v>
      </c>
      <c r="J4767">
        <v>47996.43</v>
      </c>
      <c r="K4767">
        <v>24443.079038500713</v>
      </c>
    </row>
    <row r="4768" spans="1:11" x14ac:dyDescent="0.25">
      <c r="A4768" t="s">
        <v>856</v>
      </c>
      <c r="B4768" t="s">
        <v>857</v>
      </c>
      <c r="C4768" s="1">
        <v>41313</v>
      </c>
      <c r="D4768" s="1">
        <v>41322</v>
      </c>
      <c r="E4768">
        <v>11832</v>
      </c>
      <c r="F4768" t="s">
        <v>331</v>
      </c>
      <c r="G4768" t="s">
        <v>16</v>
      </c>
      <c r="H4768" t="s">
        <v>3758</v>
      </c>
      <c r="I4768">
        <v>1.9789000000000001</v>
      </c>
      <c r="J4768">
        <v>46360.38</v>
      </c>
      <c r="K4768">
        <v>23427.34852695942</v>
      </c>
    </row>
    <row r="4769" spans="1:11" x14ac:dyDescent="0.25">
      <c r="A4769" t="s">
        <v>856</v>
      </c>
      <c r="B4769" t="s">
        <v>857</v>
      </c>
      <c r="C4769" s="1">
        <v>41313</v>
      </c>
      <c r="D4769" s="1">
        <v>41322</v>
      </c>
      <c r="E4769">
        <v>11832</v>
      </c>
      <c r="F4769" t="s">
        <v>331</v>
      </c>
      <c r="G4769" t="s">
        <v>16</v>
      </c>
      <c r="H4769" t="s">
        <v>6974</v>
      </c>
      <c r="I4769">
        <v>1.9789000000000001</v>
      </c>
      <c r="J4769">
        <v>63402.239999999998</v>
      </c>
      <c r="K4769">
        <v>32039.132851584214</v>
      </c>
    </row>
    <row r="4770" spans="1:11" x14ac:dyDescent="0.25">
      <c r="A4770" t="s">
        <v>799</v>
      </c>
      <c r="B4770" t="s">
        <v>800</v>
      </c>
      <c r="C4770" s="1">
        <v>41307</v>
      </c>
      <c r="D4770" s="1">
        <v>41313</v>
      </c>
      <c r="E4770">
        <v>4856</v>
      </c>
      <c r="F4770" t="s">
        <v>675</v>
      </c>
      <c r="G4770" t="s">
        <v>16</v>
      </c>
      <c r="H4770" t="s">
        <v>6975</v>
      </c>
      <c r="I4770">
        <v>1.9843</v>
      </c>
      <c r="J4770">
        <v>485414.6</v>
      </c>
      <c r="K4770">
        <v>244627.62687093686</v>
      </c>
    </row>
    <row r="4771" spans="1:11" x14ac:dyDescent="0.25">
      <c r="A4771" t="s">
        <v>856</v>
      </c>
      <c r="B4771" t="s">
        <v>857</v>
      </c>
      <c r="C4771" s="1">
        <v>41318</v>
      </c>
      <c r="D4771" s="1">
        <v>41330</v>
      </c>
      <c r="E4771">
        <v>11832</v>
      </c>
      <c r="F4771" t="s">
        <v>331</v>
      </c>
      <c r="G4771" t="s">
        <v>16</v>
      </c>
      <c r="H4771" t="s">
        <v>3759</v>
      </c>
      <c r="I4771">
        <v>1.9636</v>
      </c>
      <c r="J4771">
        <v>46071.96</v>
      </c>
      <c r="K4771">
        <v>23463.006722346709</v>
      </c>
    </row>
    <row r="4772" spans="1:11" x14ac:dyDescent="0.25">
      <c r="A4772" t="s">
        <v>856</v>
      </c>
      <c r="B4772" t="s">
        <v>857</v>
      </c>
      <c r="C4772" s="1">
        <v>41319</v>
      </c>
      <c r="D4772" s="1">
        <v>41324</v>
      </c>
      <c r="E4772">
        <v>11832</v>
      </c>
      <c r="F4772" t="s">
        <v>331</v>
      </c>
      <c r="G4772" t="s">
        <v>16</v>
      </c>
      <c r="H4772" t="s">
        <v>6976</v>
      </c>
      <c r="I4772">
        <v>1.9670000000000001</v>
      </c>
      <c r="J4772">
        <v>49188.57</v>
      </c>
      <c r="K4772">
        <v>25006.898830706661</v>
      </c>
    </row>
    <row r="4773" spans="1:11" x14ac:dyDescent="0.25">
      <c r="A4773" t="s">
        <v>856</v>
      </c>
      <c r="B4773" t="s">
        <v>857</v>
      </c>
      <c r="C4773" s="1">
        <v>41318</v>
      </c>
      <c r="D4773" s="1">
        <v>41331</v>
      </c>
      <c r="E4773">
        <v>11832</v>
      </c>
      <c r="F4773" t="s">
        <v>331</v>
      </c>
      <c r="G4773" t="s">
        <v>16</v>
      </c>
      <c r="H4773" t="s">
        <v>420</v>
      </c>
      <c r="I4773">
        <v>1.9636</v>
      </c>
      <c r="J4773">
        <v>62888.1</v>
      </c>
      <c r="K4773">
        <v>32026.940313709514</v>
      </c>
    </row>
    <row r="4774" spans="1:11" x14ac:dyDescent="0.25">
      <c r="A4774" t="s">
        <v>1969</v>
      </c>
      <c r="B4774" t="s">
        <v>1970</v>
      </c>
      <c r="C4774" s="1">
        <v>41324</v>
      </c>
      <c r="D4774" s="1">
        <v>41331</v>
      </c>
      <c r="E4774">
        <v>11412</v>
      </c>
      <c r="F4774" t="s">
        <v>331</v>
      </c>
      <c r="G4774" t="s">
        <v>16</v>
      </c>
      <c r="H4774" t="s">
        <v>3760</v>
      </c>
      <c r="I4774">
        <v>1.9676</v>
      </c>
      <c r="J4774">
        <v>44344.58</v>
      </c>
      <c r="K4774">
        <v>22537.395812156941</v>
      </c>
    </row>
    <row r="4775" spans="1:11" x14ac:dyDescent="0.25">
      <c r="A4775" t="s">
        <v>848</v>
      </c>
      <c r="B4775" t="s">
        <v>849</v>
      </c>
      <c r="C4775" s="1">
        <v>41328</v>
      </c>
      <c r="D4775" s="1">
        <v>41333</v>
      </c>
      <c r="E4775">
        <v>11834</v>
      </c>
      <c r="F4775" t="s">
        <v>331</v>
      </c>
      <c r="G4775" t="s">
        <v>16</v>
      </c>
      <c r="H4775" t="s">
        <v>6977</v>
      </c>
      <c r="I4775">
        <v>1.9704999999999999</v>
      </c>
      <c r="J4775">
        <v>32203.66</v>
      </c>
      <c r="K4775">
        <v>16342.887591981731</v>
      </c>
    </row>
    <row r="4776" spans="1:11" x14ac:dyDescent="0.25">
      <c r="A4776" t="s">
        <v>848</v>
      </c>
      <c r="B4776" t="s">
        <v>849</v>
      </c>
      <c r="C4776" s="1">
        <v>41328</v>
      </c>
      <c r="D4776" s="1">
        <v>41333</v>
      </c>
      <c r="E4776">
        <v>11834</v>
      </c>
      <c r="F4776" t="s">
        <v>331</v>
      </c>
      <c r="G4776" t="s">
        <v>16</v>
      </c>
      <c r="H4776" t="s">
        <v>6978</v>
      </c>
      <c r="I4776">
        <v>1.9704999999999999</v>
      </c>
      <c r="J4776">
        <v>32619.26</v>
      </c>
      <c r="K4776">
        <v>16553.798528292311</v>
      </c>
    </row>
    <row r="4777" spans="1:11" x14ac:dyDescent="0.25">
      <c r="A4777" t="s">
        <v>848</v>
      </c>
      <c r="B4777" t="s">
        <v>849</v>
      </c>
      <c r="C4777" s="1">
        <v>41328</v>
      </c>
      <c r="D4777" s="1">
        <v>41333</v>
      </c>
      <c r="E4777">
        <v>11834</v>
      </c>
      <c r="F4777" t="s">
        <v>331</v>
      </c>
      <c r="G4777" t="s">
        <v>16</v>
      </c>
      <c r="H4777" t="s">
        <v>3761</v>
      </c>
      <c r="I4777">
        <v>1.9704999999999999</v>
      </c>
      <c r="J4777">
        <v>32082.02</v>
      </c>
      <c r="K4777">
        <v>16281.157066734331</v>
      </c>
    </row>
    <row r="4778" spans="1:11" x14ac:dyDescent="0.25">
      <c r="A4778" t="s">
        <v>799</v>
      </c>
      <c r="B4778" t="s">
        <v>800</v>
      </c>
      <c r="C4778" s="1">
        <v>41313</v>
      </c>
      <c r="D4778" s="1">
        <v>41320</v>
      </c>
      <c r="E4778">
        <v>4856</v>
      </c>
      <c r="F4778" t="s">
        <v>675</v>
      </c>
      <c r="G4778" t="s">
        <v>16</v>
      </c>
      <c r="H4778" t="s">
        <v>6979</v>
      </c>
      <c r="I4778">
        <v>1.9789000000000001</v>
      </c>
      <c r="J4778">
        <v>189465.2</v>
      </c>
      <c r="K4778">
        <v>95742.685330233973</v>
      </c>
    </row>
    <row r="4779" spans="1:11" x14ac:dyDescent="0.25">
      <c r="A4779" t="s">
        <v>1480</v>
      </c>
      <c r="B4779" t="s">
        <v>1481</v>
      </c>
      <c r="C4779" s="1">
        <v>41346</v>
      </c>
      <c r="D4779" s="1">
        <v>41351</v>
      </c>
      <c r="E4779">
        <v>13993</v>
      </c>
      <c r="F4779" t="s">
        <v>331</v>
      </c>
      <c r="G4779" t="s">
        <v>16</v>
      </c>
      <c r="H4779" t="s">
        <v>6980</v>
      </c>
      <c r="I4779">
        <v>1.9584999999999999</v>
      </c>
      <c r="J4779">
        <v>43127.199999999997</v>
      </c>
      <c r="K4779">
        <v>22020.525912688281</v>
      </c>
    </row>
    <row r="4780" spans="1:11" x14ac:dyDescent="0.25">
      <c r="A4780" t="s">
        <v>832</v>
      </c>
      <c r="B4780" t="s">
        <v>144</v>
      </c>
      <c r="C4780" s="1">
        <v>41331</v>
      </c>
      <c r="D4780" s="1">
        <v>41355</v>
      </c>
      <c r="E4780">
        <v>4889</v>
      </c>
      <c r="F4780" t="s">
        <v>318</v>
      </c>
      <c r="G4780" t="s">
        <v>16</v>
      </c>
      <c r="H4780" t="s">
        <v>3762</v>
      </c>
      <c r="I4780">
        <v>1.9676</v>
      </c>
      <c r="J4780">
        <v>100019.7</v>
      </c>
      <c r="K4780">
        <v>50833.350274446027</v>
      </c>
    </row>
    <row r="4781" spans="1:11" x14ac:dyDescent="0.25">
      <c r="A4781" t="s">
        <v>1483</v>
      </c>
      <c r="B4781" t="s">
        <v>1484</v>
      </c>
      <c r="C4781" s="1">
        <v>41368</v>
      </c>
      <c r="D4781" s="1">
        <v>41370</v>
      </c>
      <c r="E4781">
        <v>14662</v>
      </c>
      <c r="F4781" t="s">
        <v>887</v>
      </c>
      <c r="G4781" t="s">
        <v>16</v>
      </c>
      <c r="H4781" t="s">
        <v>6981</v>
      </c>
      <c r="I4781">
        <v>2.0238999999999998</v>
      </c>
      <c r="J4781">
        <v>41669.64</v>
      </c>
      <c r="K4781">
        <v>20588.784030831564</v>
      </c>
    </row>
    <row r="4782" spans="1:11" x14ac:dyDescent="0.25">
      <c r="A4782" t="s">
        <v>3763</v>
      </c>
      <c r="B4782" t="s">
        <v>3764</v>
      </c>
      <c r="C4782" s="1">
        <v>41327</v>
      </c>
      <c r="D4782" s="1">
        <v>41333</v>
      </c>
      <c r="E4782">
        <v>13153</v>
      </c>
      <c r="F4782" t="s">
        <v>665</v>
      </c>
      <c r="G4782" t="s">
        <v>16</v>
      </c>
      <c r="H4782" t="s">
        <v>3765</v>
      </c>
      <c r="I4782">
        <v>1.972</v>
      </c>
      <c r="J4782">
        <v>28337.64</v>
      </c>
      <c r="K4782">
        <v>14370</v>
      </c>
    </row>
    <row r="4783" spans="1:11" x14ac:dyDescent="0.25">
      <c r="A4783" t="s">
        <v>869</v>
      </c>
      <c r="B4783" t="s">
        <v>870</v>
      </c>
      <c r="C4783" s="1">
        <v>41346</v>
      </c>
      <c r="D4783" s="1">
        <v>41351</v>
      </c>
      <c r="E4783">
        <v>13711</v>
      </c>
      <c r="F4783" t="s">
        <v>331</v>
      </c>
      <c r="G4783" t="s">
        <v>16</v>
      </c>
      <c r="H4783" t="s">
        <v>6982</v>
      </c>
      <c r="I4783">
        <v>1.9584999999999999</v>
      </c>
      <c r="J4783">
        <v>29759.3</v>
      </c>
      <c r="K4783">
        <v>15194.945111054378</v>
      </c>
    </row>
    <row r="4784" spans="1:11" x14ac:dyDescent="0.25">
      <c r="A4784" t="s">
        <v>848</v>
      </c>
      <c r="B4784" t="s">
        <v>849</v>
      </c>
      <c r="C4784" s="1">
        <v>41331</v>
      </c>
      <c r="D4784" s="1">
        <v>41339</v>
      </c>
      <c r="E4784">
        <v>11834</v>
      </c>
      <c r="F4784" t="s">
        <v>331</v>
      </c>
      <c r="G4784" t="s">
        <v>16</v>
      </c>
      <c r="H4784" t="s">
        <v>3766</v>
      </c>
      <c r="I4784">
        <v>1.9676</v>
      </c>
      <c r="J4784">
        <v>38234.879999999997</v>
      </c>
      <c r="K4784">
        <v>19432.24232567595</v>
      </c>
    </row>
    <row r="4785" spans="1:11" x14ac:dyDescent="0.25">
      <c r="A4785" t="s">
        <v>848</v>
      </c>
      <c r="B4785" t="s">
        <v>849</v>
      </c>
      <c r="C4785" s="1">
        <v>41332</v>
      </c>
      <c r="D4785" s="1">
        <v>41339</v>
      </c>
      <c r="E4785">
        <v>11834</v>
      </c>
      <c r="F4785" t="s">
        <v>331</v>
      </c>
      <c r="G4785" t="s">
        <v>16</v>
      </c>
      <c r="H4785" t="s">
        <v>6983</v>
      </c>
      <c r="I4785">
        <v>1.9818</v>
      </c>
      <c r="J4785">
        <v>31909.7</v>
      </c>
      <c r="K4785">
        <v>16101.372489655869</v>
      </c>
    </row>
    <row r="4786" spans="1:11" x14ac:dyDescent="0.25">
      <c r="A4786" t="s">
        <v>1480</v>
      </c>
      <c r="B4786" t="s">
        <v>1481</v>
      </c>
      <c r="C4786" s="1">
        <v>41354</v>
      </c>
      <c r="D4786" s="1">
        <v>41360</v>
      </c>
      <c r="E4786">
        <v>13993</v>
      </c>
      <c r="F4786" t="s">
        <v>331</v>
      </c>
      <c r="G4786" t="s">
        <v>16</v>
      </c>
      <c r="H4786" t="s">
        <v>3767</v>
      </c>
      <c r="I4786">
        <v>1.9867999999999999</v>
      </c>
      <c r="J4786">
        <v>43263</v>
      </c>
      <c r="K4786">
        <v>21775.216428427622</v>
      </c>
    </row>
    <row r="4787" spans="1:11" x14ac:dyDescent="0.25">
      <c r="A4787" t="s">
        <v>1483</v>
      </c>
      <c r="B4787" t="s">
        <v>1484</v>
      </c>
      <c r="C4787" s="1">
        <v>41373</v>
      </c>
      <c r="D4787" s="1">
        <v>41379</v>
      </c>
      <c r="E4787">
        <v>14662</v>
      </c>
      <c r="F4787" t="s">
        <v>887</v>
      </c>
      <c r="G4787" t="s">
        <v>16</v>
      </c>
      <c r="H4787" t="s">
        <v>3768</v>
      </c>
      <c r="I4787">
        <v>1.9902</v>
      </c>
      <c r="J4787">
        <v>46663.94</v>
      </c>
      <c r="K4787">
        <v>23446.859612099288</v>
      </c>
    </row>
    <row r="4788" spans="1:11" x14ac:dyDescent="0.25">
      <c r="A4788" t="s">
        <v>1480</v>
      </c>
      <c r="B4788" t="s">
        <v>1481</v>
      </c>
      <c r="C4788" s="1">
        <v>41345</v>
      </c>
      <c r="D4788" s="1">
        <v>41349</v>
      </c>
      <c r="E4788">
        <v>13993</v>
      </c>
      <c r="F4788" t="s">
        <v>331</v>
      </c>
      <c r="G4788" t="s">
        <v>16</v>
      </c>
      <c r="H4788" t="s">
        <v>3769</v>
      </c>
      <c r="I4788">
        <v>1.9552</v>
      </c>
      <c r="J4788">
        <v>44517.63</v>
      </c>
      <c r="K4788">
        <v>22768.836947626842</v>
      </c>
    </row>
    <row r="4789" spans="1:11" x14ac:dyDescent="0.25">
      <c r="A4789" t="s">
        <v>1480</v>
      </c>
      <c r="B4789" t="s">
        <v>1481</v>
      </c>
      <c r="C4789" s="1">
        <v>41345</v>
      </c>
      <c r="D4789" s="1">
        <v>41349</v>
      </c>
      <c r="E4789">
        <v>13993</v>
      </c>
      <c r="F4789" t="s">
        <v>331</v>
      </c>
      <c r="G4789" t="s">
        <v>16</v>
      </c>
      <c r="H4789" t="s">
        <v>3770</v>
      </c>
      <c r="I4789">
        <v>1.9552</v>
      </c>
      <c r="J4789">
        <v>38614.629999999997</v>
      </c>
      <c r="K4789">
        <v>19749.708469721769</v>
      </c>
    </row>
    <row r="4790" spans="1:11" x14ac:dyDescent="0.25">
      <c r="A4790" t="s">
        <v>848</v>
      </c>
      <c r="B4790" t="s">
        <v>849</v>
      </c>
      <c r="C4790" s="1">
        <v>41333</v>
      </c>
      <c r="D4790" s="1">
        <v>41339</v>
      </c>
      <c r="E4790">
        <v>11834</v>
      </c>
      <c r="F4790" t="s">
        <v>331</v>
      </c>
      <c r="G4790" t="s">
        <v>16</v>
      </c>
      <c r="H4790" t="s">
        <v>6984</v>
      </c>
      <c r="I4790">
        <v>1.9806999999999999</v>
      </c>
      <c r="J4790">
        <v>37221.230000000003</v>
      </c>
      <c r="K4790">
        <v>18791.95738880194</v>
      </c>
    </row>
    <row r="4791" spans="1:11" x14ac:dyDescent="0.25">
      <c r="A4791" t="s">
        <v>848</v>
      </c>
      <c r="B4791" t="s">
        <v>849</v>
      </c>
      <c r="C4791" s="1">
        <v>41331</v>
      </c>
      <c r="D4791" s="1">
        <v>41339</v>
      </c>
      <c r="E4791">
        <v>11834</v>
      </c>
      <c r="F4791" t="s">
        <v>331</v>
      </c>
      <c r="G4791" t="s">
        <v>16</v>
      </c>
      <c r="H4791" t="s">
        <v>3771</v>
      </c>
      <c r="I4791">
        <v>1.9676</v>
      </c>
      <c r="J4791">
        <v>37555.730000000003</v>
      </c>
      <c r="K4791">
        <v>19087.075625127058</v>
      </c>
    </row>
    <row r="4792" spans="1:11" x14ac:dyDescent="0.25">
      <c r="A4792" t="s">
        <v>2456</v>
      </c>
      <c r="B4792" t="s">
        <v>2457</v>
      </c>
      <c r="C4792" s="1">
        <v>41307</v>
      </c>
      <c r="D4792" s="1">
        <v>41348</v>
      </c>
      <c r="E4792">
        <v>13446</v>
      </c>
      <c r="F4792" t="s">
        <v>675</v>
      </c>
      <c r="G4792" t="s">
        <v>16</v>
      </c>
      <c r="H4792" t="s">
        <v>6985</v>
      </c>
      <c r="I4792">
        <v>1.9843</v>
      </c>
      <c r="J4792">
        <v>942260</v>
      </c>
      <c r="K4792">
        <v>474857.63241445349</v>
      </c>
    </row>
    <row r="4793" spans="1:11" x14ac:dyDescent="0.25">
      <c r="A4793" t="s">
        <v>1480</v>
      </c>
      <c r="B4793" t="s">
        <v>1481</v>
      </c>
      <c r="C4793" s="1">
        <v>41345</v>
      </c>
      <c r="D4793" s="1">
        <v>41352</v>
      </c>
      <c r="E4793">
        <v>13993</v>
      </c>
      <c r="F4793" t="s">
        <v>331</v>
      </c>
      <c r="G4793" t="s">
        <v>16</v>
      </c>
      <c r="H4793" t="s">
        <v>6986</v>
      </c>
      <c r="I4793">
        <v>1.9552</v>
      </c>
      <c r="J4793">
        <v>57763.32</v>
      </c>
      <c r="K4793">
        <v>29543.432896890343</v>
      </c>
    </row>
    <row r="4794" spans="1:11" x14ac:dyDescent="0.25">
      <c r="A4794" t="s">
        <v>1480</v>
      </c>
      <c r="B4794" t="s">
        <v>1481</v>
      </c>
      <c r="C4794" s="1">
        <v>41346</v>
      </c>
      <c r="D4794" s="1">
        <v>41352</v>
      </c>
      <c r="E4794">
        <v>13993</v>
      </c>
      <c r="F4794" t="s">
        <v>331</v>
      </c>
      <c r="G4794" t="s">
        <v>16</v>
      </c>
      <c r="H4794" t="s">
        <v>3772</v>
      </c>
      <c r="I4794">
        <v>1.9584999999999999</v>
      </c>
      <c r="J4794">
        <v>44589.73</v>
      </c>
      <c r="K4794">
        <v>22767.286188409496</v>
      </c>
    </row>
    <row r="4795" spans="1:11" x14ac:dyDescent="0.25">
      <c r="A4795" t="s">
        <v>869</v>
      </c>
      <c r="B4795" t="s">
        <v>870</v>
      </c>
      <c r="C4795" s="1">
        <v>41353</v>
      </c>
      <c r="D4795" s="1">
        <v>41359</v>
      </c>
      <c r="E4795">
        <v>13711</v>
      </c>
      <c r="F4795" t="s">
        <v>331</v>
      </c>
      <c r="G4795" t="s">
        <v>16</v>
      </c>
      <c r="H4795" t="s">
        <v>6987</v>
      </c>
      <c r="I4795">
        <v>1.9830000000000001</v>
      </c>
      <c r="J4795">
        <v>25461.7</v>
      </c>
      <c r="K4795">
        <v>12839.989914271306</v>
      </c>
    </row>
    <row r="4796" spans="1:11" x14ac:dyDescent="0.25">
      <c r="A4796" t="s">
        <v>869</v>
      </c>
      <c r="B4796" t="s">
        <v>870</v>
      </c>
      <c r="C4796" s="1">
        <v>41353</v>
      </c>
      <c r="D4796" s="1">
        <v>41359</v>
      </c>
      <c r="E4796">
        <v>13711</v>
      </c>
      <c r="F4796" t="s">
        <v>331</v>
      </c>
      <c r="G4796" t="s">
        <v>16</v>
      </c>
      <c r="H4796" t="s">
        <v>3773</v>
      </c>
      <c r="I4796">
        <v>1.9830000000000001</v>
      </c>
      <c r="J4796">
        <v>41143.199999999997</v>
      </c>
      <c r="K4796">
        <v>20747.957639939486</v>
      </c>
    </row>
    <row r="4797" spans="1:11" x14ac:dyDescent="0.25">
      <c r="A4797" t="s">
        <v>1495</v>
      </c>
      <c r="B4797" t="s">
        <v>1496</v>
      </c>
      <c r="C4797" s="1">
        <v>41340</v>
      </c>
      <c r="D4797" s="1">
        <v>41348</v>
      </c>
      <c r="E4797">
        <v>13834</v>
      </c>
      <c r="F4797" t="s">
        <v>331</v>
      </c>
      <c r="G4797" t="s">
        <v>16</v>
      </c>
      <c r="H4797" t="s">
        <v>6988</v>
      </c>
      <c r="I4797">
        <v>1.9673</v>
      </c>
      <c r="J4797">
        <v>30415</v>
      </c>
      <c r="K4797">
        <v>15460.275504498552</v>
      </c>
    </row>
    <row r="4798" spans="1:11" x14ac:dyDescent="0.25">
      <c r="A4798" t="s">
        <v>869</v>
      </c>
      <c r="B4798" t="s">
        <v>870</v>
      </c>
      <c r="C4798" s="1">
        <v>41341</v>
      </c>
      <c r="D4798" s="1">
        <v>41347</v>
      </c>
      <c r="E4798">
        <v>13711</v>
      </c>
      <c r="F4798" t="s">
        <v>331</v>
      </c>
      <c r="G4798" t="s">
        <v>16</v>
      </c>
      <c r="H4798" t="s">
        <v>6989</v>
      </c>
      <c r="I4798">
        <v>1.9528000000000001</v>
      </c>
      <c r="J4798">
        <v>38812.699999999997</v>
      </c>
      <c r="K4798">
        <v>19875.409668168784</v>
      </c>
    </row>
    <row r="4799" spans="1:11" x14ac:dyDescent="0.25">
      <c r="A4799" t="s">
        <v>1483</v>
      </c>
      <c r="B4799" t="s">
        <v>1484</v>
      </c>
      <c r="C4799" s="1">
        <v>41374</v>
      </c>
      <c r="D4799" s="1">
        <v>41380</v>
      </c>
      <c r="E4799">
        <v>14662</v>
      </c>
      <c r="F4799" t="s">
        <v>887</v>
      </c>
      <c r="G4799" t="s">
        <v>16</v>
      </c>
      <c r="H4799" t="s">
        <v>3774</v>
      </c>
      <c r="I4799">
        <v>1.9861</v>
      </c>
      <c r="J4799">
        <v>46663.94</v>
      </c>
      <c r="K4799">
        <v>23495.262071396202</v>
      </c>
    </row>
    <row r="4800" spans="1:11" x14ac:dyDescent="0.25">
      <c r="A4800" t="s">
        <v>875</v>
      </c>
      <c r="B4800" t="s">
        <v>876</v>
      </c>
      <c r="C4800" s="1">
        <v>41447</v>
      </c>
      <c r="D4800" s="1">
        <v>41452</v>
      </c>
      <c r="E4800">
        <v>8</v>
      </c>
      <c r="F4800" t="s">
        <v>309</v>
      </c>
      <c r="G4800" t="s">
        <v>16</v>
      </c>
      <c r="H4800" t="s">
        <v>6990</v>
      </c>
      <c r="I4800">
        <v>2.2648000000000001</v>
      </c>
      <c r="J4800">
        <v>31099.97</v>
      </c>
      <c r="K4800">
        <v>13731.883610031791</v>
      </c>
    </row>
    <row r="4801" spans="1:11" x14ac:dyDescent="0.25">
      <c r="A4801" t="s">
        <v>875</v>
      </c>
      <c r="B4801" t="s">
        <v>876</v>
      </c>
      <c r="C4801" s="1">
        <v>41446</v>
      </c>
      <c r="D4801" s="1">
        <v>41452</v>
      </c>
      <c r="E4801">
        <v>8</v>
      </c>
      <c r="F4801" t="s">
        <v>309</v>
      </c>
      <c r="G4801" t="s">
        <v>16</v>
      </c>
      <c r="H4801" t="s">
        <v>6991</v>
      </c>
      <c r="I4801">
        <v>2.2523</v>
      </c>
      <c r="J4801">
        <v>26052.2</v>
      </c>
      <c r="K4801">
        <v>11566.931581050481</v>
      </c>
    </row>
    <row r="4802" spans="1:11" x14ac:dyDescent="0.25">
      <c r="A4802" t="s">
        <v>875</v>
      </c>
      <c r="B4802" t="s">
        <v>876</v>
      </c>
      <c r="C4802" s="1">
        <v>41444</v>
      </c>
      <c r="D4802" s="1">
        <v>41449</v>
      </c>
      <c r="E4802">
        <v>8</v>
      </c>
      <c r="F4802" t="s">
        <v>309</v>
      </c>
      <c r="G4802" t="s">
        <v>16</v>
      </c>
      <c r="H4802" t="s">
        <v>6992</v>
      </c>
      <c r="I4802">
        <v>2.1705999999999999</v>
      </c>
      <c r="J4802">
        <v>30840.03</v>
      </c>
      <c r="K4802">
        <v>14208.066893946374</v>
      </c>
    </row>
    <row r="4803" spans="1:11" x14ac:dyDescent="0.25">
      <c r="A4803" t="s">
        <v>875</v>
      </c>
      <c r="B4803" t="s">
        <v>876</v>
      </c>
      <c r="C4803" s="1">
        <v>41444</v>
      </c>
      <c r="D4803" s="1">
        <v>41449</v>
      </c>
      <c r="E4803">
        <v>8</v>
      </c>
      <c r="F4803" t="s">
        <v>309</v>
      </c>
      <c r="G4803" t="s">
        <v>16</v>
      </c>
      <c r="H4803" t="s">
        <v>6993</v>
      </c>
      <c r="I4803">
        <v>2.1705999999999999</v>
      </c>
      <c r="J4803">
        <v>41925</v>
      </c>
      <c r="K4803">
        <v>19314.935962406707</v>
      </c>
    </row>
    <row r="4804" spans="1:11" x14ac:dyDescent="0.25">
      <c r="A4804" t="s">
        <v>875</v>
      </c>
      <c r="B4804" t="s">
        <v>876</v>
      </c>
      <c r="C4804" s="1">
        <v>41436</v>
      </c>
      <c r="D4804" s="1">
        <v>41445</v>
      </c>
      <c r="E4804">
        <v>8</v>
      </c>
      <c r="F4804" t="s">
        <v>309</v>
      </c>
      <c r="G4804" t="s">
        <v>16</v>
      </c>
      <c r="H4804" t="s">
        <v>6994</v>
      </c>
      <c r="I4804">
        <v>2.1505999999999998</v>
      </c>
      <c r="J4804">
        <v>31217.360000000001</v>
      </c>
      <c r="K4804">
        <v>14515.651446108062</v>
      </c>
    </row>
    <row r="4805" spans="1:11" x14ac:dyDescent="0.25">
      <c r="A4805" t="s">
        <v>875</v>
      </c>
      <c r="B4805" t="s">
        <v>876</v>
      </c>
      <c r="C4805" s="1">
        <v>41436</v>
      </c>
      <c r="D4805" s="1">
        <v>41443</v>
      </c>
      <c r="E4805">
        <v>8</v>
      </c>
      <c r="F4805" t="s">
        <v>309</v>
      </c>
      <c r="G4805" t="s">
        <v>16</v>
      </c>
      <c r="H4805" t="s">
        <v>3775</v>
      </c>
      <c r="I4805">
        <v>2.1505999999999998</v>
      </c>
      <c r="J4805">
        <v>31024.5</v>
      </c>
      <c r="K4805">
        <v>14425.974146749744</v>
      </c>
    </row>
    <row r="4806" spans="1:11" x14ac:dyDescent="0.25">
      <c r="A4806" t="s">
        <v>875</v>
      </c>
      <c r="B4806" t="s">
        <v>876</v>
      </c>
      <c r="C4806" s="1">
        <v>41438</v>
      </c>
      <c r="D4806" s="1">
        <v>41443</v>
      </c>
      <c r="E4806">
        <v>8</v>
      </c>
      <c r="F4806" t="s">
        <v>309</v>
      </c>
      <c r="G4806" t="s">
        <v>16</v>
      </c>
      <c r="H4806" t="s">
        <v>3776</v>
      </c>
      <c r="I4806">
        <v>2.1419999999999999</v>
      </c>
      <c r="J4806">
        <v>31066.43</v>
      </c>
      <c r="K4806">
        <v>14503.468720821662</v>
      </c>
    </row>
    <row r="4807" spans="1:11" x14ac:dyDescent="0.25">
      <c r="A4807" t="s">
        <v>875</v>
      </c>
      <c r="B4807" t="s">
        <v>876</v>
      </c>
      <c r="C4807" s="1">
        <v>41438</v>
      </c>
      <c r="D4807" s="1">
        <v>41443</v>
      </c>
      <c r="E4807">
        <v>8</v>
      </c>
      <c r="F4807" t="s">
        <v>309</v>
      </c>
      <c r="G4807" t="s">
        <v>16</v>
      </c>
      <c r="H4807" t="s">
        <v>6995</v>
      </c>
      <c r="I4807">
        <v>2.1419999999999999</v>
      </c>
      <c r="J4807">
        <v>26865.54</v>
      </c>
      <c r="K4807">
        <v>12542.268907563026</v>
      </c>
    </row>
    <row r="4808" spans="1:11" x14ac:dyDescent="0.25">
      <c r="A4808" t="s">
        <v>875</v>
      </c>
      <c r="B4808" t="s">
        <v>876</v>
      </c>
      <c r="C4808" s="1">
        <v>41444</v>
      </c>
      <c r="D4808" s="1">
        <v>41450</v>
      </c>
      <c r="E4808">
        <v>8</v>
      </c>
      <c r="F4808" t="s">
        <v>309</v>
      </c>
      <c r="G4808" t="s">
        <v>16</v>
      </c>
      <c r="H4808" t="s">
        <v>6996</v>
      </c>
      <c r="I4808">
        <v>2.1705999999999999</v>
      </c>
      <c r="J4808">
        <v>30814.880000000001</v>
      </c>
      <c r="K4808">
        <v>14196.48023587948</v>
      </c>
    </row>
    <row r="4809" spans="1:11" x14ac:dyDescent="0.25">
      <c r="A4809" t="s">
        <v>875</v>
      </c>
      <c r="B4809" t="s">
        <v>876</v>
      </c>
      <c r="C4809" s="1">
        <v>41444</v>
      </c>
      <c r="D4809" s="1">
        <v>41450</v>
      </c>
      <c r="E4809">
        <v>8</v>
      </c>
      <c r="F4809" t="s">
        <v>309</v>
      </c>
      <c r="G4809" t="s">
        <v>16</v>
      </c>
      <c r="H4809" t="s">
        <v>6997</v>
      </c>
      <c r="I4809">
        <v>2.1705999999999999</v>
      </c>
      <c r="J4809">
        <v>42595.8</v>
      </c>
      <c r="K4809">
        <v>19623.974937805215</v>
      </c>
    </row>
    <row r="4810" spans="1:11" x14ac:dyDescent="0.25">
      <c r="A4810" t="s">
        <v>875</v>
      </c>
      <c r="B4810" t="s">
        <v>876</v>
      </c>
      <c r="C4810" s="1">
        <v>41439</v>
      </c>
      <c r="D4810" s="1">
        <v>41446</v>
      </c>
      <c r="E4810">
        <v>8</v>
      </c>
      <c r="F4810" t="s">
        <v>309</v>
      </c>
      <c r="G4810" t="s">
        <v>16</v>
      </c>
      <c r="H4810" t="s">
        <v>3777</v>
      </c>
      <c r="I4810">
        <v>2.1446999999999998</v>
      </c>
      <c r="J4810">
        <v>30873.57</v>
      </c>
      <c r="K4810">
        <v>14395.286053993566</v>
      </c>
    </row>
    <row r="4811" spans="1:11" x14ac:dyDescent="0.25">
      <c r="A4811" t="s">
        <v>875</v>
      </c>
      <c r="B4811" t="s">
        <v>876</v>
      </c>
      <c r="C4811" s="1">
        <v>41439</v>
      </c>
      <c r="D4811" s="1">
        <v>41446</v>
      </c>
      <c r="E4811">
        <v>8</v>
      </c>
      <c r="F4811" t="s">
        <v>309</v>
      </c>
      <c r="G4811" t="s">
        <v>16</v>
      </c>
      <c r="H4811" t="s">
        <v>3778</v>
      </c>
      <c r="I4811">
        <v>2.1446999999999998</v>
      </c>
      <c r="J4811">
        <v>42226.86</v>
      </c>
      <c r="K4811">
        <v>19688.935515456706</v>
      </c>
    </row>
    <row r="4812" spans="1:11" x14ac:dyDescent="0.25">
      <c r="A4812" t="s">
        <v>875</v>
      </c>
      <c r="B4812" t="s">
        <v>876</v>
      </c>
      <c r="C4812" s="1">
        <v>41443</v>
      </c>
      <c r="D4812" s="1">
        <v>41446</v>
      </c>
      <c r="E4812">
        <v>8</v>
      </c>
      <c r="F4812" t="s">
        <v>309</v>
      </c>
      <c r="G4812" t="s">
        <v>16</v>
      </c>
      <c r="H4812" t="s">
        <v>3779</v>
      </c>
      <c r="I4812">
        <v>2.1537999999999999</v>
      </c>
      <c r="J4812">
        <v>31024.5</v>
      </c>
      <c r="K4812">
        <v>14404.54081158882</v>
      </c>
    </row>
    <row r="4813" spans="1:11" x14ac:dyDescent="0.25">
      <c r="A4813" t="s">
        <v>3780</v>
      </c>
      <c r="B4813" t="s">
        <v>3781</v>
      </c>
      <c r="C4813" s="1">
        <v>41436</v>
      </c>
      <c r="D4813" s="1">
        <v>41443</v>
      </c>
      <c r="E4813">
        <v>10</v>
      </c>
      <c r="F4813" t="s">
        <v>309</v>
      </c>
      <c r="G4813" t="s">
        <v>16</v>
      </c>
      <c r="H4813" t="s">
        <v>3782</v>
      </c>
      <c r="I4813">
        <v>2.1505999999999998</v>
      </c>
      <c r="J4813">
        <v>177259</v>
      </c>
      <c r="K4813">
        <v>82423.044731702787</v>
      </c>
    </row>
    <row r="4814" spans="1:11" x14ac:dyDescent="0.25">
      <c r="A4814" t="s">
        <v>875</v>
      </c>
      <c r="B4814" t="s">
        <v>876</v>
      </c>
      <c r="C4814" s="1">
        <v>41454</v>
      </c>
      <c r="D4814" s="1">
        <v>41460</v>
      </c>
      <c r="E4814">
        <v>8</v>
      </c>
      <c r="F4814" t="s">
        <v>309</v>
      </c>
      <c r="G4814" t="s">
        <v>16</v>
      </c>
      <c r="H4814" t="s">
        <v>3783</v>
      </c>
      <c r="I4814">
        <v>2.2155999999999998</v>
      </c>
      <c r="J4814">
        <v>31351.52</v>
      </c>
      <c r="K4814">
        <v>14150.352049106337</v>
      </c>
    </row>
    <row r="4815" spans="1:11" x14ac:dyDescent="0.25">
      <c r="A4815" t="s">
        <v>875</v>
      </c>
      <c r="B4815" t="s">
        <v>876</v>
      </c>
      <c r="C4815" s="1">
        <v>41439</v>
      </c>
      <c r="D4815" s="1">
        <v>41444</v>
      </c>
      <c r="E4815">
        <v>8</v>
      </c>
      <c r="F4815" t="s">
        <v>309</v>
      </c>
      <c r="G4815" t="s">
        <v>16</v>
      </c>
      <c r="H4815" t="s">
        <v>6998</v>
      </c>
      <c r="I4815">
        <v>2.1446999999999998</v>
      </c>
      <c r="J4815">
        <v>31091.58</v>
      </c>
      <c r="K4815">
        <v>14496.936634494336</v>
      </c>
    </row>
    <row r="4816" spans="1:11" x14ac:dyDescent="0.25">
      <c r="A4816" t="s">
        <v>1429</v>
      </c>
      <c r="B4816" t="s">
        <v>1430</v>
      </c>
      <c r="C4816" s="1">
        <v>41445</v>
      </c>
      <c r="D4816" s="1">
        <v>41452</v>
      </c>
      <c r="E4816">
        <v>5441</v>
      </c>
      <c r="F4816" t="s">
        <v>675</v>
      </c>
      <c r="G4816" t="s">
        <v>16</v>
      </c>
      <c r="H4816" t="s">
        <v>6999</v>
      </c>
      <c r="I4816">
        <v>2.1743999999999999</v>
      </c>
      <c r="J4816">
        <v>72040</v>
      </c>
      <c r="K4816">
        <v>33130.978660779983</v>
      </c>
    </row>
    <row r="4817" spans="1:11" x14ac:dyDescent="0.25">
      <c r="A4817" t="s">
        <v>2468</v>
      </c>
      <c r="B4817" t="s">
        <v>2469</v>
      </c>
      <c r="C4817" s="1">
        <v>41259</v>
      </c>
      <c r="D4817" s="1">
        <v>41426</v>
      </c>
      <c r="E4817">
        <v>62</v>
      </c>
      <c r="F4817" t="s">
        <v>301</v>
      </c>
      <c r="G4817" t="s">
        <v>16</v>
      </c>
      <c r="H4817" t="s">
        <v>3337</v>
      </c>
      <c r="I4817">
        <v>2.0840000000000001</v>
      </c>
      <c r="J4817">
        <v>8501.99</v>
      </c>
      <c r="K4817">
        <v>4079.6497120921304</v>
      </c>
    </row>
    <row r="4818" spans="1:11" x14ac:dyDescent="0.25">
      <c r="A4818" t="s">
        <v>875</v>
      </c>
      <c r="B4818" t="s">
        <v>876</v>
      </c>
      <c r="C4818" s="1">
        <v>41453</v>
      </c>
      <c r="D4818" s="1">
        <v>41462</v>
      </c>
      <c r="E4818">
        <v>8</v>
      </c>
      <c r="F4818" t="s">
        <v>309</v>
      </c>
      <c r="G4818" t="s">
        <v>16</v>
      </c>
      <c r="H4818" t="s">
        <v>3784</v>
      </c>
      <c r="I4818">
        <v>2.1846000000000001</v>
      </c>
      <c r="J4818">
        <v>41925</v>
      </c>
      <c r="K4818">
        <v>19191.156275748421</v>
      </c>
    </row>
    <row r="4819" spans="1:11" x14ac:dyDescent="0.25">
      <c r="A4819" t="s">
        <v>875</v>
      </c>
      <c r="B4819" t="s">
        <v>876</v>
      </c>
      <c r="C4819" s="1">
        <v>41456</v>
      </c>
      <c r="D4819" s="1">
        <v>41462</v>
      </c>
      <c r="E4819">
        <v>8</v>
      </c>
      <c r="F4819" t="s">
        <v>309</v>
      </c>
      <c r="G4819" t="s">
        <v>16</v>
      </c>
      <c r="H4819" t="s">
        <v>3785</v>
      </c>
      <c r="I4819">
        <v>2.2155999999999998</v>
      </c>
      <c r="J4819">
        <v>42579.03</v>
      </c>
      <c r="K4819">
        <v>19217.832641270987</v>
      </c>
    </row>
    <row r="4820" spans="1:11" x14ac:dyDescent="0.25">
      <c r="A4820" t="s">
        <v>875</v>
      </c>
      <c r="B4820" t="s">
        <v>876</v>
      </c>
      <c r="C4820" s="1">
        <v>41450</v>
      </c>
      <c r="D4820" s="1">
        <v>41457</v>
      </c>
      <c r="E4820">
        <v>8</v>
      </c>
      <c r="F4820" t="s">
        <v>309</v>
      </c>
      <c r="G4820" t="s">
        <v>16</v>
      </c>
      <c r="H4820" t="s">
        <v>7000</v>
      </c>
      <c r="I4820">
        <v>2.2515000000000001</v>
      </c>
      <c r="J4820">
        <v>26706.23</v>
      </c>
      <c r="K4820">
        <v>11861.527870308682</v>
      </c>
    </row>
    <row r="4821" spans="1:11" x14ac:dyDescent="0.25">
      <c r="A4821" t="s">
        <v>875</v>
      </c>
      <c r="B4821" t="s">
        <v>876</v>
      </c>
      <c r="C4821" s="1">
        <v>41449</v>
      </c>
      <c r="D4821" s="1">
        <v>41457</v>
      </c>
      <c r="E4821">
        <v>8</v>
      </c>
      <c r="F4821" t="s">
        <v>309</v>
      </c>
      <c r="G4821" t="s">
        <v>16</v>
      </c>
      <c r="H4821" t="s">
        <v>3786</v>
      </c>
      <c r="I4821">
        <v>2.2648000000000001</v>
      </c>
      <c r="J4821">
        <v>31393.439999999999</v>
      </c>
      <c r="K4821">
        <v>13861.462380784174</v>
      </c>
    </row>
    <row r="4822" spans="1:11" x14ac:dyDescent="0.25">
      <c r="A4822" t="s">
        <v>7001</v>
      </c>
      <c r="B4822" t="s">
        <v>7002</v>
      </c>
      <c r="C4822" s="1">
        <v>41436</v>
      </c>
      <c r="D4822" s="1">
        <v>41442</v>
      </c>
      <c r="E4822">
        <v>1</v>
      </c>
      <c r="F4822" t="s">
        <v>309</v>
      </c>
      <c r="G4822" t="s">
        <v>16</v>
      </c>
      <c r="H4822" t="s">
        <v>7003</v>
      </c>
      <c r="I4822">
        <v>2.1505999999999998</v>
      </c>
      <c r="J4822">
        <v>69012</v>
      </c>
      <c r="K4822">
        <v>32089.649400167396</v>
      </c>
    </row>
    <row r="4823" spans="1:11" x14ac:dyDescent="0.25">
      <c r="A4823" t="s">
        <v>875</v>
      </c>
      <c r="B4823" t="s">
        <v>876</v>
      </c>
      <c r="C4823" s="1">
        <v>41450</v>
      </c>
      <c r="D4823" s="1">
        <v>41456</v>
      </c>
      <c r="E4823">
        <v>8</v>
      </c>
      <c r="F4823" t="s">
        <v>309</v>
      </c>
      <c r="G4823" t="s">
        <v>16</v>
      </c>
      <c r="H4823" t="s">
        <v>7004</v>
      </c>
      <c r="I4823">
        <v>2.2515000000000001</v>
      </c>
      <c r="J4823">
        <v>42277.17</v>
      </c>
      <c r="K4823">
        <v>18777.335109926717</v>
      </c>
    </row>
    <row r="4824" spans="1:11" x14ac:dyDescent="0.25">
      <c r="A4824" t="s">
        <v>2916</v>
      </c>
      <c r="B4824" t="s">
        <v>2917</v>
      </c>
      <c r="C4824" s="1">
        <v>41447</v>
      </c>
      <c r="D4824" s="1">
        <v>41465</v>
      </c>
      <c r="E4824">
        <v>160</v>
      </c>
      <c r="F4824" t="s">
        <v>311</v>
      </c>
      <c r="G4824" t="s">
        <v>16</v>
      </c>
      <c r="H4824" t="s">
        <v>7005</v>
      </c>
      <c r="I4824">
        <v>2.2648000000000001</v>
      </c>
      <c r="J4824">
        <v>871407.9</v>
      </c>
      <c r="K4824">
        <v>384761.52419639705</v>
      </c>
    </row>
    <row r="4825" spans="1:11" x14ac:dyDescent="0.25">
      <c r="A4825" t="s">
        <v>875</v>
      </c>
      <c r="B4825" t="s">
        <v>876</v>
      </c>
      <c r="C4825" s="1">
        <v>41451</v>
      </c>
      <c r="D4825" s="1">
        <v>41456</v>
      </c>
      <c r="E4825">
        <v>8</v>
      </c>
      <c r="F4825" t="s">
        <v>309</v>
      </c>
      <c r="G4825" t="s">
        <v>16</v>
      </c>
      <c r="H4825" t="s">
        <v>3787</v>
      </c>
      <c r="I4825">
        <v>2.2185000000000001</v>
      </c>
      <c r="J4825">
        <v>31032.89</v>
      </c>
      <c r="K4825">
        <v>13988.230786567501</v>
      </c>
    </row>
    <row r="4826" spans="1:11" x14ac:dyDescent="0.25">
      <c r="A4826" t="s">
        <v>1510</v>
      </c>
      <c r="B4826" t="s">
        <v>1511</v>
      </c>
      <c r="C4826" s="1">
        <v>41499</v>
      </c>
      <c r="D4826" s="1">
        <v>41507</v>
      </c>
      <c r="E4826">
        <v>283</v>
      </c>
      <c r="F4826" t="s">
        <v>311</v>
      </c>
      <c r="G4826" t="s">
        <v>16</v>
      </c>
      <c r="H4826" t="s">
        <v>3788</v>
      </c>
      <c r="I4826">
        <v>2.2722000000000002</v>
      </c>
      <c r="J4826">
        <v>494073</v>
      </c>
      <c r="K4826">
        <v>217442.5666754687</v>
      </c>
    </row>
    <row r="4827" spans="1:11" x14ac:dyDescent="0.25">
      <c r="A4827" t="s">
        <v>3789</v>
      </c>
      <c r="B4827" t="s">
        <v>3790</v>
      </c>
      <c r="C4827" s="1">
        <v>41506</v>
      </c>
      <c r="D4827" s="1">
        <v>41513</v>
      </c>
      <c r="E4827">
        <v>16314</v>
      </c>
      <c r="F4827" t="s">
        <v>311</v>
      </c>
      <c r="G4827" t="s">
        <v>16</v>
      </c>
      <c r="H4827" t="s">
        <v>3791</v>
      </c>
      <c r="I4827">
        <v>2.3980000000000001</v>
      </c>
      <c r="J4827">
        <v>48906.96</v>
      </c>
      <c r="K4827">
        <v>20394.895746455379</v>
      </c>
    </row>
    <row r="4828" spans="1:11" x14ac:dyDescent="0.25">
      <c r="A4828" t="s">
        <v>885</v>
      </c>
      <c r="B4828" t="s">
        <v>886</v>
      </c>
      <c r="C4828" s="1">
        <v>41510</v>
      </c>
      <c r="D4828" s="1">
        <v>41517</v>
      </c>
      <c r="E4828">
        <v>4</v>
      </c>
      <c r="F4828" t="s">
        <v>887</v>
      </c>
      <c r="G4828" t="s">
        <v>16</v>
      </c>
      <c r="H4828" t="s">
        <v>3792</v>
      </c>
      <c r="I4828">
        <v>2.3868</v>
      </c>
      <c r="J4828">
        <v>58347.71</v>
      </c>
      <c r="K4828">
        <v>24445.998826881179</v>
      </c>
    </row>
    <row r="4829" spans="1:11" x14ac:dyDescent="0.25">
      <c r="A4829" t="s">
        <v>885</v>
      </c>
      <c r="B4829" t="s">
        <v>886</v>
      </c>
      <c r="C4829" s="1">
        <v>41509</v>
      </c>
      <c r="D4829" s="1">
        <v>41517</v>
      </c>
      <c r="E4829">
        <v>4</v>
      </c>
      <c r="F4829" t="s">
        <v>887</v>
      </c>
      <c r="G4829" t="s">
        <v>16</v>
      </c>
      <c r="H4829" t="s">
        <v>7006</v>
      </c>
      <c r="I4829">
        <v>2.4457</v>
      </c>
      <c r="J4829">
        <v>61517.18</v>
      </c>
      <c r="K4829">
        <v>25153.199492987693</v>
      </c>
    </row>
    <row r="4830" spans="1:11" x14ac:dyDescent="0.25">
      <c r="A4830" t="s">
        <v>1997</v>
      </c>
      <c r="B4830" t="s">
        <v>1998</v>
      </c>
      <c r="C4830" s="1">
        <v>41499</v>
      </c>
      <c r="D4830" s="1">
        <v>41519</v>
      </c>
      <c r="E4830">
        <v>21</v>
      </c>
      <c r="F4830" t="s">
        <v>311</v>
      </c>
      <c r="G4830" t="s">
        <v>16</v>
      </c>
      <c r="H4830" t="s">
        <v>3793</v>
      </c>
      <c r="I4830">
        <v>2.2722000000000002</v>
      </c>
      <c r="J4830">
        <v>38730.78</v>
      </c>
      <c r="K4830">
        <v>17045.497755479271</v>
      </c>
    </row>
    <row r="4831" spans="1:11" x14ac:dyDescent="0.25">
      <c r="A4831" t="s">
        <v>3794</v>
      </c>
      <c r="B4831" t="s">
        <v>3795</v>
      </c>
      <c r="C4831" s="1">
        <v>41499</v>
      </c>
      <c r="D4831" s="1">
        <v>41519</v>
      </c>
      <c r="E4831">
        <v>17415</v>
      </c>
      <c r="F4831" t="s">
        <v>311</v>
      </c>
      <c r="G4831" t="s">
        <v>16</v>
      </c>
      <c r="H4831" t="s">
        <v>3796</v>
      </c>
      <c r="I4831">
        <v>2.2722000000000002</v>
      </c>
      <c r="J4831">
        <v>36836.720000000001</v>
      </c>
      <c r="K4831">
        <v>16211.917964967872</v>
      </c>
    </row>
    <row r="4832" spans="1:11" x14ac:dyDescent="0.25">
      <c r="A4832" t="s">
        <v>1510</v>
      </c>
      <c r="B4832" t="s">
        <v>1511</v>
      </c>
      <c r="C4832" s="1">
        <v>41506</v>
      </c>
      <c r="D4832" s="1">
        <v>41510</v>
      </c>
      <c r="E4832">
        <v>283</v>
      </c>
      <c r="F4832" t="s">
        <v>311</v>
      </c>
      <c r="G4832" t="s">
        <v>16</v>
      </c>
      <c r="H4832" t="s">
        <v>3797</v>
      </c>
      <c r="I4832">
        <v>2.3980000000000001</v>
      </c>
      <c r="J4832">
        <v>287855.82</v>
      </c>
      <c r="K4832">
        <v>120039.95829858215</v>
      </c>
    </row>
    <row r="4833" spans="1:11" x14ac:dyDescent="0.25">
      <c r="A4833" t="s">
        <v>3367</v>
      </c>
      <c r="B4833" t="s">
        <v>3368</v>
      </c>
      <c r="C4833" s="1">
        <v>41506</v>
      </c>
      <c r="D4833" s="1">
        <v>41510</v>
      </c>
      <c r="E4833">
        <v>285</v>
      </c>
      <c r="F4833" t="s">
        <v>311</v>
      </c>
      <c r="G4833" t="s">
        <v>16</v>
      </c>
      <c r="H4833" t="s">
        <v>7007</v>
      </c>
      <c r="I4833">
        <v>2.3980000000000001</v>
      </c>
      <c r="J4833">
        <v>460444.64</v>
      </c>
      <c r="K4833">
        <v>192011.94328607174</v>
      </c>
    </row>
    <row r="4834" spans="1:11" x14ac:dyDescent="0.25">
      <c r="A4834" t="s">
        <v>885</v>
      </c>
      <c r="B4834" t="s">
        <v>886</v>
      </c>
      <c r="C4834" s="1">
        <v>41506</v>
      </c>
      <c r="D4834" s="1">
        <v>41512</v>
      </c>
      <c r="E4834">
        <v>4</v>
      </c>
      <c r="F4834" t="s">
        <v>887</v>
      </c>
      <c r="G4834" t="s">
        <v>16</v>
      </c>
      <c r="H4834" t="s">
        <v>7008</v>
      </c>
      <c r="I4834">
        <v>2.3980000000000001</v>
      </c>
      <c r="J4834">
        <v>61426.21</v>
      </c>
      <c r="K4834">
        <v>25615.600500417015</v>
      </c>
    </row>
    <row r="4835" spans="1:11" x14ac:dyDescent="0.25">
      <c r="A4835" t="s">
        <v>4991</v>
      </c>
      <c r="B4835" t="s">
        <v>4992</v>
      </c>
      <c r="C4835" s="1">
        <v>41516</v>
      </c>
      <c r="D4835" s="1">
        <v>41543</v>
      </c>
      <c r="E4835">
        <v>22</v>
      </c>
      <c r="F4835" t="s">
        <v>887</v>
      </c>
      <c r="G4835" t="s">
        <v>16</v>
      </c>
      <c r="H4835" t="s">
        <v>7009</v>
      </c>
      <c r="I4835">
        <v>2.3578000000000001</v>
      </c>
      <c r="J4835">
        <v>70696.509999999995</v>
      </c>
      <c r="K4835">
        <v>29984.0995843583</v>
      </c>
    </row>
    <row r="4836" spans="1:11" x14ac:dyDescent="0.25">
      <c r="A4836" t="s">
        <v>896</v>
      </c>
      <c r="B4836" t="s">
        <v>897</v>
      </c>
      <c r="C4836" s="1">
        <v>41537</v>
      </c>
      <c r="D4836" s="1">
        <v>41543</v>
      </c>
      <c r="E4836">
        <v>296</v>
      </c>
      <c r="F4836" t="s">
        <v>887</v>
      </c>
      <c r="G4836" t="s">
        <v>16</v>
      </c>
      <c r="H4836" t="s">
        <v>7010</v>
      </c>
      <c r="I4836">
        <v>2.2035999999999998</v>
      </c>
      <c r="J4836">
        <v>64200.12</v>
      </c>
      <c r="K4836">
        <v>29134.198584135051</v>
      </c>
    </row>
    <row r="4837" spans="1:11" x14ac:dyDescent="0.25">
      <c r="A4837" t="s">
        <v>896</v>
      </c>
      <c r="B4837" t="s">
        <v>897</v>
      </c>
      <c r="C4837" s="1">
        <v>41537</v>
      </c>
      <c r="D4837" s="1">
        <v>41543</v>
      </c>
      <c r="E4837">
        <v>296</v>
      </c>
      <c r="F4837" t="s">
        <v>887</v>
      </c>
      <c r="G4837" t="s">
        <v>16</v>
      </c>
      <c r="H4837" t="s">
        <v>7011</v>
      </c>
      <c r="I4837">
        <v>2.2035999999999998</v>
      </c>
      <c r="J4837">
        <v>79122.78</v>
      </c>
      <c r="K4837">
        <v>35906.144490833183</v>
      </c>
    </row>
    <row r="4838" spans="1:11" x14ac:dyDescent="0.25">
      <c r="A4838" t="s">
        <v>896</v>
      </c>
      <c r="B4838" t="s">
        <v>897</v>
      </c>
      <c r="C4838" s="1">
        <v>41537</v>
      </c>
      <c r="D4838" s="1">
        <v>41543</v>
      </c>
      <c r="E4838">
        <v>296</v>
      </c>
      <c r="F4838" t="s">
        <v>887</v>
      </c>
      <c r="G4838" t="s">
        <v>16</v>
      </c>
      <c r="H4838" t="s">
        <v>3798</v>
      </c>
      <c r="I4838">
        <v>2.2035999999999998</v>
      </c>
      <c r="J4838">
        <v>41252.93</v>
      </c>
      <c r="K4838">
        <v>18720.697948811037</v>
      </c>
    </row>
    <row r="4839" spans="1:11" x14ac:dyDescent="0.25">
      <c r="A4839" t="s">
        <v>896</v>
      </c>
      <c r="B4839" t="s">
        <v>897</v>
      </c>
      <c r="C4839" s="1">
        <v>41537</v>
      </c>
      <c r="D4839" s="1">
        <v>41543</v>
      </c>
      <c r="E4839">
        <v>296</v>
      </c>
      <c r="F4839" t="s">
        <v>887</v>
      </c>
      <c r="G4839" t="s">
        <v>16</v>
      </c>
      <c r="H4839" t="s">
        <v>7012</v>
      </c>
      <c r="I4839">
        <v>2.2035999999999998</v>
      </c>
      <c r="J4839">
        <v>40667.879999999997</v>
      </c>
      <c r="K4839">
        <v>18455.200580867669</v>
      </c>
    </row>
    <row r="4840" spans="1:11" x14ac:dyDescent="0.25">
      <c r="A4840" t="s">
        <v>896</v>
      </c>
      <c r="B4840" t="s">
        <v>897</v>
      </c>
      <c r="C4840" s="1">
        <v>41536</v>
      </c>
      <c r="D4840" s="1">
        <v>41540</v>
      </c>
      <c r="E4840">
        <v>296</v>
      </c>
      <c r="F4840" t="s">
        <v>887</v>
      </c>
      <c r="G4840" t="s">
        <v>16</v>
      </c>
      <c r="H4840" t="s">
        <v>3799</v>
      </c>
      <c r="I4840">
        <v>2.2488999999999999</v>
      </c>
      <c r="J4840">
        <v>48270.84</v>
      </c>
      <c r="K4840">
        <v>21464.200275690338</v>
      </c>
    </row>
    <row r="4841" spans="1:11" x14ac:dyDescent="0.25">
      <c r="A4841" t="s">
        <v>896</v>
      </c>
      <c r="B4841" t="s">
        <v>897</v>
      </c>
      <c r="C4841" s="1">
        <v>41536</v>
      </c>
      <c r="D4841" s="1">
        <v>41540</v>
      </c>
      <c r="E4841">
        <v>296</v>
      </c>
      <c r="F4841" t="s">
        <v>887</v>
      </c>
      <c r="G4841" t="s">
        <v>16</v>
      </c>
      <c r="H4841" t="s">
        <v>3800</v>
      </c>
      <c r="I4841">
        <v>2.2488999999999999</v>
      </c>
      <c r="J4841">
        <v>50075.360000000001</v>
      </c>
      <c r="K4841">
        <v>22266.60144959758</v>
      </c>
    </row>
    <row r="4842" spans="1:11" x14ac:dyDescent="0.25">
      <c r="A4842" t="s">
        <v>885</v>
      </c>
      <c r="B4842" t="s">
        <v>886</v>
      </c>
      <c r="C4842" s="1">
        <v>41526</v>
      </c>
      <c r="D4842" s="1">
        <v>41531</v>
      </c>
      <c r="E4842">
        <v>4</v>
      </c>
      <c r="F4842" t="s">
        <v>887</v>
      </c>
      <c r="G4842" t="s">
        <v>16</v>
      </c>
      <c r="H4842" t="s">
        <v>3801</v>
      </c>
      <c r="I4842">
        <v>2.2978999999999998</v>
      </c>
      <c r="J4842">
        <v>60500.99</v>
      </c>
      <c r="K4842">
        <v>26328.817616084252</v>
      </c>
    </row>
    <row r="4843" spans="1:11" x14ac:dyDescent="0.25">
      <c r="A4843" t="s">
        <v>896</v>
      </c>
      <c r="B4843" t="s">
        <v>897</v>
      </c>
      <c r="C4843" s="1">
        <v>41527</v>
      </c>
      <c r="D4843" s="1">
        <v>41531</v>
      </c>
      <c r="E4843">
        <v>296</v>
      </c>
      <c r="F4843" t="s">
        <v>887</v>
      </c>
      <c r="G4843" t="s">
        <v>16</v>
      </c>
      <c r="H4843" t="s">
        <v>7013</v>
      </c>
      <c r="I4843">
        <v>2.2867999999999999</v>
      </c>
      <c r="J4843">
        <v>49529.57</v>
      </c>
      <c r="K4843">
        <v>21658.898898023439</v>
      </c>
    </row>
    <row r="4844" spans="1:11" x14ac:dyDescent="0.25">
      <c r="A4844" t="s">
        <v>885</v>
      </c>
      <c r="B4844" t="s">
        <v>886</v>
      </c>
      <c r="C4844" s="1">
        <v>41523</v>
      </c>
      <c r="D4844" s="1">
        <v>41528</v>
      </c>
      <c r="E4844">
        <v>4</v>
      </c>
      <c r="F4844" t="s">
        <v>887</v>
      </c>
      <c r="G4844" t="s">
        <v>16</v>
      </c>
      <c r="H4844" t="s">
        <v>3802</v>
      </c>
      <c r="I4844">
        <v>2.3313999999999999</v>
      </c>
      <c r="J4844">
        <v>60020.06</v>
      </c>
      <c r="K4844">
        <v>25744.213777129622</v>
      </c>
    </row>
    <row r="4845" spans="1:11" x14ac:dyDescent="0.25">
      <c r="A4845" t="s">
        <v>901</v>
      </c>
      <c r="B4845" t="s">
        <v>902</v>
      </c>
      <c r="C4845" s="1">
        <v>41529</v>
      </c>
      <c r="D4845" s="1">
        <v>41533</v>
      </c>
      <c r="E4845">
        <v>16315</v>
      </c>
      <c r="F4845" t="s">
        <v>887</v>
      </c>
      <c r="G4845" t="s">
        <v>16</v>
      </c>
      <c r="H4845" t="s">
        <v>7014</v>
      </c>
      <c r="I4845">
        <v>2.2947000000000002</v>
      </c>
      <c r="J4845">
        <v>71703.179999999993</v>
      </c>
      <c r="K4845">
        <v>31247.300300692899</v>
      </c>
    </row>
    <row r="4846" spans="1:11" x14ac:dyDescent="0.25">
      <c r="A4846" t="s">
        <v>917</v>
      </c>
      <c r="B4846" t="s">
        <v>918</v>
      </c>
      <c r="C4846" s="1">
        <v>41505</v>
      </c>
      <c r="D4846" s="1">
        <v>41512</v>
      </c>
      <c r="E4846">
        <v>16313</v>
      </c>
      <c r="F4846" t="s">
        <v>311</v>
      </c>
      <c r="G4846" t="s">
        <v>16</v>
      </c>
      <c r="H4846" t="s">
        <v>7015</v>
      </c>
      <c r="I4846">
        <v>2.3559000000000001</v>
      </c>
      <c r="J4846">
        <v>176692.5</v>
      </c>
      <c r="K4846">
        <v>75000</v>
      </c>
    </row>
    <row r="4847" spans="1:11" x14ac:dyDescent="0.25">
      <c r="A4847" t="s">
        <v>3803</v>
      </c>
      <c r="B4847" t="s">
        <v>3804</v>
      </c>
      <c r="C4847" s="1">
        <v>41506</v>
      </c>
      <c r="D4847" s="1">
        <v>41509</v>
      </c>
      <c r="E4847">
        <v>287</v>
      </c>
      <c r="F4847" t="s">
        <v>311</v>
      </c>
      <c r="G4847" t="s">
        <v>16</v>
      </c>
      <c r="H4847" t="s">
        <v>3805</v>
      </c>
      <c r="I4847">
        <v>2.3980000000000001</v>
      </c>
      <c r="J4847">
        <v>575376</v>
      </c>
      <c r="K4847">
        <v>239939.94995829859</v>
      </c>
    </row>
    <row r="4848" spans="1:11" x14ac:dyDescent="0.25">
      <c r="A4848" t="s">
        <v>907</v>
      </c>
      <c r="B4848" t="s">
        <v>908</v>
      </c>
      <c r="C4848" s="1">
        <v>41530</v>
      </c>
      <c r="D4848" s="1">
        <v>41534</v>
      </c>
      <c r="E4848">
        <v>1</v>
      </c>
      <c r="F4848" t="s">
        <v>887</v>
      </c>
      <c r="G4848" t="s">
        <v>16</v>
      </c>
      <c r="H4848" t="s">
        <v>3806</v>
      </c>
      <c r="I4848">
        <v>2.2768999999999999</v>
      </c>
      <c r="J4848">
        <v>61210.32</v>
      </c>
      <c r="K4848">
        <v>26883.18327550617</v>
      </c>
    </row>
    <row r="4849" spans="1:11" x14ac:dyDescent="0.25">
      <c r="A4849" t="s">
        <v>885</v>
      </c>
      <c r="B4849" t="s">
        <v>886</v>
      </c>
      <c r="C4849" s="1">
        <v>41527</v>
      </c>
      <c r="D4849" s="1">
        <v>41533</v>
      </c>
      <c r="E4849">
        <v>4</v>
      </c>
      <c r="F4849" t="s">
        <v>887</v>
      </c>
      <c r="G4849" t="s">
        <v>16</v>
      </c>
      <c r="H4849" t="s">
        <v>3807</v>
      </c>
      <c r="I4849">
        <v>2.2867999999999999</v>
      </c>
      <c r="J4849">
        <v>58545.21</v>
      </c>
      <c r="K4849">
        <v>25601.368724855693</v>
      </c>
    </row>
    <row r="4850" spans="1:11" x14ac:dyDescent="0.25">
      <c r="A4850" t="s">
        <v>3808</v>
      </c>
      <c r="B4850" t="s">
        <v>3809</v>
      </c>
      <c r="C4850" s="1">
        <v>41529</v>
      </c>
      <c r="D4850" s="1">
        <v>41538</v>
      </c>
      <c r="E4850">
        <v>379</v>
      </c>
      <c r="F4850" t="s">
        <v>2481</v>
      </c>
      <c r="G4850" t="s">
        <v>16</v>
      </c>
      <c r="H4850" t="s">
        <v>3810</v>
      </c>
      <c r="I4850">
        <v>2.2947000000000002</v>
      </c>
      <c r="J4850">
        <v>60132</v>
      </c>
      <c r="K4850">
        <v>26204.732644790169</v>
      </c>
    </row>
    <row r="4851" spans="1:11" x14ac:dyDescent="0.25">
      <c r="A4851" t="s">
        <v>896</v>
      </c>
      <c r="B4851" t="s">
        <v>897</v>
      </c>
      <c r="C4851" s="1">
        <v>41536</v>
      </c>
      <c r="D4851" s="1">
        <v>41542</v>
      </c>
      <c r="E4851">
        <v>296</v>
      </c>
      <c r="F4851" t="s">
        <v>887</v>
      </c>
      <c r="G4851" t="s">
        <v>16</v>
      </c>
      <c r="H4851" t="s">
        <v>3811</v>
      </c>
      <c r="I4851">
        <v>2.2488999999999999</v>
      </c>
      <c r="J4851">
        <v>63524.06</v>
      </c>
      <c r="K4851">
        <v>28246.72506558762</v>
      </c>
    </row>
    <row r="4852" spans="1:11" x14ac:dyDescent="0.25">
      <c r="A4852" t="s">
        <v>896</v>
      </c>
      <c r="B4852" t="s">
        <v>897</v>
      </c>
      <c r="C4852" s="1">
        <v>41540</v>
      </c>
      <c r="D4852" s="1">
        <v>41544</v>
      </c>
      <c r="E4852">
        <v>296</v>
      </c>
      <c r="F4852" t="s">
        <v>887</v>
      </c>
      <c r="G4852" t="s">
        <v>16</v>
      </c>
      <c r="H4852" t="s">
        <v>3812</v>
      </c>
      <c r="I4852">
        <v>2.2052999999999998</v>
      </c>
      <c r="J4852">
        <v>48636.13</v>
      </c>
      <c r="K4852">
        <v>22054.201242461342</v>
      </c>
    </row>
    <row r="4853" spans="1:11" x14ac:dyDescent="0.25">
      <c r="A4853" t="s">
        <v>896</v>
      </c>
      <c r="B4853" t="s">
        <v>897</v>
      </c>
      <c r="C4853" s="1">
        <v>41537</v>
      </c>
      <c r="D4853" s="1">
        <v>41547</v>
      </c>
      <c r="E4853">
        <v>296</v>
      </c>
      <c r="F4853" t="s">
        <v>887</v>
      </c>
      <c r="G4853" t="s">
        <v>16</v>
      </c>
      <c r="H4853" t="s">
        <v>3813</v>
      </c>
      <c r="I4853">
        <v>2.2035999999999998</v>
      </c>
      <c r="J4853">
        <v>63966.1</v>
      </c>
      <c r="K4853">
        <v>29027.999636957706</v>
      </c>
    </row>
    <row r="4854" spans="1:11" x14ac:dyDescent="0.25">
      <c r="A4854" t="s">
        <v>907</v>
      </c>
      <c r="B4854" t="s">
        <v>908</v>
      </c>
      <c r="C4854" s="1">
        <v>41530</v>
      </c>
      <c r="D4854" s="1">
        <v>41535</v>
      </c>
      <c r="E4854">
        <v>1</v>
      </c>
      <c r="F4854" t="s">
        <v>887</v>
      </c>
      <c r="G4854" t="s">
        <v>16</v>
      </c>
      <c r="H4854" t="s">
        <v>7016</v>
      </c>
      <c r="I4854">
        <v>2.2768999999999999</v>
      </c>
      <c r="J4854">
        <v>67020.78</v>
      </c>
      <c r="K4854">
        <v>29435.10035574685</v>
      </c>
    </row>
    <row r="4855" spans="1:11" x14ac:dyDescent="0.25">
      <c r="A4855" t="s">
        <v>910</v>
      </c>
      <c r="B4855" t="s">
        <v>911</v>
      </c>
      <c r="C4855" s="1">
        <v>41541</v>
      </c>
      <c r="D4855" s="1">
        <v>41543</v>
      </c>
      <c r="E4855">
        <v>3</v>
      </c>
      <c r="F4855" t="s">
        <v>912</v>
      </c>
      <c r="G4855" t="s">
        <v>16</v>
      </c>
      <c r="H4855" t="s">
        <v>3814</v>
      </c>
      <c r="I4855">
        <v>2.2033</v>
      </c>
      <c r="J4855">
        <v>10287</v>
      </c>
      <c r="K4855">
        <v>4668.9057323106254</v>
      </c>
    </row>
    <row r="4856" spans="1:11" x14ac:dyDescent="0.25">
      <c r="A4856" t="s">
        <v>896</v>
      </c>
      <c r="B4856" t="s">
        <v>897</v>
      </c>
      <c r="C4856" s="1">
        <v>41541</v>
      </c>
      <c r="D4856" s="1">
        <v>41547</v>
      </c>
      <c r="E4856">
        <v>296</v>
      </c>
      <c r="F4856" t="s">
        <v>887</v>
      </c>
      <c r="G4856" t="s">
        <v>16</v>
      </c>
      <c r="H4856" t="s">
        <v>3815</v>
      </c>
      <c r="I4856">
        <v>2.2033</v>
      </c>
      <c r="J4856">
        <v>64295.38</v>
      </c>
      <c r="K4856">
        <v>29181.400626333227</v>
      </c>
    </row>
    <row r="4857" spans="1:11" x14ac:dyDescent="0.25">
      <c r="A4857" t="s">
        <v>896</v>
      </c>
      <c r="B4857" t="s">
        <v>897</v>
      </c>
      <c r="C4857" s="1">
        <v>41529</v>
      </c>
      <c r="D4857" s="1">
        <v>41534</v>
      </c>
      <c r="E4857">
        <v>296</v>
      </c>
      <c r="F4857" t="s">
        <v>887</v>
      </c>
      <c r="G4857" t="s">
        <v>16</v>
      </c>
      <c r="H4857" t="s">
        <v>3816</v>
      </c>
      <c r="I4857">
        <v>2.2947000000000002</v>
      </c>
      <c r="J4857">
        <v>65825.31</v>
      </c>
      <c r="K4857">
        <v>28685.802065629494</v>
      </c>
    </row>
    <row r="4858" spans="1:11" x14ac:dyDescent="0.25">
      <c r="A4858" t="s">
        <v>1558</v>
      </c>
      <c r="B4858" t="s">
        <v>1559</v>
      </c>
      <c r="C4858" s="1">
        <v>41551</v>
      </c>
      <c r="D4858" s="1">
        <v>41562</v>
      </c>
      <c r="E4858">
        <v>2</v>
      </c>
      <c r="F4858" t="s">
        <v>887</v>
      </c>
      <c r="G4858" t="s">
        <v>16</v>
      </c>
      <c r="H4858" t="s">
        <v>3817</v>
      </c>
      <c r="I4858">
        <v>2.2069000000000001</v>
      </c>
      <c r="J4858">
        <v>76430</v>
      </c>
      <c r="K4858">
        <v>34632.289637047441</v>
      </c>
    </row>
    <row r="4859" spans="1:11" x14ac:dyDescent="0.25">
      <c r="A4859" t="s">
        <v>1558</v>
      </c>
      <c r="B4859" t="s">
        <v>1559</v>
      </c>
      <c r="C4859" s="1">
        <v>41544</v>
      </c>
      <c r="D4859" s="1">
        <v>41562</v>
      </c>
      <c r="E4859">
        <v>2</v>
      </c>
      <c r="F4859" t="s">
        <v>887</v>
      </c>
      <c r="G4859" t="s">
        <v>16</v>
      </c>
      <c r="H4859" t="s">
        <v>7017</v>
      </c>
      <c r="I4859">
        <v>2.2284999999999999</v>
      </c>
      <c r="J4859">
        <v>55667.17</v>
      </c>
      <c r="K4859">
        <v>24979.658963428315</v>
      </c>
    </row>
    <row r="4860" spans="1:11" x14ac:dyDescent="0.25">
      <c r="A4860" t="s">
        <v>907</v>
      </c>
      <c r="B4860" t="s">
        <v>908</v>
      </c>
      <c r="C4860" s="1">
        <v>41555</v>
      </c>
      <c r="D4860" s="1">
        <v>41563</v>
      </c>
      <c r="E4860">
        <v>1</v>
      </c>
      <c r="F4860" t="s">
        <v>887</v>
      </c>
      <c r="G4860" t="s">
        <v>16</v>
      </c>
      <c r="H4860" t="s">
        <v>3818</v>
      </c>
      <c r="I4860">
        <v>2.2086999999999999</v>
      </c>
      <c r="J4860">
        <v>53522.86</v>
      </c>
      <c r="K4860">
        <v>24232.743242631412</v>
      </c>
    </row>
    <row r="4861" spans="1:11" x14ac:dyDescent="0.25">
      <c r="A4861" t="s">
        <v>924</v>
      </c>
      <c r="B4861" t="s">
        <v>925</v>
      </c>
      <c r="C4861" s="1">
        <v>41558</v>
      </c>
      <c r="D4861" s="1">
        <v>41565</v>
      </c>
      <c r="E4861">
        <v>696</v>
      </c>
      <c r="F4861" t="s">
        <v>278</v>
      </c>
      <c r="G4861" t="s">
        <v>16</v>
      </c>
      <c r="H4861" t="s">
        <v>3819</v>
      </c>
      <c r="I4861">
        <v>2.1850000000000001</v>
      </c>
      <c r="J4861">
        <v>476491.2</v>
      </c>
      <c r="K4861">
        <v>218073.77574370708</v>
      </c>
    </row>
    <row r="4862" spans="1:11" x14ac:dyDescent="0.25">
      <c r="A4862" t="s">
        <v>896</v>
      </c>
      <c r="B4862" t="s">
        <v>897</v>
      </c>
      <c r="C4862" s="1">
        <v>41542</v>
      </c>
      <c r="D4862" s="1">
        <v>41548</v>
      </c>
      <c r="E4862">
        <v>296</v>
      </c>
      <c r="F4862" t="s">
        <v>887</v>
      </c>
      <c r="G4862" t="s">
        <v>16</v>
      </c>
      <c r="H4862" t="s">
        <v>7018</v>
      </c>
      <c r="I4862">
        <v>2.2031000000000001</v>
      </c>
      <c r="J4862">
        <v>61429.919999999998</v>
      </c>
      <c r="K4862">
        <v>27883.400662702556</v>
      </c>
    </row>
    <row r="4863" spans="1:11" x14ac:dyDescent="0.25">
      <c r="A4863" t="s">
        <v>896</v>
      </c>
      <c r="B4863" t="s">
        <v>897</v>
      </c>
      <c r="C4863" s="1">
        <v>41549</v>
      </c>
      <c r="D4863" s="1">
        <v>41555</v>
      </c>
      <c r="E4863">
        <v>296</v>
      </c>
      <c r="F4863" t="s">
        <v>887</v>
      </c>
      <c r="G4863" t="s">
        <v>16</v>
      </c>
      <c r="H4863" t="s">
        <v>7019</v>
      </c>
      <c r="I4863">
        <v>2.2122999999999999</v>
      </c>
      <c r="J4863">
        <v>64531.91</v>
      </c>
      <c r="K4863">
        <v>29169.601771911584</v>
      </c>
    </row>
    <row r="4864" spans="1:11" x14ac:dyDescent="0.25">
      <c r="A4864" t="s">
        <v>896</v>
      </c>
      <c r="B4864" t="s">
        <v>897</v>
      </c>
      <c r="C4864" s="1">
        <v>41548</v>
      </c>
      <c r="D4864" s="1">
        <v>41555</v>
      </c>
      <c r="E4864">
        <v>296</v>
      </c>
      <c r="F4864" t="s">
        <v>887</v>
      </c>
      <c r="G4864" t="s">
        <v>16</v>
      </c>
      <c r="H4864" t="s">
        <v>3820</v>
      </c>
      <c r="I4864">
        <v>2.23</v>
      </c>
      <c r="J4864">
        <v>66561.259999999995</v>
      </c>
      <c r="K4864">
        <v>29848.098654708519</v>
      </c>
    </row>
    <row r="4865" spans="1:11" x14ac:dyDescent="0.25">
      <c r="A4865" t="s">
        <v>950</v>
      </c>
      <c r="B4865" t="s">
        <v>951</v>
      </c>
      <c r="C4865" s="1">
        <v>41547</v>
      </c>
      <c r="D4865" s="1">
        <v>41556</v>
      </c>
      <c r="E4865">
        <v>501</v>
      </c>
      <c r="F4865" t="s">
        <v>309</v>
      </c>
      <c r="G4865" t="s">
        <v>16</v>
      </c>
      <c r="H4865" t="s">
        <v>3821</v>
      </c>
      <c r="I4865">
        <v>2.2570999999999999</v>
      </c>
      <c r="J4865">
        <v>145513.60000000001</v>
      </c>
      <c r="K4865">
        <v>64469.274733064551</v>
      </c>
    </row>
    <row r="4866" spans="1:11" x14ac:dyDescent="0.25">
      <c r="A4866" t="s">
        <v>921</v>
      </c>
      <c r="B4866" t="s">
        <v>922</v>
      </c>
      <c r="C4866" s="1">
        <v>41546</v>
      </c>
      <c r="D4866" s="1">
        <v>41550</v>
      </c>
      <c r="E4866">
        <v>18399</v>
      </c>
      <c r="F4866" t="s">
        <v>887</v>
      </c>
      <c r="G4866" t="s">
        <v>16</v>
      </c>
      <c r="H4866" t="s">
        <v>3822</v>
      </c>
      <c r="I4866">
        <v>2.2570999999999999</v>
      </c>
      <c r="J4866">
        <v>55277.68</v>
      </c>
      <c r="K4866">
        <v>24490.576403349431</v>
      </c>
    </row>
    <row r="4867" spans="1:11" x14ac:dyDescent="0.25">
      <c r="A4867" t="s">
        <v>896</v>
      </c>
      <c r="B4867" t="s">
        <v>897</v>
      </c>
      <c r="C4867" s="1">
        <v>41549</v>
      </c>
      <c r="D4867" s="1">
        <v>41555</v>
      </c>
      <c r="E4867">
        <v>296</v>
      </c>
      <c r="F4867" t="s">
        <v>887</v>
      </c>
      <c r="G4867" t="s">
        <v>16</v>
      </c>
      <c r="H4867" t="s">
        <v>3823</v>
      </c>
      <c r="I4867">
        <v>2.2122999999999999</v>
      </c>
      <c r="J4867">
        <v>65811.06</v>
      </c>
      <c r="K4867">
        <v>29747.800931157617</v>
      </c>
    </row>
    <row r="4868" spans="1:11" x14ac:dyDescent="0.25">
      <c r="A4868" t="s">
        <v>885</v>
      </c>
      <c r="B4868" t="s">
        <v>886</v>
      </c>
      <c r="C4868" s="1">
        <v>41555</v>
      </c>
      <c r="D4868" s="1">
        <v>41561</v>
      </c>
      <c r="E4868">
        <v>4</v>
      </c>
      <c r="F4868" t="s">
        <v>887</v>
      </c>
      <c r="G4868" t="s">
        <v>16</v>
      </c>
      <c r="H4868" t="s">
        <v>7020</v>
      </c>
      <c r="I4868">
        <v>2.2086999999999999</v>
      </c>
      <c r="J4868">
        <v>54573.599999999999</v>
      </c>
      <c r="K4868">
        <v>24708.471046316838</v>
      </c>
    </row>
    <row r="4869" spans="1:11" x14ac:dyDescent="0.25">
      <c r="A4869" t="s">
        <v>5434</v>
      </c>
      <c r="B4869" t="s">
        <v>586</v>
      </c>
      <c r="C4869" s="1">
        <v>41548</v>
      </c>
      <c r="D4869" s="1">
        <v>41549</v>
      </c>
      <c r="E4869">
        <v>299</v>
      </c>
      <c r="F4869" t="s">
        <v>5435</v>
      </c>
      <c r="G4869" t="s">
        <v>16</v>
      </c>
      <c r="H4869" t="s">
        <v>7021</v>
      </c>
      <c r="I4869">
        <v>2.23</v>
      </c>
      <c r="J4869">
        <v>144953.39000000001</v>
      </c>
      <c r="K4869">
        <v>65001.520179372201</v>
      </c>
    </row>
    <row r="4870" spans="1:11" x14ac:dyDescent="0.25">
      <c r="A4870" t="s">
        <v>3824</v>
      </c>
      <c r="B4870" t="s">
        <v>3825</v>
      </c>
      <c r="C4870" s="1">
        <v>41545</v>
      </c>
      <c r="D4870" s="1">
        <v>41551</v>
      </c>
      <c r="E4870">
        <v>18441</v>
      </c>
      <c r="F4870" t="s">
        <v>303</v>
      </c>
      <c r="G4870" t="s">
        <v>16</v>
      </c>
      <c r="H4870" t="s">
        <v>3826</v>
      </c>
      <c r="I4870">
        <v>2.2570999999999999</v>
      </c>
      <c r="J4870">
        <v>163126.20000000001</v>
      </c>
      <c r="K4870">
        <v>72272.473527978378</v>
      </c>
    </row>
    <row r="4871" spans="1:11" x14ac:dyDescent="0.25">
      <c r="A4871" t="s">
        <v>885</v>
      </c>
      <c r="B4871" t="s">
        <v>886</v>
      </c>
      <c r="C4871" s="1">
        <v>41550</v>
      </c>
      <c r="D4871" s="1">
        <v>41557</v>
      </c>
      <c r="E4871">
        <v>4</v>
      </c>
      <c r="F4871" t="s">
        <v>887</v>
      </c>
      <c r="G4871" t="s">
        <v>16</v>
      </c>
      <c r="H4871" t="s">
        <v>3827</v>
      </c>
      <c r="I4871">
        <v>2.2088000000000001</v>
      </c>
      <c r="J4871">
        <v>56431.17</v>
      </c>
      <c r="K4871">
        <v>25548.338464324519</v>
      </c>
    </row>
    <row r="4872" spans="1:11" x14ac:dyDescent="0.25">
      <c r="A4872" t="s">
        <v>2014</v>
      </c>
      <c r="B4872" t="s">
        <v>2015</v>
      </c>
      <c r="C4872" s="1">
        <v>41548</v>
      </c>
      <c r="D4872" s="1">
        <v>41557</v>
      </c>
      <c r="E4872">
        <v>6</v>
      </c>
      <c r="F4872" t="s">
        <v>887</v>
      </c>
      <c r="G4872" t="s">
        <v>16</v>
      </c>
      <c r="H4872" t="s">
        <v>3828</v>
      </c>
      <c r="I4872">
        <v>2.23</v>
      </c>
      <c r="J4872">
        <v>72460.19</v>
      </c>
      <c r="K4872">
        <v>32493.35874439462</v>
      </c>
    </row>
    <row r="4873" spans="1:11" x14ac:dyDescent="0.25">
      <c r="A4873" t="s">
        <v>7022</v>
      </c>
      <c r="B4873" t="s">
        <v>5877</v>
      </c>
      <c r="C4873" s="1">
        <v>41535</v>
      </c>
      <c r="D4873" s="1">
        <v>41550</v>
      </c>
      <c r="E4873">
        <v>27</v>
      </c>
      <c r="F4873" t="s">
        <v>303</v>
      </c>
      <c r="G4873" t="s">
        <v>16</v>
      </c>
      <c r="H4873" t="s">
        <v>5878</v>
      </c>
      <c r="I4873">
        <v>2.2616999999999998</v>
      </c>
      <c r="J4873">
        <v>36814.93</v>
      </c>
      <c r="K4873">
        <v>16277.547862227528</v>
      </c>
    </row>
    <row r="4874" spans="1:11" x14ac:dyDescent="0.25">
      <c r="A4874" t="s">
        <v>924</v>
      </c>
      <c r="B4874" t="s">
        <v>925</v>
      </c>
      <c r="C4874" s="1">
        <v>41551</v>
      </c>
      <c r="D4874" s="1">
        <v>41558</v>
      </c>
      <c r="E4874">
        <v>696</v>
      </c>
      <c r="F4874" t="s">
        <v>278</v>
      </c>
      <c r="G4874" t="s">
        <v>16</v>
      </c>
      <c r="H4874" t="s">
        <v>7023</v>
      </c>
      <c r="I4874">
        <v>2.2069000000000001</v>
      </c>
      <c r="J4874">
        <v>109276.4</v>
      </c>
      <c r="K4874">
        <v>49515.791381575968</v>
      </c>
    </row>
    <row r="4875" spans="1:11" x14ac:dyDescent="0.25">
      <c r="A4875" t="s">
        <v>907</v>
      </c>
      <c r="B4875" t="s">
        <v>908</v>
      </c>
      <c r="C4875" s="1">
        <v>41535</v>
      </c>
      <c r="D4875" s="1">
        <v>41540</v>
      </c>
      <c r="E4875">
        <v>1</v>
      </c>
      <c r="F4875" t="s">
        <v>887</v>
      </c>
      <c r="G4875" t="s">
        <v>16</v>
      </c>
      <c r="H4875" t="s">
        <v>7024</v>
      </c>
      <c r="I4875">
        <v>2.2616999999999998</v>
      </c>
      <c r="J4875">
        <v>66306.490000000005</v>
      </c>
      <c r="K4875">
        <v>29317.102179776273</v>
      </c>
    </row>
    <row r="4876" spans="1:11" x14ac:dyDescent="0.25">
      <c r="A4876" t="s">
        <v>934</v>
      </c>
      <c r="B4876" t="s">
        <v>935</v>
      </c>
      <c r="C4876" s="1">
        <v>41550</v>
      </c>
      <c r="D4876" s="1">
        <v>41561</v>
      </c>
      <c r="E4876">
        <v>34</v>
      </c>
      <c r="F4876" t="s">
        <v>278</v>
      </c>
      <c r="G4876" t="s">
        <v>16</v>
      </c>
      <c r="H4876" t="s">
        <v>3829</v>
      </c>
      <c r="I4876">
        <v>2.2088000000000001</v>
      </c>
      <c r="J4876">
        <v>28088</v>
      </c>
      <c r="K4876">
        <v>12716.407098877218</v>
      </c>
    </row>
    <row r="4877" spans="1:11" x14ac:dyDescent="0.25">
      <c r="A4877" t="s">
        <v>3830</v>
      </c>
      <c r="B4877" t="s">
        <v>944</v>
      </c>
      <c r="C4877" s="1">
        <v>41565</v>
      </c>
      <c r="D4877" s="1">
        <v>41569</v>
      </c>
      <c r="E4877">
        <v>893</v>
      </c>
      <c r="F4877" t="s">
        <v>301</v>
      </c>
      <c r="G4877" t="s">
        <v>16</v>
      </c>
      <c r="H4877" t="s">
        <v>3831</v>
      </c>
      <c r="I4877">
        <v>2.1610999999999998</v>
      </c>
      <c r="J4877">
        <v>42559.99</v>
      </c>
      <c r="K4877">
        <v>19693.669890333626</v>
      </c>
    </row>
    <row r="4878" spans="1:11" x14ac:dyDescent="0.25">
      <c r="A4878" t="s">
        <v>2518</v>
      </c>
      <c r="B4878" t="s">
        <v>2519</v>
      </c>
      <c r="C4878" s="1">
        <v>41564</v>
      </c>
      <c r="D4878" s="1">
        <v>41599</v>
      </c>
      <c r="E4878">
        <v>980</v>
      </c>
      <c r="F4878" t="s">
        <v>441</v>
      </c>
      <c r="G4878" t="s">
        <v>16</v>
      </c>
      <c r="H4878" t="s">
        <v>3832</v>
      </c>
      <c r="I4878">
        <v>2.1629</v>
      </c>
      <c r="J4878">
        <v>73772.009999999995</v>
      </c>
      <c r="K4878">
        <v>34107.915298904249</v>
      </c>
    </row>
    <row r="4879" spans="1:11" x14ac:dyDescent="0.25">
      <c r="A4879" t="s">
        <v>2518</v>
      </c>
      <c r="B4879" t="s">
        <v>2519</v>
      </c>
      <c r="C4879" s="1">
        <v>41596</v>
      </c>
      <c r="D4879" s="1">
        <v>41599</v>
      </c>
      <c r="E4879">
        <v>980</v>
      </c>
      <c r="F4879" t="s">
        <v>441</v>
      </c>
      <c r="G4879" t="s">
        <v>16</v>
      </c>
      <c r="H4879" t="s">
        <v>7025</v>
      </c>
      <c r="I4879">
        <v>2.3289</v>
      </c>
      <c r="J4879">
        <v>81157.570000000007</v>
      </c>
      <c r="K4879">
        <v>34848.026965520199</v>
      </c>
    </row>
    <row r="4880" spans="1:11" x14ac:dyDescent="0.25">
      <c r="A4880" t="s">
        <v>1544</v>
      </c>
      <c r="B4880" t="s">
        <v>1545</v>
      </c>
      <c r="C4880" s="1">
        <v>41576</v>
      </c>
      <c r="D4880" s="1">
        <v>41584</v>
      </c>
      <c r="E4880">
        <v>18825</v>
      </c>
      <c r="F4880" t="s">
        <v>301</v>
      </c>
      <c r="G4880" t="s">
        <v>16</v>
      </c>
      <c r="H4880" t="s">
        <v>3833</v>
      </c>
      <c r="I4880">
        <v>2.1846000000000001</v>
      </c>
      <c r="J4880">
        <v>61920</v>
      </c>
      <c r="K4880">
        <v>28343.861576489977</v>
      </c>
    </row>
    <row r="4881" spans="1:11" x14ac:dyDescent="0.25">
      <c r="A4881" t="s">
        <v>1544</v>
      </c>
      <c r="B4881" t="s">
        <v>1545</v>
      </c>
      <c r="C4881" s="1">
        <v>41576</v>
      </c>
      <c r="D4881" s="1">
        <v>41584</v>
      </c>
      <c r="E4881">
        <v>18825</v>
      </c>
      <c r="F4881" t="s">
        <v>301</v>
      </c>
      <c r="G4881" t="s">
        <v>16</v>
      </c>
      <c r="H4881" t="s">
        <v>7026</v>
      </c>
      <c r="I4881">
        <v>2.1846000000000001</v>
      </c>
      <c r="J4881">
        <v>61920</v>
      </c>
      <c r="K4881">
        <v>28343.861576489977</v>
      </c>
    </row>
    <row r="4882" spans="1:11" x14ac:dyDescent="0.25">
      <c r="A4882" t="s">
        <v>1544</v>
      </c>
      <c r="B4882" t="s">
        <v>1545</v>
      </c>
      <c r="C4882" s="1">
        <v>41577</v>
      </c>
      <c r="D4882" s="1">
        <v>41584</v>
      </c>
      <c r="E4882">
        <v>18825</v>
      </c>
      <c r="F4882" t="s">
        <v>301</v>
      </c>
      <c r="G4882" t="s">
        <v>16</v>
      </c>
      <c r="H4882" t="s">
        <v>3834</v>
      </c>
      <c r="I4882">
        <v>2.1804000000000001</v>
      </c>
      <c r="J4882">
        <v>10968</v>
      </c>
      <c r="K4882">
        <v>5030.2696752889378</v>
      </c>
    </row>
    <row r="4883" spans="1:11" x14ac:dyDescent="0.25">
      <c r="A4883" t="s">
        <v>1544</v>
      </c>
      <c r="B4883" t="s">
        <v>1545</v>
      </c>
      <c r="C4883" s="1">
        <v>41576</v>
      </c>
      <c r="D4883" s="1">
        <v>41584</v>
      </c>
      <c r="E4883">
        <v>18825</v>
      </c>
      <c r="F4883" t="s">
        <v>301</v>
      </c>
      <c r="G4883" t="s">
        <v>16</v>
      </c>
      <c r="H4883" t="s">
        <v>3835</v>
      </c>
      <c r="I4883">
        <v>2.1846000000000001</v>
      </c>
      <c r="J4883">
        <v>61920</v>
      </c>
      <c r="K4883">
        <v>28343.861576489977</v>
      </c>
    </row>
    <row r="4884" spans="1:11" x14ac:dyDescent="0.25">
      <c r="A4884" t="s">
        <v>893</v>
      </c>
      <c r="B4884" t="s">
        <v>894</v>
      </c>
      <c r="C4884" s="1">
        <v>41523</v>
      </c>
      <c r="D4884" s="1">
        <v>41576</v>
      </c>
      <c r="E4884">
        <v>4</v>
      </c>
      <c r="F4884" t="s">
        <v>311</v>
      </c>
      <c r="G4884" t="s">
        <v>16</v>
      </c>
      <c r="H4884" t="s">
        <v>7027</v>
      </c>
      <c r="I4884">
        <v>2.3313999999999999</v>
      </c>
      <c r="J4884">
        <v>10069.06</v>
      </c>
      <c r="K4884">
        <v>4318.8899373766835</v>
      </c>
    </row>
    <row r="4885" spans="1:11" x14ac:dyDescent="0.25">
      <c r="A4885" t="s">
        <v>3836</v>
      </c>
      <c r="B4885" t="s">
        <v>3837</v>
      </c>
      <c r="C4885" s="1">
        <v>41575</v>
      </c>
      <c r="D4885" s="1">
        <v>41575</v>
      </c>
      <c r="E4885">
        <v>18475</v>
      </c>
      <c r="F4885" t="s">
        <v>665</v>
      </c>
      <c r="G4885" t="s">
        <v>16</v>
      </c>
      <c r="H4885" t="s">
        <v>3838</v>
      </c>
      <c r="I4885">
        <v>2.1848000000000001</v>
      </c>
      <c r="J4885">
        <v>5383.35</v>
      </c>
      <c r="K4885">
        <v>2464.0012815818382</v>
      </c>
    </row>
    <row r="4886" spans="1:11" x14ac:dyDescent="0.25">
      <c r="A4886" t="s">
        <v>946</v>
      </c>
      <c r="B4886" t="s">
        <v>947</v>
      </c>
      <c r="C4886" s="1">
        <v>41570</v>
      </c>
      <c r="D4886" s="1">
        <v>41573</v>
      </c>
      <c r="E4886">
        <v>1006</v>
      </c>
      <c r="F4886" t="s">
        <v>301</v>
      </c>
      <c r="G4886" t="s">
        <v>16</v>
      </c>
      <c r="H4886" t="s">
        <v>3839</v>
      </c>
      <c r="I4886">
        <v>2.1760000000000002</v>
      </c>
      <c r="J4886">
        <v>61605</v>
      </c>
      <c r="K4886">
        <v>28311.121323529413</v>
      </c>
    </row>
    <row r="4887" spans="1:11" x14ac:dyDescent="0.25">
      <c r="A4887" t="s">
        <v>1558</v>
      </c>
      <c r="B4887" t="s">
        <v>1559</v>
      </c>
      <c r="C4887" s="1">
        <v>41572</v>
      </c>
      <c r="D4887" s="1">
        <v>41596</v>
      </c>
      <c r="E4887">
        <v>2</v>
      </c>
      <c r="F4887" t="s">
        <v>887</v>
      </c>
      <c r="G4887" t="s">
        <v>16</v>
      </c>
      <c r="H4887" t="s">
        <v>7028</v>
      </c>
      <c r="I4887">
        <v>2.2002999999999999</v>
      </c>
      <c r="J4887">
        <v>66033.81</v>
      </c>
      <c r="K4887">
        <v>30011.275735127027</v>
      </c>
    </row>
    <row r="4888" spans="1:11" x14ac:dyDescent="0.25">
      <c r="A4888" t="s">
        <v>950</v>
      </c>
      <c r="B4888" t="s">
        <v>951</v>
      </c>
      <c r="C4888" s="1">
        <v>41584</v>
      </c>
      <c r="D4888" s="1">
        <v>41587</v>
      </c>
      <c r="E4888">
        <v>501</v>
      </c>
      <c r="F4888" t="s">
        <v>309</v>
      </c>
      <c r="G4888" t="s">
        <v>16</v>
      </c>
      <c r="H4888" t="s">
        <v>3840</v>
      </c>
      <c r="I4888">
        <v>2.2747000000000002</v>
      </c>
      <c r="J4888">
        <v>98320</v>
      </c>
      <c r="K4888">
        <v>43223.282191058162</v>
      </c>
    </row>
    <row r="4889" spans="1:11" x14ac:dyDescent="0.25">
      <c r="A4889" t="s">
        <v>1561</v>
      </c>
      <c r="B4889" t="s">
        <v>1562</v>
      </c>
      <c r="C4889" s="1">
        <v>41577</v>
      </c>
      <c r="D4889" s="1">
        <v>41589</v>
      </c>
      <c r="E4889">
        <v>5</v>
      </c>
      <c r="F4889" t="s">
        <v>887</v>
      </c>
      <c r="G4889" t="s">
        <v>16</v>
      </c>
      <c r="H4889" t="s">
        <v>7029</v>
      </c>
      <c r="I4889">
        <v>2.1804000000000001</v>
      </c>
      <c r="J4889">
        <v>48676.5</v>
      </c>
      <c r="K4889">
        <v>22324.573472757293</v>
      </c>
    </row>
    <row r="4890" spans="1:11" x14ac:dyDescent="0.25">
      <c r="A4890" t="s">
        <v>3841</v>
      </c>
      <c r="B4890" t="s">
        <v>3842</v>
      </c>
      <c r="C4890" s="1">
        <v>41573</v>
      </c>
      <c r="D4890" s="1">
        <v>41589</v>
      </c>
      <c r="E4890">
        <v>23</v>
      </c>
      <c r="F4890" t="s">
        <v>1553</v>
      </c>
      <c r="G4890" t="s">
        <v>16</v>
      </c>
      <c r="H4890" t="s">
        <v>3843</v>
      </c>
      <c r="I4890">
        <v>2.1848000000000001</v>
      </c>
      <c r="J4890">
        <v>12820.41</v>
      </c>
      <c r="K4890">
        <v>5868.0016477480776</v>
      </c>
    </row>
    <row r="4891" spans="1:11" x14ac:dyDescent="0.25">
      <c r="A4891" t="s">
        <v>2014</v>
      </c>
      <c r="B4891" t="s">
        <v>2015</v>
      </c>
      <c r="C4891" s="1">
        <v>41569</v>
      </c>
      <c r="D4891" s="1">
        <v>41589</v>
      </c>
      <c r="E4891">
        <v>6</v>
      </c>
      <c r="F4891" t="s">
        <v>887</v>
      </c>
      <c r="G4891" t="s">
        <v>16</v>
      </c>
      <c r="H4891" t="s">
        <v>7030</v>
      </c>
      <c r="I4891">
        <v>2.1738</v>
      </c>
      <c r="J4891">
        <v>75220.75</v>
      </c>
      <c r="K4891">
        <v>34603.344373907443</v>
      </c>
    </row>
    <row r="4892" spans="1:11" x14ac:dyDescent="0.25">
      <c r="A4892" t="s">
        <v>3844</v>
      </c>
      <c r="B4892" t="s">
        <v>2950</v>
      </c>
      <c r="C4892" s="1">
        <v>41575</v>
      </c>
      <c r="D4892" s="1">
        <v>41582</v>
      </c>
      <c r="E4892">
        <v>983</v>
      </c>
      <c r="F4892" t="s">
        <v>665</v>
      </c>
      <c r="G4892" t="s">
        <v>16</v>
      </c>
      <c r="H4892" t="s">
        <v>3845</v>
      </c>
      <c r="I4892">
        <v>2.1848000000000001</v>
      </c>
      <c r="J4892">
        <v>69983.509999999995</v>
      </c>
      <c r="K4892">
        <v>32031.998352251921</v>
      </c>
    </row>
    <row r="4893" spans="1:11" x14ac:dyDescent="0.25">
      <c r="A4893" t="s">
        <v>896</v>
      </c>
      <c r="B4893" t="s">
        <v>897</v>
      </c>
      <c r="C4893" s="1">
        <v>41563</v>
      </c>
      <c r="D4893" s="1">
        <v>41571</v>
      </c>
      <c r="E4893">
        <v>296</v>
      </c>
      <c r="F4893" t="s">
        <v>887</v>
      </c>
      <c r="G4893" t="s">
        <v>16</v>
      </c>
      <c r="H4893" t="s">
        <v>3846</v>
      </c>
      <c r="I4893">
        <v>2.1818</v>
      </c>
      <c r="J4893">
        <v>48235.43</v>
      </c>
      <c r="K4893">
        <v>22108.08965074709</v>
      </c>
    </row>
    <row r="4894" spans="1:11" x14ac:dyDescent="0.25">
      <c r="A4894" t="s">
        <v>896</v>
      </c>
      <c r="B4894" t="s">
        <v>897</v>
      </c>
      <c r="C4894" s="1">
        <v>41564</v>
      </c>
      <c r="D4894" s="1">
        <v>41571</v>
      </c>
      <c r="E4894">
        <v>296</v>
      </c>
      <c r="F4894" t="s">
        <v>887</v>
      </c>
      <c r="G4894" t="s">
        <v>16</v>
      </c>
      <c r="H4894" t="s">
        <v>7031</v>
      </c>
      <c r="I4894">
        <v>2.1629</v>
      </c>
      <c r="J4894">
        <v>48965.09</v>
      </c>
      <c r="K4894">
        <v>22638.628692958529</v>
      </c>
    </row>
    <row r="4895" spans="1:11" x14ac:dyDescent="0.25">
      <c r="A4895" t="s">
        <v>896</v>
      </c>
      <c r="B4895" t="s">
        <v>897</v>
      </c>
      <c r="C4895" s="1">
        <v>41563</v>
      </c>
      <c r="D4895" s="1">
        <v>41571</v>
      </c>
      <c r="E4895">
        <v>296</v>
      </c>
      <c r="F4895" t="s">
        <v>887</v>
      </c>
      <c r="G4895" t="s">
        <v>16</v>
      </c>
      <c r="H4895" t="s">
        <v>3847</v>
      </c>
      <c r="I4895">
        <v>2.1818</v>
      </c>
      <c r="J4895">
        <v>46971.56</v>
      </c>
      <c r="K4895">
        <v>21528.811073425612</v>
      </c>
    </row>
    <row r="4896" spans="1:11" x14ac:dyDescent="0.25">
      <c r="A4896" t="s">
        <v>921</v>
      </c>
      <c r="B4896" t="s">
        <v>922</v>
      </c>
      <c r="C4896" s="1">
        <v>41597</v>
      </c>
      <c r="D4896" s="1">
        <v>41604</v>
      </c>
      <c r="E4896">
        <v>18399</v>
      </c>
      <c r="F4896" t="s">
        <v>887</v>
      </c>
      <c r="G4896" t="s">
        <v>16</v>
      </c>
      <c r="H4896" t="s">
        <v>7032</v>
      </c>
      <c r="I4896">
        <v>2.2827999999999999</v>
      </c>
      <c r="J4896">
        <v>31324.02</v>
      </c>
      <c r="K4896">
        <v>13721.753986332575</v>
      </c>
    </row>
    <row r="4897" spans="1:11" x14ac:dyDescent="0.25">
      <c r="A4897" t="s">
        <v>2024</v>
      </c>
      <c r="B4897" t="s">
        <v>2025</v>
      </c>
      <c r="C4897" s="1">
        <v>41576</v>
      </c>
      <c r="D4897" s="1">
        <v>41584</v>
      </c>
      <c r="E4897">
        <v>18637</v>
      </c>
      <c r="F4897" t="s">
        <v>301</v>
      </c>
      <c r="G4897" t="s">
        <v>16</v>
      </c>
      <c r="H4897" t="s">
        <v>3848</v>
      </c>
      <c r="I4897">
        <v>2.1846000000000001</v>
      </c>
      <c r="J4897">
        <v>2752.01</v>
      </c>
      <c r="K4897">
        <v>1259.7317586743568</v>
      </c>
    </row>
    <row r="4898" spans="1:11" x14ac:dyDescent="0.25">
      <c r="A4898" t="s">
        <v>7033</v>
      </c>
      <c r="B4898" t="s">
        <v>7034</v>
      </c>
      <c r="C4898" s="1">
        <v>41573</v>
      </c>
      <c r="D4898" s="1">
        <v>41590</v>
      </c>
      <c r="E4898">
        <v>880</v>
      </c>
      <c r="F4898" t="s">
        <v>1553</v>
      </c>
      <c r="G4898" t="s">
        <v>16</v>
      </c>
      <c r="H4898" t="s">
        <v>7035</v>
      </c>
      <c r="I4898">
        <v>2.1848000000000001</v>
      </c>
      <c r="J4898">
        <v>6410.2</v>
      </c>
      <c r="K4898">
        <v>2933.9985353350421</v>
      </c>
    </row>
    <row r="4899" spans="1:11" x14ac:dyDescent="0.25">
      <c r="A4899" t="s">
        <v>1573</v>
      </c>
      <c r="B4899" t="s">
        <v>1574</v>
      </c>
      <c r="C4899" s="1">
        <v>41613</v>
      </c>
      <c r="D4899" s="1">
        <v>41618</v>
      </c>
      <c r="E4899">
        <v>18794</v>
      </c>
      <c r="F4899" t="s">
        <v>301</v>
      </c>
      <c r="G4899" t="s">
        <v>16</v>
      </c>
      <c r="H4899" t="s">
        <v>7036</v>
      </c>
      <c r="I4899">
        <v>2.3740000000000001</v>
      </c>
      <c r="J4899">
        <v>5460.01</v>
      </c>
      <c r="K4899">
        <v>2299.9199663016007</v>
      </c>
    </row>
    <row r="4900" spans="1:11" x14ac:dyDescent="0.25">
      <c r="A4900" t="s">
        <v>958</v>
      </c>
      <c r="B4900" t="s">
        <v>959</v>
      </c>
      <c r="C4900" s="1">
        <v>41634</v>
      </c>
      <c r="D4900" s="1">
        <v>41647</v>
      </c>
      <c r="E4900">
        <v>20364</v>
      </c>
      <c r="F4900" t="s">
        <v>318</v>
      </c>
      <c r="G4900" t="s">
        <v>16</v>
      </c>
      <c r="H4900" t="s">
        <v>3849</v>
      </c>
      <c r="I4900">
        <v>2.3553999999999999</v>
      </c>
      <c r="J4900">
        <v>74548.41</v>
      </c>
      <c r="K4900">
        <v>31650</v>
      </c>
    </row>
    <row r="4901" spans="1:11" x14ac:dyDescent="0.25">
      <c r="A4901" t="s">
        <v>2029</v>
      </c>
      <c r="B4901" t="s">
        <v>2030</v>
      </c>
      <c r="C4901" s="1">
        <v>41628</v>
      </c>
      <c r="D4901" s="1">
        <v>41630</v>
      </c>
      <c r="E4901">
        <v>19678</v>
      </c>
      <c r="F4901" t="s">
        <v>309</v>
      </c>
      <c r="G4901" t="s">
        <v>16</v>
      </c>
      <c r="H4901" t="s">
        <v>7037</v>
      </c>
      <c r="I4901">
        <v>2.3527999999999998</v>
      </c>
      <c r="J4901">
        <v>49076.28</v>
      </c>
      <c r="K4901">
        <v>20858.670520231215</v>
      </c>
    </row>
    <row r="4902" spans="1:11" x14ac:dyDescent="0.25">
      <c r="A4902" t="s">
        <v>964</v>
      </c>
      <c r="B4902" t="s">
        <v>965</v>
      </c>
      <c r="C4902" s="1">
        <v>41606</v>
      </c>
      <c r="D4902" s="1">
        <v>41613</v>
      </c>
      <c r="E4902">
        <v>18802</v>
      </c>
      <c r="F4902" t="s">
        <v>301</v>
      </c>
      <c r="G4902" t="s">
        <v>16</v>
      </c>
      <c r="H4902" t="s">
        <v>3850</v>
      </c>
      <c r="I4902">
        <v>2.3058000000000001</v>
      </c>
      <c r="J4902">
        <v>234429.99</v>
      </c>
      <c r="K4902">
        <v>101669.69815248504</v>
      </c>
    </row>
    <row r="4903" spans="1:11" x14ac:dyDescent="0.25">
      <c r="A4903" t="s">
        <v>964</v>
      </c>
      <c r="B4903" t="s">
        <v>965</v>
      </c>
      <c r="C4903" s="1">
        <v>41613</v>
      </c>
      <c r="D4903" s="1">
        <v>41621</v>
      </c>
      <c r="E4903">
        <v>18802</v>
      </c>
      <c r="F4903" t="s">
        <v>301</v>
      </c>
      <c r="G4903" t="s">
        <v>16</v>
      </c>
      <c r="H4903" t="s">
        <v>7038</v>
      </c>
      <c r="I4903">
        <v>2.3740000000000001</v>
      </c>
      <c r="J4903">
        <v>32570.400000000001</v>
      </c>
      <c r="K4903">
        <v>13719.629317607414</v>
      </c>
    </row>
    <row r="4904" spans="1:11" x14ac:dyDescent="0.25">
      <c r="A4904" t="s">
        <v>1020</v>
      </c>
      <c r="B4904" t="s">
        <v>1021</v>
      </c>
      <c r="C4904" s="1">
        <v>41632</v>
      </c>
      <c r="D4904" s="1">
        <v>41642</v>
      </c>
      <c r="E4904">
        <v>19971</v>
      </c>
      <c r="F4904" t="s">
        <v>309</v>
      </c>
      <c r="G4904" t="s">
        <v>16</v>
      </c>
      <c r="H4904" t="s">
        <v>3851</v>
      </c>
      <c r="I4904">
        <v>2.3706</v>
      </c>
      <c r="J4904">
        <v>50439.51</v>
      </c>
      <c r="K4904">
        <v>21277.107061503419</v>
      </c>
    </row>
    <row r="4905" spans="1:11" x14ac:dyDescent="0.25">
      <c r="A4905" t="s">
        <v>3852</v>
      </c>
      <c r="C4905" s="1">
        <v>41617</v>
      </c>
      <c r="D4905" s="1">
        <v>41624</v>
      </c>
      <c r="E4905">
        <v>1074</v>
      </c>
      <c r="F4905" t="s">
        <v>490</v>
      </c>
      <c r="G4905" t="s">
        <v>16</v>
      </c>
      <c r="H4905" t="s">
        <v>3853</v>
      </c>
      <c r="I4905">
        <v>2.3525</v>
      </c>
      <c r="J4905">
        <v>170</v>
      </c>
      <c r="K4905">
        <v>72.263549415515413</v>
      </c>
    </row>
    <row r="4906" spans="1:11" x14ac:dyDescent="0.25">
      <c r="A4906" t="s">
        <v>972</v>
      </c>
      <c r="B4906" t="s">
        <v>973</v>
      </c>
      <c r="C4906" s="1">
        <v>41646</v>
      </c>
      <c r="D4906" s="1">
        <v>41649</v>
      </c>
      <c r="E4906">
        <v>19543</v>
      </c>
      <c r="F4906" t="s">
        <v>675</v>
      </c>
      <c r="G4906" t="s">
        <v>16</v>
      </c>
      <c r="H4906" t="s">
        <v>7039</v>
      </c>
      <c r="I4906">
        <v>2.3788999999999998</v>
      </c>
      <c r="J4906">
        <v>172848</v>
      </c>
      <c r="K4906">
        <v>72658.791878599353</v>
      </c>
    </row>
    <row r="4907" spans="1:11" x14ac:dyDescent="0.25">
      <c r="A4907" t="s">
        <v>972</v>
      </c>
      <c r="B4907" t="s">
        <v>973</v>
      </c>
      <c r="C4907" s="1">
        <v>41625</v>
      </c>
      <c r="D4907" s="1">
        <v>41645</v>
      </c>
      <c r="E4907">
        <v>19543</v>
      </c>
      <c r="F4907" t="s">
        <v>301</v>
      </c>
      <c r="G4907" t="s">
        <v>16</v>
      </c>
      <c r="H4907" t="s">
        <v>3854</v>
      </c>
      <c r="I4907">
        <v>2.3254999999999999</v>
      </c>
      <c r="J4907">
        <v>12312.01</v>
      </c>
      <c r="K4907">
        <v>5294.3496022360787</v>
      </c>
    </row>
    <row r="4908" spans="1:11" x14ac:dyDescent="0.25">
      <c r="A4908" t="s">
        <v>950</v>
      </c>
      <c r="B4908" t="s">
        <v>951</v>
      </c>
      <c r="C4908" s="1">
        <v>41600</v>
      </c>
      <c r="D4908" s="1">
        <v>41605</v>
      </c>
      <c r="E4908">
        <v>501</v>
      </c>
      <c r="F4908" t="s">
        <v>309</v>
      </c>
      <c r="G4908" t="s">
        <v>16</v>
      </c>
      <c r="H4908" t="s">
        <v>3855</v>
      </c>
      <c r="I4908">
        <v>2.3067000000000002</v>
      </c>
      <c r="J4908">
        <v>98320</v>
      </c>
      <c r="K4908">
        <v>42623.661507781682</v>
      </c>
    </row>
    <row r="4909" spans="1:11" x14ac:dyDescent="0.25">
      <c r="A4909" t="s">
        <v>972</v>
      </c>
      <c r="B4909" t="s">
        <v>973</v>
      </c>
      <c r="C4909" s="1">
        <v>41606</v>
      </c>
      <c r="D4909" s="1">
        <v>41611</v>
      </c>
      <c r="E4909">
        <v>19543</v>
      </c>
      <c r="F4909" t="s">
        <v>301</v>
      </c>
      <c r="G4909" t="s">
        <v>16</v>
      </c>
      <c r="H4909" t="s">
        <v>3856</v>
      </c>
      <c r="I4909">
        <v>2.3058000000000001</v>
      </c>
      <c r="J4909">
        <v>201139.3</v>
      </c>
      <c r="K4909">
        <v>87231.893485991852</v>
      </c>
    </row>
    <row r="4910" spans="1:11" x14ac:dyDescent="0.25">
      <c r="A4910" t="s">
        <v>972</v>
      </c>
      <c r="B4910" t="s">
        <v>973</v>
      </c>
      <c r="C4910" s="1">
        <v>41618</v>
      </c>
      <c r="D4910" s="1">
        <v>41624</v>
      </c>
      <c r="E4910">
        <v>19543</v>
      </c>
      <c r="F4910" t="s">
        <v>301</v>
      </c>
      <c r="G4910" t="s">
        <v>16</v>
      </c>
      <c r="H4910" t="s">
        <v>7040</v>
      </c>
      <c r="I4910">
        <v>2.3224999999999998</v>
      </c>
      <c r="J4910">
        <v>299249.99</v>
      </c>
      <c r="K4910">
        <v>128848.21959095802</v>
      </c>
    </row>
    <row r="4911" spans="1:11" x14ac:dyDescent="0.25">
      <c r="A4911" t="s">
        <v>2004</v>
      </c>
      <c r="B4911" t="s">
        <v>2005</v>
      </c>
      <c r="C4911" s="1">
        <v>41646</v>
      </c>
      <c r="D4911" s="1">
        <v>41648</v>
      </c>
      <c r="E4911">
        <v>304</v>
      </c>
      <c r="F4911" t="s">
        <v>642</v>
      </c>
      <c r="G4911" t="s">
        <v>16</v>
      </c>
      <c r="H4911" t="s">
        <v>7041</v>
      </c>
      <c r="I4911">
        <v>2.3788999999999998</v>
      </c>
      <c r="J4911">
        <v>81153.279999999999</v>
      </c>
      <c r="K4911">
        <v>34113.783681533481</v>
      </c>
    </row>
    <row r="4912" spans="1:11" x14ac:dyDescent="0.25">
      <c r="A4912" t="s">
        <v>1020</v>
      </c>
      <c r="B4912" t="s">
        <v>1021</v>
      </c>
      <c r="C4912" s="1">
        <v>41646</v>
      </c>
      <c r="D4912" s="1">
        <v>41648</v>
      </c>
      <c r="E4912">
        <v>19971</v>
      </c>
      <c r="F4912" t="s">
        <v>309</v>
      </c>
      <c r="G4912" t="s">
        <v>16</v>
      </c>
      <c r="H4912" t="s">
        <v>7042</v>
      </c>
      <c r="I4912">
        <v>2.3788999999999998</v>
      </c>
      <c r="J4912">
        <v>50439.51</v>
      </c>
      <c r="K4912">
        <v>21202.871074866536</v>
      </c>
    </row>
    <row r="4913" spans="1:11" x14ac:dyDescent="0.25">
      <c r="A4913" t="s">
        <v>2029</v>
      </c>
      <c r="B4913" t="s">
        <v>2030</v>
      </c>
      <c r="C4913" s="1">
        <v>41627</v>
      </c>
      <c r="D4913" s="1">
        <v>41635</v>
      </c>
      <c r="E4913">
        <v>19678</v>
      </c>
      <c r="F4913" t="s">
        <v>309</v>
      </c>
      <c r="G4913" t="s">
        <v>16</v>
      </c>
      <c r="H4913" t="s">
        <v>7043</v>
      </c>
      <c r="I4913">
        <v>2.3273999999999999</v>
      </c>
      <c r="J4913">
        <v>47713.05</v>
      </c>
      <c r="K4913">
        <v>20500.580046403713</v>
      </c>
    </row>
    <row r="4914" spans="1:11" x14ac:dyDescent="0.25">
      <c r="A4914" t="s">
        <v>972</v>
      </c>
      <c r="B4914" t="s">
        <v>973</v>
      </c>
      <c r="C4914" s="1">
        <v>41646</v>
      </c>
      <c r="D4914" s="1">
        <v>41649</v>
      </c>
      <c r="E4914">
        <v>19543</v>
      </c>
      <c r="F4914" t="s">
        <v>675</v>
      </c>
      <c r="G4914" t="s">
        <v>16</v>
      </c>
      <c r="H4914" t="s">
        <v>7044</v>
      </c>
      <c r="I4914">
        <v>2.3788999999999998</v>
      </c>
      <c r="J4914">
        <v>122148</v>
      </c>
      <c r="K4914">
        <v>51346.420614569761</v>
      </c>
    </row>
    <row r="4915" spans="1:11" x14ac:dyDescent="0.25">
      <c r="A4915" t="s">
        <v>993</v>
      </c>
      <c r="B4915" t="s">
        <v>994</v>
      </c>
      <c r="C4915" s="1">
        <v>41659</v>
      </c>
      <c r="D4915" s="1">
        <v>41661</v>
      </c>
      <c r="E4915">
        <v>20658</v>
      </c>
      <c r="F4915" t="s">
        <v>887</v>
      </c>
      <c r="G4915" t="s">
        <v>16</v>
      </c>
      <c r="H4915" t="s">
        <v>3416</v>
      </c>
      <c r="I4915">
        <v>2.3601000000000001</v>
      </c>
      <c r="J4915">
        <v>52090.95</v>
      </c>
      <c r="K4915">
        <v>22071.501207575951</v>
      </c>
    </row>
    <row r="4916" spans="1:11" x14ac:dyDescent="0.25">
      <c r="A4916" t="s">
        <v>1009</v>
      </c>
      <c r="B4916" t="s">
        <v>1010</v>
      </c>
      <c r="C4916" s="1">
        <v>41677</v>
      </c>
      <c r="D4916" s="1">
        <v>41684</v>
      </c>
      <c r="E4916">
        <v>21373</v>
      </c>
      <c r="F4916" t="s">
        <v>331</v>
      </c>
      <c r="G4916" t="s">
        <v>16</v>
      </c>
      <c r="H4916" t="s">
        <v>7045</v>
      </c>
      <c r="I4916">
        <v>2.4041000000000001</v>
      </c>
      <c r="J4916">
        <v>42754.22</v>
      </c>
      <c r="K4916">
        <v>17783.877542531507</v>
      </c>
    </row>
    <row r="4917" spans="1:11" x14ac:dyDescent="0.25">
      <c r="A4917" t="s">
        <v>976</v>
      </c>
      <c r="B4917" t="s">
        <v>977</v>
      </c>
      <c r="C4917" s="1">
        <v>41675</v>
      </c>
      <c r="D4917" s="1">
        <v>41684</v>
      </c>
      <c r="E4917">
        <v>20661</v>
      </c>
      <c r="F4917" t="s">
        <v>309</v>
      </c>
      <c r="G4917" t="s">
        <v>16</v>
      </c>
      <c r="H4917" t="s">
        <v>7046</v>
      </c>
      <c r="I4917">
        <v>2.4177</v>
      </c>
      <c r="J4917">
        <v>25486.04</v>
      </c>
      <c r="K4917">
        <v>10541.440211771518</v>
      </c>
    </row>
    <row r="4918" spans="1:11" x14ac:dyDescent="0.25">
      <c r="A4918" t="s">
        <v>1582</v>
      </c>
      <c r="B4918" t="s">
        <v>1583</v>
      </c>
      <c r="C4918" s="1">
        <v>41653</v>
      </c>
      <c r="D4918" s="1">
        <v>41656</v>
      </c>
      <c r="E4918">
        <v>20372</v>
      </c>
      <c r="F4918" t="s">
        <v>309</v>
      </c>
      <c r="G4918" t="s">
        <v>16</v>
      </c>
      <c r="H4918" t="s">
        <v>7047</v>
      </c>
      <c r="I4918">
        <v>2.3491</v>
      </c>
      <c r="J4918">
        <v>25905.85</v>
      </c>
      <c r="K4918">
        <v>11027.989442765314</v>
      </c>
    </row>
    <row r="4919" spans="1:11" x14ac:dyDescent="0.25">
      <c r="A4919" t="s">
        <v>979</v>
      </c>
      <c r="B4919" t="s">
        <v>980</v>
      </c>
      <c r="C4919" s="1">
        <v>41656</v>
      </c>
      <c r="D4919" s="1">
        <v>41661</v>
      </c>
      <c r="E4919">
        <v>20659</v>
      </c>
      <c r="F4919" t="s">
        <v>887</v>
      </c>
      <c r="G4919" t="s">
        <v>16</v>
      </c>
      <c r="H4919" t="s">
        <v>7048</v>
      </c>
      <c r="I4919">
        <v>2.3683000000000001</v>
      </c>
      <c r="J4919">
        <v>39285.360000000001</v>
      </c>
      <c r="K4919">
        <v>16587.999831102479</v>
      </c>
    </row>
    <row r="4920" spans="1:11" x14ac:dyDescent="0.25">
      <c r="A4920" t="s">
        <v>982</v>
      </c>
      <c r="B4920" t="s">
        <v>983</v>
      </c>
      <c r="C4920" s="1">
        <v>41658</v>
      </c>
      <c r="D4920" s="1">
        <v>41662</v>
      </c>
      <c r="E4920">
        <v>20657</v>
      </c>
      <c r="F4920" t="s">
        <v>887</v>
      </c>
      <c r="G4920" t="s">
        <v>16</v>
      </c>
      <c r="H4920" t="s">
        <v>7049</v>
      </c>
      <c r="I4920">
        <v>2.3601000000000001</v>
      </c>
      <c r="J4920">
        <v>64876.79</v>
      </c>
      <c r="K4920">
        <v>27489.000466081947</v>
      </c>
    </row>
    <row r="4921" spans="1:11" x14ac:dyDescent="0.25">
      <c r="A4921" t="s">
        <v>979</v>
      </c>
      <c r="B4921" t="s">
        <v>980</v>
      </c>
      <c r="C4921" s="1">
        <v>41661</v>
      </c>
      <c r="D4921" s="1">
        <v>41667</v>
      </c>
      <c r="E4921">
        <v>20659</v>
      </c>
      <c r="F4921" t="s">
        <v>887</v>
      </c>
      <c r="G4921" t="s">
        <v>16</v>
      </c>
      <c r="H4921" t="s">
        <v>7050</v>
      </c>
      <c r="I4921">
        <v>2.3607999999999998</v>
      </c>
      <c r="J4921">
        <v>38589.64</v>
      </c>
      <c r="K4921">
        <v>16346.001355472721</v>
      </c>
    </row>
    <row r="4922" spans="1:11" x14ac:dyDescent="0.25">
      <c r="A4922" t="s">
        <v>976</v>
      </c>
      <c r="B4922" t="s">
        <v>977</v>
      </c>
      <c r="C4922" s="1">
        <v>41655</v>
      </c>
      <c r="D4922" s="1">
        <v>41660</v>
      </c>
      <c r="E4922">
        <v>20661</v>
      </c>
      <c r="F4922" t="s">
        <v>309</v>
      </c>
      <c r="G4922" t="s">
        <v>16</v>
      </c>
      <c r="H4922" t="s">
        <v>7051</v>
      </c>
      <c r="I4922">
        <v>2.347</v>
      </c>
      <c r="J4922">
        <v>25391.25</v>
      </c>
      <c r="K4922">
        <v>10818.598210481467</v>
      </c>
    </row>
    <row r="4923" spans="1:11" x14ac:dyDescent="0.25">
      <c r="A4923" t="s">
        <v>976</v>
      </c>
      <c r="B4923" t="s">
        <v>977</v>
      </c>
      <c r="C4923" s="1">
        <v>41653</v>
      </c>
      <c r="D4923" s="1">
        <v>41655</v>
      </c>
      <c r="E4923">
        <v>20661</v>
      </c>
      <c r="F4923" t="s">
        <v>309</v>
      </c>
      <c r="G4923" t="s">
        <v>16</v>
      </c>
      <c r="H4923" t="s">
        <v>3857</v>
      </c>
      <c r="I4923">
        <v>2.3491</v>
      </c>
      <c r="J4923">
        <v>24626.13</v>
      </c>
      <c r="K4923">
        <v>10483.21910518922</v>
      </c>
    </row>
    <row r="4924" spans="1:11" x14ac:dyDescent="0.25">
      <c r="A4924" t="s">
        <v>976</v>
      </c>
      <c r="B4924" t="s">
        <v>977</v>
      </c>
      <c r="C4924" s="1">
        <v>41655</v>
      </c>
      <c r="D4924" s="1">
        <v>41660</v>
      </c>
      <c r="E4924">
        <v>20661</v>
      </c>
      <c r="F4924" t="s">
        <v>309</v>
      </c>
      <c r="G4924" t="s">
        <v>16</v>
      </c>
      <c r="H4924" t="s">
        <v>3858</v>
      </c>
      <c r="I4924">
        <v>2.347</v>
      </c>
      <c r="J4924">
        <v>25188.12</v>
      </c>
      <c r="K4924">
        <v>10732.049424797615</v>
      </c>
    </row>
    <row r="4925" spans="1:11" x14ac:dyDescent="0.25">
      <c r="A4925" t="s">
        <v>976</v>
      </c>
      <c r="B4925" t="s">
        <v>977</v>
      </c>
      <c r="C4925" s="1">
        <v>41653</v>
      </c>
      <c r="D4925" s="1">
        <v>41655</v>
      </c>
      <c r="E4925">
        <v>20661</v>
      </c>
      <c r="F4925" t="s">
        <v>309</v>
      </c>
      <c r="G4925" t="s">
        <v>16</v>
      </c>
      <c r="H4925" t="s">
        <v>7052</v>
      </c>
      <c r="I4925">
        <v>2.3491</v>
      </c>
      <c r="J4925">
        <v>25201.66</v>
      </c>
      <c r="K4925">
        <v>10728.219318036696</v>
      </c>
    </row>
    <row r="4926" spans="1:11" x14ac:dyDescent="0.25">
      <c r="A4926" t="s">
        <v>976</v>
      </c>
      <c r="B4926" t="s">
        <v>977</v>
      </c>
      <c r="C4926" s="1">
        <v>41653</v>
      </c>
      <c r="D4926" s="1">
        <v>41655</v>
      </c>
      <c r="E4926">
        <v>20661</v>
      </c>
      <c r="F4926" t="s">
        <v>309</v>
      </c>
      <c r="G4926" t="s">
        <v>16</v>
      </c>
      <c r="H4926" t="s">
        <v>7053</v>
      </c>
      <c r="I4926">
        <v>2.3491</v>
      </c>
      <c r="J4926">
        <v>24903.74</v>
      </c>
      <c r="K4926">
        <v>10601.396279426162</v>
      </c>
    </row>
    <row r="4927" spans="1:11" x14ac:dyDescent="0.25">
      <c r="A4927" t="s">
        <v>1020</v>
      </c>
      <c r="B4927" t="s">
        <v>1021</v>
      </c>
      <c r="C4927" s="1">
        <v>41647</v>
      </c>
      <c r="D4927" s="1">
        <v>41649</v>
      </c>
      <c r="E4927">
        <v>19971</v>
      </c>
      <c r="F4927" t="s">
        <v>309</v>
      </c>
      <c r="G4927" t="s">
        <v>16</v>
      </c>
      <c r="H4927" t="s">
        <v>3859</v>
      </c>
      <c r="I4927">
        <v>2.3633999999999999</v>
      </c>
      <c r="J4927">
        <v>68161.5</v>
      </c>
      <c r="K4927">
        <v>28840.441736481342</v>
      </c>
    </row>
    <row r="4928" spans="1:11" x14ac:dyDescent="0.25">
      <c r="A4928" t="s">
        <v>1020</v>
      </c>
      <c r="B4928" t="s">
        <v>1021</v>
      </c>
      <c r="C4928" s="1">
        <v>41646</v>
      </c>
      <c r="D4928" s="1">
        <v>41649</v>
      </c>
      <c r="E4928">
        <v>19971</v>
      </c>
      <c r="F4928" t="s">
        <v>309</v>
      </c>
      <c r="G4928" t="s">
        <v>16</v>
      </c>
      <c r="H4928" t="s">
        <v>7054</v>
      </c>
      <c r="I4928">
        <v>2.3788999999999998</v>
      </c>
      <c r="J4928">
        <v>68161.5</v>
      </c>
      <c r="K4928">
        <v>28652.528479549372</v>
      </c>
    </row>
    <row r="4929" spans="1:11" x14ac:dyDescent="0.25">
      <c r="A4929" t="s">
        <v>993</v>
      </c>
      <c r="B4929" t="s">
        <v>994</v>
      </c>
      <c r="C4929" s="1">
        <v>41649</v>
      </c>
      <c r="D4929" s="1">
        <v>41655</v>
      </c>
      <c r="E4929">
        <v>20658</v>
      </c>
      <c r="F4929" t="s">
        <v>887</v>
      </c>
      <c r="G4929" t="s">
        <v>16</v>
      </c>
      <c r="H4929" t="s">
        <v>7055</v>
      </c>
      <c r="I4929">
        <v>2.3959999999999999</v>
      </c>
      <c r="J4929">
        <v>66298.52</v>
      </c>
      <c r="K4929">
        <v>27670.500834724542</v>
      </c>
    </row>
    <row r="4930" spans="1:11" x14ac:dyDescent="0.25">
      <c r="A4930" t="s">
        <v>1009</v>
      </c>
      <c r="B4930" t="s">
        <v>1010</v>
      </c>
      <c r="C4930" s="1">
        <v>41674</v>
      </c>
      <c r="D4930" s="1">
        <v>41678</v>
      </c>
      <c r="E4930">
        <v>21373</v>
      </c>
      <c r="F4930" t="s">
        <v>331</v>
      </c>
      <c r="G4930" t="s">
        <v>16</v>
      </c>
      <c r="H4930" t="s">
        <v>7056</v>
      </c>
      <c r="I4930">
        <v>2.4089999999999998</v>
      </c>
      <c r="J4930">
        <v>31458.91</v>
      </c>
      <c r="K4930">
        <v>13058.908260689082</v>
      </c>
    </row>
    <row r="4931" spans="1:11" x14ac:dyDescent="0.25">
      <c r="A4931" t="s">
        <v>979</v>
      </c>
      <c r="B4931" t="s">
        <v>980</v>
      </c>
      <c r="C4931" s="1">
        <v>41659</v>
      </c>
      <c r="D4931" s="1">
        <v>41663</v>
      </c>
      <c r="E4931">
        <v>20659</v>
      </c>
      <c r="F4931" t="s">
        <v>887</v>
      </c>
      <c r="G4931" t="s">
        <v>16</v>
      </c>
      <c r="H4931" t="s">
        <v>3860</v>
      </c>
      <c r="I4931">
        <v>2.3601000000000001</v>
      </c>
      <c r="J4931">
        <v>37938.04</v>
      </c>
      <c r="K4931">
        <v>16074.759544087116</v>
      </c>
    </row>
    <row r="4932" spans="1:11" x14ac:dyDescent="0.25">
      <c r="A4932" t="s">
        <v>2585</v>
      </c>
      <c r="B4932" t="s">
        <v>2586</v>
      </c>
      <c r="C4932" s="1">
        <v>41618</v>
      </c>
      <c r="D4932" s="1">
        <v>41653</v>
      </c>
      <c r="E4932">
        <v>1044</v>
      </c>
      <c r="F4932" t="s">
        <v>301</v>
      </c>
      <c r="G4932" t="s">
        <v>16</v>
      </c>
      <c r="H4932" t="s">
        <v>3861</v>
      </c>
      <c r="I4932">
        <v>2.3224999999999998</v>
      </c>
      <c r="J4932">
        <v>13329.99</v>
      </c>
      <c r="K4932">
        <v>5739.5005382131321</v>
      </c>
    </row>
    <row r="4933" spans="1:11" x14ac:dyDescent="0.25">
      <c r="A4933" t="s">
        <v>1009</v>
      </c>
      <c r="B4933" t="s">
        <v>1010</v>
      </c>
      <c r="C4933" s="1">
        <v>41674</v>
      </c>
      <c r="D4933" s="1">
        <v>41678</v>
      </c>
      <c r="E4933">
        <v>21373</v>
      </c>
      <c r="F4933" t="s">
        <v>331</v>
      </c>
      <c r="G4933" t="s">
        <v>16</v>
      </c>
      <c r="H4933" t="s">
        <v>3862</v>
      </c>
      <c r="I4933">
        <v>2.4089999999999998</v>
      </c>
      <c r="J4933">
        <v>31400.12</v>
      </c>
      <c r="K4933">
        <v>13034.50394354504</v>
      </c>
    </row>
    <row r="4934" spans="1:11" x14ac:dyDescent="0.25">
      <c r="A4934" t="s">
        <v>2534</v>
      </c>
      <c r="B4934" t="s">
        <v>2535</v>
      </c>
      <c r="C4934" s="1">
        <v>41650</v>
      </c>
      <c r="D4934" s="1">
        <v>41656</v>
      </c>
      <c r="E4934">
        <v>20370</v>
      </c>
      <c r="F4934" t="s">
        <v>887</v>
      </c>
      <c r="G4934" t="s">
        <v>16</v>
      </c>
      <c r="H4934" t="s">
        <v>3863</v>
      </c>
      <c r="I4934">
        <v>2.3818999999999999</v>
      </c>
      <c r="J4934">
        <v>48943.28</v>
      </c>
      <c r="K4934">
        <v>20547.999496200511</v>
      </c>
    </row>
    <row r="4935" spans="1:11" x14ac:dyDescent="0.25">
      <c r="A4935" t="s">
        <v>1582</v>
      </c>
      <c r="B4935" t="s">
        <v>1583</v>
      </c>
      <c r="C4935" s="1">
        <v>41654</v>
      </c>
      <c r="D4935" s="1">
        <v>41656</v>
      </c>
      <c r="E4935">
        <v>20372</v>
      </c>
      <c r="F4935" t="s">
        <v>309</v>
      </c>
      <c r="G4935" t="s">
        <v>16</v>
      </c>
      <c r="H4935" t="s">
        <v>7057</v>
      </c>
      <c r="I4935">
        <v>2.3616999999999999</v>
      </c>
      <c r="J4935">
        <v>30401.79</v>
      </c>
      <c r="K4935">
        <v>12872.841597154593</v>
      </c>
    </row>
    <row r="4936" spans="1:11" x14ac:dyDescent="0.25">
      <c r="A4936" t="s">
        <v>1009</v>
      </c>
      <c r="B4936" t="s">
        <v>1010</v>
      </c>
      <c r="C4936" s="1">
        <v>41674</v>
      </c>
      <c r="D4936" s="1">
        <v>41679</v>
      </c>
      <c r="E4936">
        <v>21373</v>
      </c>
      <c r="F4936" t="s">
        <v>331</v>
      </c>
      <c r="G4936" t="s">
        <v>16</v>
      </c>
      <c r="H4936" t="s">
        <v>7058</v>
      </c>
      <c r="I4936">
        <v>2.4089999999999998</v>
      </c>
      <c r="J4936">
        <v>41948.01</v>
      </c>
      <c r="K4936">
        <v>17413.038605230387</v>
      </c>
    </row>
    <row r="4937" spans="1:11" x14ac:dyDescent="0.25">
      <c r="A4937" t="s">
        <v>976</v>
      </c>
      <c r="B4937" t="s">
        <v>977</v>
      </c>
      <c r="C4937" s="1">
        <v>41654</v>
      </c>
      <c r="D4937" s="1">
        <v>41657</v>
      </c>
      <c r="E4937">
        <v>20661</v>
      </c>
      <c r="F4937" t="s">
        <v>309</v>
      </c>
      <c r="G4937" t="s">
        <v>16</v>
      </c>
      <c r="H4937" t="s">
        <v>3864</v>
      </c>
      <c r="I4937">
        <v>2.3616999999999999</v>
      </c>
      <c r="J4937">
        <v>24836.03</v>
      </c>
      <c r="K4937">
        <v>10516.16632087056</v>
      </c>
    </row>
    <row r="4938" spans="1:11" x14ac:dyDescent="0.25">
      <c r="A4938" t="s">
        <v>1006</v>
      </c>
      <c r="B4938" t="s">
        <v>1007</v>
      </c>
      <c r="C4938" s="1">
        <v>41660</v>
      </c>
      <c r="D4938" s="1">
        <v>41669</v>
      </c>
      <c r="E4938">
        <v>19036</v>
      </c>
      <c r="F4938" t="s">
        <v>887</v>
      </c>
      <c r="G4938" t="s">
        <v>16</v>
      </c>
      <c r="H4938" t="s">
        <v>3865</v>
      </c>
      <c r="I4938">
        <v>2.3334999999999999</v>
      </c>
      <c r="J4938">
        <v>54423.06</v>
      </c>
      <c r="K4938">
        <v>23322.502678380115</v>
      </c>
    </row>
    <row r="4939" spans="1:11" x14ac:dyDescent="0.25">
      <c r="A4939" t="s">
        <v>976</v>
      </c>
      <c r="B4939" t="s">
        <v>977</v>
      </c>
      <c r="C4939" s="1">
        <v>41678</v>
      </c>
      <c r="D4939" s="1">
        <v>41680</v>
      </c>
      <c r="E4939">
        <v>20661</v>
      </c>
      <c r="F4939" t="s">
        <v>309</v>
      </c>
      <c r="G4939" t="s">
        <v>16</v>
      </c>
      <c r="H4939" t="s">
        <v>3866</v>
      </c>
      <c r="I4939">
        <v>2.3816999999999999</v>
      </c>
      <c r="J4939">
        <v>24504.25</v>
      </c>
      <c r="K4939">
        <v>10288.554393920309</v>
      </c>
    </row>
    <row r="4940" spans="1:11" x14ac:dyDescent="0.25">
      <c r="A4940" t="s">
        <v>1020</v>
      </c>
      <c r="B4940" t="s">
        <v>1021</v>
      </c>
      <c r="C4940" s="1">
        <v>41701</v>
      </c>
      <c r="D4940" s="1">
        <v>41706</v>
      </c>
      <c r="E4940">
        <v>19971</v>
      </c>
      <c r="F4940" t="s">
        <v>309</v>
      </c>
      <c r="G4940" t="s">
        <v>16</v>
      </c>
      <c r="H4940" t="s">
        <v>3867</v>
      </c>
      <c r="I4940">
        <v>2.3334000000000001</v>
      </c>
      <c r="J4940">
        <v>50439.51</v>
      </c>
      <c r="K4940">
        <v>21616.315248135768</v>
      </c>
    </row>
    <row r="4941" spans="1:11" x14ac:dyDescent="0.25">
      <c r="A4941" t="s">
        <v>976</v>
      </c>
      <c r="B4941" t="s">
        <v>977</v>
      </c>
      <c r="C4941" s="1">
        <v>41689</v>
      </c>
      <c r="D4941" s="1">
        <v>41694</v>
      </c>
      <c r="E4941">
        <v>20661</v>
      </c>
      <c r="F4941" t="s">
        <v>309</v>
      </c>
      <c r="G4941" t="s">
        <v>16</v>
      </c>
      <c r="H4941" t="s">
        <v>7059</v>
      </c>
      <c r="I4941">
        <v>2.3982999999999999</v>
      </c>
      <c r="J4941">
        <v>32317.98</v>
      </c>
      <c r="K4941">
        <v>13475.3700537881</v>
      </c>
    </row>
    <row r="4942" spans="1:11" x14ac:dyDescent="0.25">
      <c r="A4942" t="s">
        <v>2550</v>
      </c>
      <c r="B4942" t="s">
        <v>2551</v>
      </c>
      <c r="C4942" s="1">
        <v>41687</v>
      </c>
      <c r="D4942" s="1">
        <v>41695</v>
      </c>
      <c r="E4942">
        <v>21506</v>
      </c>
      <c r="F4942" t="s">
        <v>309</v>
      </c>
      <c r="G4942" t="s">
        <v>16</v>
      </c>
      <c r="H4942" t="s">
        <v>7060</v>
      </c>
      <c r="I4942">
        <v>2.3923999999999999</v>
      </c>
      <c r="J4942">
        <v>144979.20000000001</v>
      </c>
      <c r="K4942">
        <v>60599.89968232737</v>
      </c>
    </row>
    <row r="4943" spans="1:11" x14ac:dyDescent="0.25">
      <c r="A4943" t="s">
        <v>2980</v>
      </c>
      <c r="B4943" t="s">
        <v>2981</v>
      </c>
      <c r="C4943" s="1">
        <v>41682</v>
      </c>
      <c r="D4943" s="1">
        <v>41695</v>
      </c>
      <c r="E4943">
        <v>21944</v>
      </c>
      <c r="F4943" t="s">
        <v>2982</v>
      </c>
      <c r="G4943" t="s">
        <v>16</v>
      </c>
      <c r="H4943" t="s">
        <v>3868</v>
      </c>
      <c r="I4943">
        <v>2.4085999999999999</v>
      </c>
      <c r="J4943">
        <v>318856.28000000003</v>
      </c>
      <c r="K4943">
        <v>132382.41302001162</v>
      </c>
    </row>
    <row r="4944" spans="1:11" x14ac:dyDescent="0.25">
      <c r="A4944" t="s">
        <v>1020</v>
      </c>
      <c r="B4944" t="s">
        <v>1021</v>
      </c>
      <c r="C4944" s="1">
        <v>41703</v>
      </c>
      <c r="D4944" s="1">
        <v>41706</v>
      </c>
      <c r="E4944">
        <v>19971</v>
      </c>
      <c r="F4944" t="s">
        <v>309</v>
      </c>
      <c r="G4944" t="s">
        <v>16</v>
      </c>
      <c r="H4944" t="s">
        <v>3869</v>
      </c>
      <c r="I4944">
        <v>2.3334000000000001</v>
      </c>
      <c r="J4944">
        <v>64071.81</v>
      </c>
      <c r="K4944">
        <v>27458.562612496786</v>
      </c>
    </row>
    <row r="4945" spans="1:11" x14ac:dyDescent="0.25">
      <c r="A4945" t="s">
        <v>1020</v>
      </c>
      <c r="B4945" t="s">
        <v>1021</v>
      </c>
      <c r="C4945" s="1">
        <v>41703</v>
      </c>
      <c r="D4945" s="1">
        <v>41706</v>
      </c>
      <c r="E4945">
        <v>19971</v>
      </c>
      <c r="F4945" t="s">
        <v>309</v>
      </c>
      <c r="G4945" t="s">
        <v>16</v>
      </c>
      <c r="H4945" t="s">
        <v>3870</v>
      </c>
      <c r="I4945">
        <v>2.3334000000000001</v>
      </c>
      <c r="J4945">
        <v>31354.29</v>
      </c>
      <c r="K4945">
        <v>13437.168938030341</v>
      </c>
    </row>
    <row r="4946" spans="1:11" x14ac:dyDescent="0.25">
      <c r="A4946" t="s">
        <v>1020</v>
      </c>
      <c r="B4946" t="s">
        <v>1021</v>
      </c>
      <c r="C4946" s="1">
        <v>41703</v>
      </c>
      <c r="D4946" s="1">
        <v>41706</v>
      </c>
      <c r="E4946">
        <v>19971</v>
      </c>
      <c r="F4946" t="s">
        <v>309</v>
      </c>
      <c r="G4946" t="s">
        <v>16</v>
      </c>
      <c r="H4946" t="s">
        <v>3871</v>
      </c>
      <c r="I4946">
        <v>2.3334000000000001</v>
      </c>
      <c r="J4946">
        <v>31354.29</v>
      </c>
      <c r="K4946">
        <v>13437.168938030341</v>
      </c>
    </row>
    <row r="4947" spans="1:11" x14ac:dyDescent="0.25">
      <c r="A4947" t="s">
        <v>976</v>
      </c>
      <c r="B4947" t="s">
        <v>977</v>
      </c>
      <c r="C4947" s="1">
        <v>41685</v>
      </c>
      <c r="D4947" s="1">
        <v>41690</v>
      </c>
      <c r="E4947">
        <v>20661</v>
      </c>
      <c r="F4947" t="s">
        <v>309</v>
      </c>
      <c r="G4947" t="s">
        <v>16</v>
      </c>
      <c r="H4947" t="s">
        <v>1681</v>
      </c>
      <c r="I4947">
        <v>2.3923999999999999</v>
      </c>
      <c r="J4947">
        <v>25249.06</v>
      </c>
      <c r="K4947">
        <v>10553.862230396255</v>
      </c>
    </row>
    <row r="4948" spans="1:11" x14ac:dyDescent="0.25">
      <c r="A4948" t="s">
        <v>976</v>
      </c>
      <c r="B4948" t="s">
        <v>977</v>
      </c>
      <c r="C4948" s="1">
        <v>41684</v>
      </c>
      <c r="D4948" s="1">
        <v>41691</v>
      </c>
      <c r="E4948">
        <v>20661</v>
      </c>
      <c r="F4948" t="s">
        <v>309</v>
      </c>
      <c r="G4948" t="s">
        <v>16</v>
      </c>
      <c r="H4948" t="s">
        <v>7061</v>
      </c>
      <c r="I4948">
        <v>2.4238</v>
      </c>
      <c r="J4948">
        <v>24951.14</v>
      </c>
      <c r="K4948">
        <v>10294.223945870121</v>
      </c>
    </row>
    <row r="4949" spans="1:11" x14ac:dyDescent="0.25">
      <c r="A4949" t="s">
        <v>1601</v>
      </c>
      <c r="B4949" t="s">
        <v>1602</v>
      </c>
      <c r="C4949" s="1">
        <v>41704</v>
      </c>
      <c r="D4949" s="1">
        <v>41710</v>
      </c>
      <c r="E4949">
        <v>21474</v>
      </c>
      <c r="F4949" t="s">
        <v>301</v>
      </c>
      <c r="G4949" t="s">
        <v>16</v>
      </c>
      <c r="H4949" t="s">
        <v>7062</v>
      </c>
      <c r="I4949">
        <v>2.3239999999999998</v>
      </c>
      <c r="J4949">
        <v>5955.99</v>
      </c>
      <c r="K4949">
        <v>2562.818416523236</v>
      </c>
    </row>
    <row r="4950" spans="1:11" x14ac:dyDescent="0.25">
      <c r="A4950" t="s">
        <v>1033</v>
      </c>
      <c r="B4950" t="s">
        <v>1034</v>
      </c>
      <c r="C4950" s="1">
        <v>41708</v>
      </c>
      <c r="D4950" s="1">
        <v>41710</v>
      </c>
      <c r="E4950">
        <v>22150</v>
      </c>
      <c r="F4950" t="s">
        <v>301</v>
      </c>
      <c r="G4950" t="s">
        <v>16</v>
      </c>
      <c r="H4950" t="s">
        <v>7063</v>
      </c>
      <c r="I4950">
        <v>2.3382000000000001</v>
      </c>
      <c r="J4950">
        <v>83606.600000000006</v>
      </c>
      <c r="K4950">
        <v>35756.821486613633</v>
      </c>
    </row>
    <row r="4951" spans="1:11" x14ac:dyDescent="0.25">
      <c r="A4951" t="s">
        <v>1033</v>
      </c>
      <c r="B4951" t="s">
        <v>1034</v>
      </c>
      <c r="C4951" s="1">
        <v>41708</v>
      </c>
      <c r="D4951" s="1">
        <v>41710</v>
      </c>
      <c r="E4951">
        <v>22150</v>
      </c>
      <c r="F4951" t="s">
        <v>301</v>
      </c>
      <c r="G4951" t="s">
        <v>16</v>
      </c>
      <c r="H4951" t="s">
        <v>3872</v>
      </c>
      <c r="I4951">
        <v>2.3382000000000001</v>
      </c>
      <c r="J4951">
        <v>129210.19</v>
      </c>
      <c r="K4951">
        <v>55260.538020699685</v>
      </c>
    </row>
    <row r="4952" spans="1:11" x14ac:dyDescent="0.25">
      <c r="A4952" t="s">
        <v>976</v>
      </c>
      <c r="B4952" t="s">
        <v>977</v>
      </c>
      <c r="C4952" s="1">
        <v>41688</v>
      </c>
      <c r="D4952" s="1">
        <v>41692</v>
      </c>
      <c r="E4952">
        <v>20661</v>
      </c>
      <c r="F4952" t="s">
        <v>309</v>
      </c>
      <c r="G4952" t="s">
        <v>16</v>
      </c>
      <c r="H4952" t="s">
        <v>7064</v>
      </c>
      <c r="I4952">
        <v>2.387</v>
      </c>
      <c r="J4952">
        <v>20502.59</v>
      </c>
      <c r="K4952">
        <v>8589.2710515291164</v>
      </c>
    </row>
    <row r="4953" spans="1:11" x14ac:dyDescent="0.25">
      <c r="A4953" t="s">
        <v>976</v>
      </c>
      <c r="B4953" t="s">
        <v>977</v>
      </c>
      <c r="C4953" s="1">
        <v>41688</v>
      </c>
      <c r="D4953" s="1">
        <v>41693</v>
      </c>
      <c r="E4953">
        <v>20661</v>
      </c>
      <c r="F4953" t="s">
        <v>309</v>
      </c>
      <c r="G4953" t="s">
        <v>16</v>
      </c>
      <c r="H4953" t="s">
        <v>7065</v>
      </c>
      <c r="I4953">
        <v>2.387</v>
      </c>
      <c r="J4953">
        <v>32568.51</v>
      </c>
      <c r="K4953">
        <v>13644.118139924591</v>
      </c>
    </row>
    <row r="4954" spans="1:11" x14ac:dyDescent="0.25">
      <c r="A4954" t="s">
        <v>976</v>
      </c>
      <c r="B4954" t="s">
        <v>977</v>
      </c>
      <c r="C4954" s="1">
        <v>41711</v>
      </c>
      <c r="D4954" s="1">
        <v>41713</v>
      </c>
      <c r="E4954">
        <v>20661</v>
      </c>
      <c r="F4954" t="s">
        <v>309</v>
      </c>
      <c r="G4954" t="s">
        <v>16</v>
      </c>
      <c r="H4954" t="s">
        <v>7066</v>
      </c>
      <c r="I4954">
        <v>2.3649</v>
      </c>
      <c r="J4954">
        <v>34532.1</v>
      </c>
      <c r="K4954">
        <v>14601.928199923886</v>
      </c>
    </row>
    <row r="4955" spans="1:11" x14ac:dyDescent="0.25">
      <c r="A4955" t="s">
        <v>1024</v>
      </c>
      <c r="B4955" t="s">
        <v>1025</v>
      </c>
      <c r="C4955" s="1">
        <v>41711</v>
      </c>
      <c r="D4955" s="1">
        <v>41718</v>
      </c>
      <c r="E4955">
        <v>1</v>
      </c>
      <c r="F4955" t="s">
        <v>331</v>
      </c>
      <c r="G4955" t="s">
        <v>16</v>
      </c>
      <c r="H4955" t="s">
        <v>3873</v>
      </c>
      <c r="I4955">
        <v>2.3649</v>
      </c>
      <c r="J4955">
        <v>41872.43</v>
      </c>
      <c r="K4955">
        <v>17705.793056788869</v>
      </c>
    </row>
    <row r="4956" spans="1:11" x14ac:dyDescent="0.25">
      <c r="A4956" t="s">
        <v>976</v>
      </c>
      <c r="B4956" t="s">
        <v>977</v>
      </c>
      <c r="C4956" s="1">
        <v>41712</v>
      </c>
      <c r="D4956" s="1">
        <v>41718</v>
      </c>
      <c r="E4956">
        <v>20661</v>
      </c>
      <c r="F4956" t="s">
        <v>309</v>
      </c>
      <c r="G4956" t="s">
        <v>16</v>
      </c>
      <c r="H4956" t="s">
        <v>7067</v>
      </c>
      <c r="I4956">
        <v>2.3485999999999998</v>
      </c>
      <c r="J4956">
        <v>42589.59</v>
      </c>
      <c r="K4956">
        <v>18134.033040960574</v>
      </c>
    </row>
    <row r="4957" spans="1:11" x14ac:dyDescent="0.25">
      <c r="A4957" t="s">
        <v>976</v>
      </c>
      <c r="B4957" t="s">
        <v>977</v>
      </c>
      <c r="C4957" s="1">
        <v>41687</v>
      </c>
      <c r="D4957" s="1">
        <v>41695</v>
      </c>
      <c r="E4957">
        <v>20661</v>
      </c>
      <c r="F4957" t="s">
        <v>309</v>
      </c>
      <c r="G4957" t="s">
        <v>16</v>
      </c>
      <c r="H4957" t="s">
        <v>7068</v>
      </c>
      <c r="I4957">
        <v>2.3923999999999999</v>
      </c>
      <c r="J4957">
        <v>34261.26</v>
      </c>
      <c r="K4957">
        <v>14320.874435713091</v>
      </c>
    </row>
    <row r="4958" spans="1:11" x14ac:dyDescent="0.25">
      <c r="A4958" t="s">
        <v>1024</v>
      </c>
      <c r="B4958" t="s">
        <v>1025</v>
      </c>
      <c r="C4958" s="1">
        <v>41705</v>
      </c>
      <c r="D4958" s="1">
        <v>41711</v>
      </c>
      <c r="E4958">
        <v>1</v>
      </c>
      <c r="F4958" t="s">
        <v>331</v>
      </c>
      <c r="G4958" t="s">
        <v>16</v>
      </c>
      <c r="H4958" t="s">
        <v>7069</v>
      </c>
      <c r="I4958">
        <v>2.3094000000000001</v>
      </c>
      <c r="J4958">
        <v>42216.75</v>
      </c>
      <c r="K4958">
        <v>18280.397505845674</v>
      </c>
    </row>
    <row r="4959" spans="1:11" x14ac:dyDescent="0.25">
      <c r="A4959" t="s">
        <v>976</v>
      </c>
      <c r="B4959" t="s">
        <v>977</v>
      </c>
      <c r="C4959" s="1">
        <v>41709</v>
      </c>
      <c r="D4959" s="1">
        <v>41711</v>
      </c>
      <c r="E4959">
        <v>20661</v>
      </c>
      <c r="F4959" t="s">
        <v>309</v>
      </c>
      <c r="G4959" t="s">
        <v>16</v>
      </c>
      <c r="H4959" t="s">
        <v>7070</v>
      </c>
      <c r="I4959">
        <v>2.3410000000000002</v>
      </c>
      <c r="J4959">
        <v>35683.17</v>
      </c>
      <c r="K4959">
        <v>15242.703972661257</v>
      </c>
    </row>
    <row r="4960" spans="1:11" x14ac:dyDescent="0.25">
      <c r="A4960" t="s">
        <v>976</v>
      </c>
      <c r="B4960" t="s">
        <v>977</v>
      </c>
      <c r="C4960" s="1">
        <v>41690</v>
      </c>
      <c r="D4960" s="1">
        <v>41695</v>
      </c>
      <c r="E4960">
        <v>20661</v>
      </c>
      <c r="F4960" t="s">
        <v>309</v>
      </c>
      <c r="G4960" t="s">
        <v>16</v>
      </c>
      <c r="H4960" t="s">
        <v>3874</v>
      </c>
      <c r="I4960">
        <v>2.3986000000000001</v>
      </c>
      <c r="J4960">
        <v>24551.65</v>
      </c>
      <c r="K4960">
        <v>10235.825064621029</v>
      </c>
    </row>
    <row r="4961" spans="1:11" x14ac:dyDescent="0.25">
      <c r="A4961" t="s">
        <v>1582</v>
      </c>
      <c r="B4961" t="s">
        <v>1583</v>
      </c>
      <c r="C4961" s="1">
        <v>41704</v>
      </c>
      <c r="D4961" s="1">
        <v>41712</v>
      </c>
      <c r="E4961">
        <v>20372</v>
      </c>
      <c r="F4961" t="s">
        <v>309</v>
      </c>
      <c r="G4961" t="s">
        <v>16</v>
      </c>
      <c r="H4961" t="s">
        <v>3875</v>
      </c>
      <c r="I4961">
        <v>2.3239999999999998</v>
      </c>
      <c r="J4961">
        <v>51798.15</v>
      </c>
      <c r="K4961">
        <v>22288.360585197934</v>
      </c>
    </row>
    <row r="4962" spans="1:11" x14ac:dyDescent="0.25">
      <c r="A4962" t="s">
        <v>1582</v>
      </c>
      <c r="B4962" t="s">
        <v>1583</v>
      </c>
      <c r="C4962" s="1">
        <v>41704</v>
      </c>
      <c r="D4962" s="1">
        <v>41712</v>
      </c>
      <c r="E4962">
        <v>20372</v>
      </c>
      <c r="F4962" t="s">
        <v>309</v>
      </c>
      <c r="G4962" t="s">
        <v>16</v>
      </c>
      <c r="H4962" t="s">
        <v>3876</v>
      </c>
      <c r="I4962">
        <v>2.3239999999999998</v>
      </c>
      <c r="J4962">
        <v>54100.29</v>
      </c>
      <c r="K4962">
        <v>23278.954388984508</v>
      </c>
    </row>
    <row r="4963" spans="1:11" x14ac:dyDescent="0.25">
      <c r="A4963" t="s">
        <v>976</v>
      </c>
      <c r="B4963" t="s">
        <v>977</v>
      </c>
      <c r="C4963" s="1">
        <v>41713</v>
      </c>
      <c r="D4963" s="1">
        <v>41716</v>
      </c>
      <c r="E4963">
        <v>20661</v>
      </c>
      <c r="F4963" t="s">
        <v>309</v>
      </c>
      <c r="G4963" t="s">
        <v>16</v>
      </c>
      <c r="H4963" t="s">
        <v>3877</v>
      </c>
      <c r="I4963">
        <v>2.3637999999999999</v>
      </c>
      <c r="J4963">
        <v>42589.59</v>
      </c>
      <c r="K4963">
        <v>18017.425332092393</v>
      </c>
    </row>
    <row r="4964" spans="1:11" x14ac:dyDescent="0.25">
      <c r="A4964" t="s">
        <v>976</v>
      </c>
      <c r="B4964" t="s">
        <v>977</v>
      </c>
      <c r="C4964" s="1">
        <v>41690</v>
      </c>
      <c r="D4964" s="1">
        <v>41696</v>
      </c>
      <c r="E4964">
        <v>20661</v>
      </c>
      <c r="F4964" t="s">
        <v>309</v>
      </c>
      <c r="G4964" t="s">
        <v>16</v>
      </c>
      <c r="H4964" t="s">
        <v>7071</v>
      </c>
      <c r="I4964">
        <v>2.3986000000000001</v>
      </c>
      <c r="J4964">
        <v>24924.05</v>
      </c>
      <c r="K4964">
        <v>10391.082298007172</v>
      </c>
    </row>
    <row r="4965" spans="1:11" x14ac:dyDescent="0.25">
      <c r="A4965" t="s">
        <v>976</v>
      </c>
      <c r="B4965" t="s">
        <v>977</v>
      </c>
      <c r="C4965" s="1">
        <v>41685</v>
      </c>
      <c r="D4965" s="1">
        <v>41692</v>
      </c>
      <c r="E4965">
        <v>20661</v>
      </c>
      <c r="F4965" t="s">
        <v>309</v>
      </c>
      <c r="G4965" t="s">
        <v>16</v>
      </c>
      <c r="H4965" t="s">
        <v>1139</v>
      </c>
      <c r="I4965">
        <v>2.3923999999999999</v>
      </c>
      <c r="J4965">
        <v>24517.79</v>
      </c>
      <c r="K4965">
        <v>10248.198461795686</v>
      </c>
    </row>
    <row r="4966" spans="1:11" x14ac:dyDescent="0.25">
      <c r="A4966" t="s">
        <v>1024</v>
      </c>
      <c r="B4966" t="s">
        <v>1025</v>
      </c>
      <c r="C4966" s="1">
        <v>41706</v>
      </c>
      <c r="D4966" s="1">
        <v>41709</v>
      </c>
      <c r="E4966">
        <v>1</v>
      </c>
      <c r="F4966" t="s">
        <v>331</v>
      </c>
      <c r="G4966" t="s">
        <v>16</v>
      </c>
      <c r="H4966" t="s">
        <v>3878</v>
      </c>
      <c r="I4966">
        <v>2.3382000000000001</v>
      </c>
      <c r="J4966">
        <v>30367.17</v>
      </c>
      <c r="K4966">
        <v>12987.413394919169</v>
      </c>
    </row>
    <row r="4967" spans="1:11" x14ac:dyDescent="0.25">
      <c r="A4967" t="s">
        <v>1024</v>
      </c>
      <c r="B4967" t="s">
        <v>1025</v>
      </c>
      <c r="C4967" s="1">
        <v>41705</v>
      </c>
      <c r="D4967" s="1">
        <v>41710</v>
      </c>
      <c r="E4967">
        <v>1</v>
      </c>
      <c r="F4967" t="s">
        <v>331</v>
      </c>
      <c r="G4967" t="s">
        <v>16</v>
      </c>
      <c r="H4967" t="s">
        <v>7072</v>
      </c>
      <c r="I4967">
        <v>2.3094000000000001</v>
      </c>
      <c r="J4967">
        <v>31190.17</v>
      </c>
      <c r="K4967">
        <v>13505.746081233221</v>
      </c>
    </row>
    <row r="4968" spans="1:11" x14ac:dyDescent="0.25">
      <c r="A4968" t="s">
        <v>976</v>
      </c>
      <c r="B4968" t="s">
        <v>977</v>
      </c>
      <c r="C4968" s="1">
        <v>41709</v>
      </c>
      <c r="D4968" s="1">
        <v>41711</v>
      </c>
      <c r="E4968">
        <v>20661</v>
      </c>
      <c r="F4968" t="s">
        <v>309</v>
      </c>
      <c r="G4968" t="s">
        <v>16</v>
      </c>
      <c r="H4968" t="s">
        <v>3879</v>
      </c>
      <c r="I4968">
        <v>2.3410000000000002</v>
      </c>
      <c r="J4968">
        <v>35683.17</v>
      </c>
      <c r="K4968">
        <v>15242.703972661257</v>
      </c>
    </row>
    <row r="4969" spans="1:11" x14ac:dyDescent="0.25">
      <c r="A4969" t="s">
        <v>1036</v>
      </c>
      <c r="B4969" t="s">
        <v>1037</v>
      </c>
      <c r="C4969" s="1">
        <v>41740</v>
      </c>
      <c r="D4969" s="1">
        <v>41745</v>
      </c>
      <c r="E4969">
        <v>21505</v>
      </c>
      <c r="F4969" t="s">
        <v>309</v>
      </c>
      <c r="G4969" t="s">
        <v>16</v>
      </c>
      <c r="H4969" t="s">
        <v>3880</v>
      </c>
      <c r="I4969">
        <v>2.1987000000000001</v>
      </c>
      <c r="J4969">
        <v>96652.800000000003</v>
      </c>
      <c r="K4969">
        <v>43959.066721244373</v>
      </c>
    </row>
    <row r="4970" spans="1:11" x14ac:dyDescent="0.25">
      <c r="A4970" t="s">
        <v>2550</v>
      </c>
      <c r="B4970" t="s">
        <v>2551</v>
      </c>
      <c r="C4970" s="1">
        <v>41740</v>
      </c>
      <c r="D4970" s="1">
        <v>41746</v>
      </c>
      <c r="E4970">
        <v>21506</v>
      </c>
      <c r="F4970" t="s">
        <v>309</v>
      </c>
      <c r="G4970" t="s">
        <v>16</v>
      </c>
      <c r="H4970" t="s">
        <v>1038</v>
      </c>
      <c r="I4970">
        <v>2.1987000000000001</v>
      </c>
      <c r="J4970">
        <v>44399.88</v>
      </c>
      <c r="K4970">
        <v>20193.696275071634</v>
      </c>
    </row>
    <row r="4971" spans="1:11" x14ac:dyDescent="0.25">
      <c r="A4971" t="s">
        <v>1039</v>
      </c>
      <c r="C4971" s="1">
        <v>41733</v>
      </c>
      <c r="D4971" s="1">
        <v>41737</v>
      </c>
      <c r="E4971">
        <v>22692</v>
      </c>
      <c r="F4971" t="s">
        <v>421</v>
      </c>
      <c r="G4971" t="s">
        <v>16</v>
      </c>
      <c r="H4971" t="s">
        <v>3881</v>
      </c>
      <c r="I4971">
        <v>2.2810999999999999</v>
      </c>
      <c r="J4971">
        <v>189.67</v>
      </c>
      <c r="K4971">
        <v>83.14848099601069</v>
      </c>
    </row>
    <row r="4972" spans="1:11" x14ac:dyDescent="0.25">
      <c r="A4972" t="s">
        <v>1039</v>
      </c>
      <c r="C4972" s="1">
        <v>41736</v>
      </c>
      <c r="D4972" s="1">
        <v>41737</v>
      </c>
      <c r="E4972">
        <v>22692</v>
      </c>
      <c r="F4972" t="s">
        <v>421</v>
      </c>
      <c r="G4972" t="s">
        <v>16</v>
      </c>
      <c r="H4972" t="s">
        <v>7073</v>
      </c>
      <c r="I4972">
        <v>2.242</v>
      </c>
      <c r="J4972">
        <v>109.58</v>
      </c>
      <c r="K4972">
        <v>48.876003568242638</v>
      </c>
    </row>
    <row r="4973" spans="1:11" x14ac:dyDescent="0.25">
      <c r="A4973" t="s">
        <v>976</v>
      </c>
      <c r="B4973" t="s">
        <v>977</v>
      </c>
      <c r="C4973" s="1">
        <v>41716</v>
      </c>
      <c r="D4973" s="1">
        <v>41719</v>
      </c>
      <c r="E4973">
        <v>20661</v>
      </c>
      <c r="F4973" t="s">
        <v>309</v>
      </c>
      <c r="G4973" t="s">
        <v>16</v>
      </c>
      <c r="H4973" t="s">
        <v>7074</v>
      </c>
      <c r="I4973">
        <v>2.3517999999999999</v>
      </c>
      <c r="J4973">
        <v>42589.59</v>
      </c>
      <c r="K4973">
        <v>18109.358789012673</v>
      </c>
    </row>
    <row r="4974" spans="1:11" x14ac:dyDescent="0.25">
      <c r="A4974" t="s">
        <v>3003</v>
      </c>
      <c r="C4974" s="1">
        <v>41743</v>
      </c>
      <c r="D4974" s="1">
        <v>41745</v>
      </c>
      <c r="E4974">
        <v>22754</v>
      </c>
      <c r="F4974" t="s">
        <v>421</v>
      </c>
      <c r="G4974" t="s">
        <v>16</v>
      </c>
      <c r="H4974" t="s">
        <v>3162</v>
      </c>
      <c r="I4974">
        <v>2.2059000000000002</v>
      </c>
      <c r="J4974">
        <v>1629.8</v>
      </c>
      <c r="K4974">
        <v>738.8367559726189</v>
      </c>
    </row>
    <row r="4975" spans="1:11" x14ac:dyDescent="0.25">
      <c r="A4975" t="s">
        <v>1024</v>
      </c>
      <c r="B4975" t="s">
        <v>1025</v>
      </c>
      <c r="C4975" s="1">
        <v>41712</v>
      </c>
      <c r="D4975" s="1">
        <v>41731</v>
      </c>
      <c r="E4975">
        <v>1</v>
      </c>
      <c r="F4975" t="s">
        <v>331</v>
      </c>
      <c r="G4975" t="s">
        <v>16</v>
      </c>
      <c r="H4975" t="s">
        <v>3010</v>
      </c>
      <c r="I4975">
        <v>2.3485999999999998</v>
      </c>
      <c r="J4975">
        <v>125.97</v>
      </c>
      <c r="K4975">
        <v>53.63620880524568</v>
      </c>
    </row>
    <row r="4976" spans="1:11" x14ac:dyDescent="0.25">
      <c r="A4976" t="s">
        <v>1048</v>
      </c>
      <c r="C4976" s="1">
        <v>41743</v>
      </c>
      <c r="D4976" s="1">
        <v>41752</v>
      </c>
      <c r="E4976">
        <v>22793</v>
      </c>
      <c r="F4976" t="s">
        <v>421</v>
      </c>
      <c r="G4976" t="s">
        <v>16</v>
      </c>
      <c r="H4976" t="s">
        <v>3882</v>
      </c>
      <c r="I4976">
        <v>2.2059000000000002</v>
      </c>
      <c r="J4976">
        <v>610</v>
      </c>
      <c r="K4976">
        <v>276.53112108436466</v>
      </c>
    </row>
    <row r="4977" spans="1:11" x14ac:dyDescent="0.25">
      <c r="A4977" t="s">
        <v>1048</v>
      </c>
      <c r="C4977" s="1">
        <v>41751</v>
      </c>
      <c r="D4977" s="1">
        <v>41752</v>
      </c>
      <c r="E4977">
        <v>22793</v>
      </c>
      <c r="F4977" t="s">
        <v>421</v>
      </c>
      <c r="G4977" t="s">
        <v>16</v>
      </c>
      <c r="H4977" t="s">
        <v>7075</v>
      </c>
      <c r="I4977">
        <v>2.2482000000000002</v>
      </c>
      <c r="J4977">
        <v>100.62</v>
      </c>
      <c r="K4977">
        <v>44.755804643714974</v>
      </c>
    </row>
    <row r="4978" spans="1:11" x14ac:dyDescent="0.25">
      <c r="A4978" t="s">
        <v>1048</v>
      </c>
      <c r="C4978" s="1">
        <v>41751</v>
      </c>
      <c r="D4978" s="1">
        <v>41752</v>
      </c>
      <c r="E4978">
        <v>22793</v>
      </c>
      <c r="F4978" t="s">
        <v>421</v>
      </c>
      <c r="G4978" t="s">
        <v>16</v>
      </c>
      <c r="H4978" t="s">
        <v>7076</v>
      </c>
      <c r="I4978">
        <v>2.2482000000000002</v>
      </c>
      <c r="J4978">
        <v>140.79</v>
      </c>
      <c r="K4978">
        <v>62.62343207899653</v>
      </c>
    </row>
    <row r="4979" spans="1:11" x14ac:dyDescent="0.25">
      <c r="A4979" t="s">
        <v>1036</v>
      </c>
      <c r="B4979" t="s">
        <v>1037</v>
      </c>
      <c r="C4979" s="1">
        <v>41754</v>
      </c>
      <c r="D4979" s="1">
        <v>41759</v>
      </c>
      <c r="E4979">
        <v>21505</v>
      </c>
      <c r="F4979" t="s">
        <v>309</v>
      </c>
      <c r="G4979" t="s">
        <v>16</v>
      </c>
      <c r="H4979" t="s">
        <v>3883</v>
      </c>
      <c r="I4979">
        <v>2.2229000000000001</v>
      </c>
      <c r="J4979">
        <v>144979.20000000001</v>
      </c>
      <c r="K4979">
        <v>65220.747671960053</v>
      </c>
    </row>
    <row r="4980" spans="1:11" x14ac:dyDescent="0.25">
      <c r="A4980" t="s">
        <v>896</v>
      </c>
      <c r="B4980" t="s">
        <v>897</v>
      </c>
      <c r="C4980" s="1">
        <v>41716</v>
      </c>
      <c r="D4980" s="1">
        <v>41726</v>
      </c>
      <c r="E4980">
        <v>296</v>
      </c>
      <c r="F4980" t="s">
        <v>887</v>
      </c>
      <c r="G4980" t="s">
        <v>16</v>
      </c>
      <c r="H4980" t="s">
        <v>7077</v>
      </c>
      <c r="I4980">
        <v>2.3517999999999999</v>
      </c>
      <c r="J4980">
        <v>48157.25</v>
      </c>
      <c r="K4980">
        <v>20476.762479802703</v>
      </c>
    </row>
    <row r="4981" spans="1:11" x14ac:dyDescent="0.25">
      <c r="A4981" t="s">
        <v>1060</v>
      </c>
      <c r="B4981" t="s">
        <v>1061</v>
      </c>
      <c r="C4981" s="1">
        <v>41783</v>
      </c>
      <c r="D4981" s="1">
        <v>41787</v>
      </c>
      <c r="E4981">
        <v>19976</v>
      </c>
      <c r="F4981" t="s">
        <v>309</v>
      </c>
      <c r="G4981" t="s">
        <v>16</v>
      </c>
      <c r="H4981" t="s">
        <v>7078</v>
      </c>
      <c r="I4981">
        <v>2.2187000000000001</v>
      </c>
      <c r="J4981">
        <v>34790.06</v>
      </c>
      <c r="K4981">
        <v>15680.380402938657</v>
      </c>
    </row>
    <row r="4982" spans="1:11" x14ac:dyDescent="0.25">
      <c r="A4982" t="s">
        <v>1060</v>
      </c>
      <c r="B4982" t="s">
        <v>1061</v>
      </c>
      <c r="C4982" s="1">
        <v>41783</v>
      </c>
      <c r="D4982" s="1">
        <v>41787</v>
      </c>
      <c r="E4982">
        <v>19976</v>
      </c>
      <c r="F4982" t="s">
        <v>309</v>
      </c>
      <c r="G4982" t="s">
        <v>16</v>
      </c>
      <c r="H4982" t="s">
        <v>3884</v>
      </c>
      <c r="I4982">
        <v>2.2187000000000001</v>
      </c>
      <c r="J4982">
        <v>36523.089999999997</v>
      </c>
      <c r="K4982">
        <v>16461.481948888988</v>
      </c>
    </row>
    <row r="4983" spans="1:11" x14ac:dyDescent="0.25">
      <c r="A4983" t="s">
        <v>1060</v>
      </c>
      <c r="B4983" t="s">
        <v>1061</v>
      </c>
      <c r="C4983" s="1">
        <v>41781</v>
      </c>
      <c r="D4983" s="1">
        <v>41787</v>
      </c>
      <c r="E4983">
        <v>19976</v>
      </c>
      <c r="F4983" t="s">
        <v>309</v>
      </c>
      <c r="G4983" t="s">
        <v>16</v>
      </c>
      <c r="H4983" t="s">
        <v>7079</v>
      </c>
      <c r="I4983">
        <v>2.2111000000000001</v>
      </c>
      <c r="J4983">
        <v>23989.18</v>
      </c>
      <c r="K4983">
        <v>10849.432409208086</v>
      </c>
    </row>
    <row r="4984" spans="1:11" x14ac:dyDescent="0.25">
      <c r="A4984" t="s">
        <v>1060</v>
      </c>
      <c r="B4984" t="s">
        <v>1061</v>
      </c>
      <c r="C4984" s="1">
        <v>41782</v>
      </c>
      <c r="D4984" s="1">
        <v>41786</v>
      </c>
      <c r="E4984">
        <v>19976</v>
      </c>
      <c r="F4984" t="s">
        <v>309</v>
      </c>
      <c r="G4984" t="s">
        <v>16</v>
      </c>
      <c r="H4984" t="s">
        <v>3885</v>
      </c>
      <c r="I4984">
        <v>2.2130999999999998</v>
      </c>
      <c r="J4984">
        <v>36602.19</v>
      </c>
      <c r="K4984">
        <v>16538.877592517285</v>
      </c>
    </row>
    <row r="4985" spans="1:11" x14ac:dyDescent="0.25">
      <c r="A4985" t="s">
        <v>1060</v>
      </c>
      <c r="B4985" t="s">
        <v>1061</v>
      </c>
      <c r="C4985" s="1">
        <v>41782</v>
      </c>
      <c r="D4985" s="1">
        <v>41787</v>
      </c>
      <c r="E4985">
        <v>19976</v>
      </c>
      <c r="F4985" t="s">
        <v>309</v>
      </c>
      <c r="G4985" t="s">
        <v>16</v>
      </c>
      <c r="H4985" t="s">
        <v>3886</v>
      </c>
      <c r="I4985">
        <v>2.2130999999999998</v>
      </c>
      <c r="J4985">
        <v>26362.21</v>
      </c>
      <c r="K4985">
        <v>11911.892820026207</v>
      </c>
    </row>
    <row r="4986" spans="1:11" x14ac:dyDescent="0.25">
      <c r="A4986" t="s">
        <v>1060</v>
      </c>
      <c r="B4986" t="s">
        <v>1061</v>
      </c>
      <c r="C4986" s="1">
        <v>41787</v>
      </c>
      <c r="D4986" s="1">
        <v>41789</v>
      </c>
      <c r="E4986">
        <v>19976</v>
      </c>
      <c r="F4986" t="s">
        <v>309</v>
      </c>
      <c r="G4986" t="s">
        <v>16</v>
      </c>
      <c r="H4986" t="s">
        <v>3887</v>
      </c>
      <c r="I4986">
        <v>2.2353999999999998</v>
      </c>
      <c r="J4986">
        <v>26441.31</v>
      </c>
      <c r="K4986">
        <v>11828.446810414243</v>
      </c>
    </row>
    <row r="4987" spans="1:11" x14ac:dyDescent="0.25">
      <c r="A4987" t="s">
        <v>1060</v>
      </c>
      <c r="B4987" t="s">
        <v>1061</v>
      </c>
      <c r="C4987" s="1">
        <v>41786</v>
      </c>
      <c r="D4987" s="1">
        <v>41792</v>
      </c>
      <c r="E4987">
        <v>19976</v>
      </c>
      <c r="F4987" t="s">
        <v>309</v>
      </c>
      <c r="G4987" t="s">
        <v>16</v>
      </c>
      <c r="H4987" t="s">
        <v>3888</v>
      </c>
      <c r="I4987">
        <v>2.2208999999999999</v>
      </c>
      <c r="J4987">
        <v>23852.55</v>
      </c>
      <c r="K4987">
        <v>10740.03782250439</v>
      </c>
    </row>
    <row r="4988" spans="1:11" x14ac:dyDescent="0.25">
      <c r="A4988" t="s">
        <v>1060</v>
      </c>
      <c r="B4988" t="s">
        <v>1061</v>
      </c>
      <c r="C4988" s="1">
        <v>41789</v>
      </c>
      <c r="D4988" s="1">
        <v>41792</v>
      </c>
      <c r="E4988">
        <v>19976</v>
      </c>
      <c r="F4988" t="s">
        <v>309</v>
      </c>
      <c r="G4988" t="s">
        <v>16</v>
      </c>
      <c r="H4988" t="s">
        <v>3889</v>
      </c>
      <c r="I4988">
        <v>2.2250999999999999</v>
      </c>
      <c r="J4988">
        <v>27167.599999999999</v>
      </c>
      <c r="K4988">
        <v>12209.608556918791</v>
      </c>
    </row>
    <row r="4989" spans="1:11" x14ac:dyDescent="0.25">
      <c r="A4989" t="s">
        <v>1060</v>
      </c>
      <c r="B4989" t="s">
        <v>1061</v>
      </c>
      <c r="C4989" s="1">
        <v>41781</v>
      </c>
      <c r="D4989" s="1">
        <v>41789</v>
      </c>
      <c r="E4989">
        <v>19976</v>
      </c>
      <c r="F4989" t="s">
        <v>309</v>
      </c>
      <c r="G4989" t="s">
        <v>16</v>
      </c>
      <c r="H4989" t="s">
        <v>7080</v>
      </c>
      <c r="I4989">
        <v>2.2111000000000001</v>
      </c>
      <c r="J4989">
        <v>24010.75</v>
      </c>
      <c r="K4989">
        <v>10859.187734611733</v>
      </c>
    </row>
    <row r="4990" spans="1:11" x14ac:dyDescent="0.25">
      <c r="A4990" t="s">
        <v>1057</v>
      </c>
      <c r="B4990" t="s">
        <v>1058</v>
      </c>
      <c r="C4990" s="1">
        <v>41783</v>
      </c>
      <c r="D4990" s="1">
        <v>41794</v>
      </c>
      <c r="E4990">
        <v>19681</v>
      </c>
      <c r="F4990" t="s">
        <v>309</v>
      </c>
      <c r="G4990" t="s">
        <v>16</v>
      </c>
      <c r="H4990" t="s">
        <v>7081</v>
      </c>
      <c r="I4990">
        <v>2.2187000000000001</v>
      </c>
      <c r="J4990">
        <v>24017.94</v>
      </c>
      <c r="K4990">
        <v>10825.230991120927</v>
      </c>
    </row>
    <row r="4991" spans="1:11" x14ac:dyDescent="0.25">
      <c r="A4991" t="s">
        <v>7082</v>
      </c>
      <c r="C4991" s="1">
        <v>41794</v>
      </c>
      <c r="D4991" s="1">
        <v>41794</v>
      </c>
      <c r="E4991">
        <v>155</v>
      </c>
      <c r="F4991" t="s">
        <v>519</v>
      </c>
      <c r="G4991" t="s">
        <v>16</v>
      </c>
      <c r="H4991" t="s">
        <v>7083</v>
      </c>
      <c r="I4991">
        <v>2.2654000000000001</v>
      </c>
      <c r="J4991">
        <v>600.45000000000005</v>
      </c>
      <c r="K4991">
        <v>265.05252935463938</v>
      </c>
    </row>
    <row r="4992" spans="1:11" x14ac:dyDescent="0.25">
      <c r="A4992" t="s">
        <v>1060</v>
      </c>
      <c r="B4992" t="s">
        <v>1061</v>
      </c>
      <c r="C4992" s="1">
        <v>41786</v>
      </c>
      <c r="D4992" s="1">
        <v>41792</v>
      </c>
      <c r="E4992">
        <v>19976</v>
      </c>
      <c r="F4992" t="s">
        <v>309</v>
      </c>
      <c r="G4992" t="s">
        <v>16</v>
      </c>
      <c r="H4992" t="s">
        <v>7084</v>
      </c>
      <c r="I4992">
        <v>2.2208999999999999</v>
      </c>
      <c r="J4992">
        <v>25916.36</v>
      </c>
      <c r="K4992">
        <v>11669.305236615786</v>
      </c>
    </row>
    <row r="4993" spans="1:11" x14ac:dyDescent="0.25">
      <c r="A4993" t="s">
        <v>1060</v>
      </c>
      <c r="B4993" t="s">
        <v>1061</v>
      </c>
      <c r="C4993" s="1">
        <v>41786</v>
      </c>
      <c r="D4993" s="1">
        <v>41792</v>
      </c>
      <c r="E4993">
        <v>19976</v>
      </c>
      <c r="F4993" t="s">
        <v>309</v>
      </c>
      <c r="G4993" t="s">
        <v>16</v>
      </c>
      <c r="H4993" t="s">
        <v>7085</v>
      </c>
      <c r="I4993">
        <v>2.2208999999999999</v>
      </c>
      <c r="J4993">
        <v>23780.639999999999</v>
      </c>
      <c r="K4993">
        <v>10707.659057138997</v>
      </c>
    </row>
    <row r="4994" spans="1:11" x14ac:dyDescent="0.25">
      <c r="A4994" t="s">
        <v>1060</v>
      </c>
      <c r="B4994" t="s">
        <v>1061</v>
      </c>
      <c r="C4994" s="1">
        <v>41782</v>
      </c>
      <c r="D4994" s="1">
        <v>41785</v>
      </c>
      <c r="E4994">
        <v>19976</v>
      </c>
      <c r="F4994" t="s">
        <v>309</v>
      </c>
      <c r="G4994" t="s">
        <v>16</v>
      </c>
      <c r="H4994" t="s">
        <v>7086</v>
      </c>
      <c r="I4994">
        <v>2.2130999999999998</v>
      </c>
      <c r="J4994">
        <v>35739.269999999997</v>
      </c>
      <c r="K4994">
        <v>16148.962993086621</v>
      </c>
    </row>
    <row r="4995" spans="1:11" x14ac:dyDescent="0.25">
      <c r="A4995" t="s">
        <v>1060</v>
      </c>
      <c r="B4995" t="s">
        <v>1061</v>
      </c>
      <c r="C4995" s="1">
        <v>41781</v>
      </c>
      <c r="D4995" s="1">
        <v>41785</v>
      </c>
      <c r="E4995">
        <v>19976</v>
      </c>
      <c r="F4995" t="s">
        <v>309</v>
      </c>
      <c r="G4995" t="s">
        <v>16</v>
      </c>
      <c r="H4995" t="s">
        <v>3890</v>
      </c>
      <c r="I4995">
        <v>2.2111000000000001</v>
      </c>
      <c r="J4995">
        <v>23996.37</v>
      </c>
      <c r="K4995">
        <v>10852.684184342635</v>
      </c>
    </row>
    <row r="4996" spans="1:11" x14ac:dyDescent="0.25">
      <c r="A4996" t="s">
        <v>1060</v>
      </c>
      <c r="B4996" t="s">
        <v>1061</v>
      </c>
      <c r="C4996" s="1">
        <v>41782</v>
      </c>
      <c r="D4996" s="1">
        <v>41785</v>
      </c>
      <c r="E4996">
        <v>19976</v>
      </c>
      <c r="F4996" t="s">
        <v>309</v>
      </c>
      <c r="G4996" t="s">
        <v>16</v>
      </c>
      <c r="H4996" t="s">
        <v>7087</v>
      </c>
      <c r="I4996">
        <v>2.2130999999999998</v>
      </c>
      <c r="J4996">
        <v>36472.75</v>
      </c>
      <c r="K4996">
        <v>16480.389498892957</v>
      </c>
    </row>
    <row r="4997" spans="1:11" x14ac:dyDescent="0.25">
      <c r="A4997" t="s">
        <v>1060</v>
      </c>
      <c r="B4997" t="s">
        <v>1061</v>
      </c>
      <c r="C4997" s="1">
        <v>41781</v>
      </c>
      <c r="D4997" s="1">
        <v>41786</v>
      </c>
      <c r="E4997">
        <v>19976</v>
      </c>
      <c r="F4997" t="s">
        <v>309</v>
      </c>
      <c r="G4997" t="s">
        <v>16</v>
      </c>
      <c r="H4997" t="s">
        <v>3891</v>
      </c>
      <c r="I4997">
        <v>2.2111000000000001</v>
      </c>
      <c r="J4997">
        <v>23845.360000000001</v>
      </c>
      <c r="K4997">
        <v>10784.387861245534</v>
      </c>
    </row>
    <row r="4998" spans="1:11" x14ac:dyDescent="0.25">
      <c r="A4998" t="s">
        <v>1060</v>
      </c>
      <c r="B4998" t="s">
        <v>1061</v>
      </c>
      <c r="C4998" s="1">
        <v>41782</v>
      </c>
      <c r="D4998" s="1">
        <v>41786</v>
      </c>
      <c r="E4998">
        <v>19976</v>
      </c>
      <c r="F4998" t="s">
        <v>309</v>
      </c>
      <c r="G4998" t="s">
        <v>16</v>
      </c>
      <c r="H4998" t="s">
        <v>465</v>
      </c>
      <c r="I4998">
        <v>2.2130999999999998</v>
      </c>
      <c r="J4998">
        <v>36810.730000000003</v>
      </c>
      <c r="K4998">
        <v>16633.107405901224</v>
      </c>
    </row>
    <row r="4999" spans="1:11" x14ac:dyDescent="0.25">
      <c r="A4999" t="s">
        <v>1060</v>
      </c>
      <c r="B4999" t="s">
        <v>1061</v>
      </c>
      <c r="C4999" s="1">
        <v>41782</v>
      </c>
      <c r="D4999" s="1">
        <v>41786</v>
      </c>
      <c r="E4999">
        <v>19976</v>
      </c>
      <c r="F4999" t="s">
        <v>309</v>
      </c>
      <c r="G4999" t="s">
        <v>16</v>
      </c>
      <c r="H4999" t="s">
        <v>3892</v>
      </c>
      <c r="I4999">
        <v>2.2130999999999998</v>
      </c>
      <c r="J4999">
        <v>23953.22</v>
      </c>
      <c r="K4999">
        <v>10823.378970674619</v>
      </c>
    </row>
    <row r="5000" spans="1:11" x14ac:dyDescent="0.25">
      <c r="A5000" t="s">
        <v>1060</v>
      </c>
      <c r="B5000" t="s">
        <v>1061</v>
      </c>
      <c r="C5000" s="1">
        <v>41782</v>
      </c>
      <c r="D5000" s="1">
        <v>41786</v>
      </c>
      <c r="E5000">
        <v>19976</v>
      </c>
      <c r="F5000" t="s">
        <v>309</v>
      </c>
      <c r="G5000" t="s">
        <v>16</v>
      </c>
      <c r="H5000" t="s">
        <v>3893</v>
      </c>
      <c r="I5000">
        <v>2.2130999999999998</v>
      </c>
      <c r="J5000">
        <v>35235.9</v>
      </c>
      <c r="K5000">
        <v>15921.5128100854</v>
      </c>
    </row>
    <row r="5001" spans="1:11" x14ac:dyDescent="0.25">
      <c r="A5001" t="s">
        <v>1060</v>
      </c>
      <c r="B5001" t="s">
        <v>1061</v>
      </c>
      <c r="C5001" s="1">
        <v>41795</v>
      </c>
      <c r="D5001" s="1">
        <v>41800</v>
      </c>
      <c r="E5001">
        <v>19976</v>
      </c>
      <c r="F5001" t="s">
        <v>309</v>
      </c>
      <c r="G5001" t="s">
        <v>16</v>
      </c>
      <c r="H5001" t="s">
        <v>3894</v>
      </c>
      <c r="I5001">
        <v>2.2801999999999998</v>
      </c>
      <c r="J5001">
        <v>35422.870000000003</v>
      </c>
      <c r="K5001">
        <v>15534.983773353215</v>
      </c>
    </row>
    <row r="5002" spans="1:11" x14ac:dyDescent="0.25">
      <c r="A5002" t="s">
        <v>1060</v>
      </c>
      <c r="B5002" t="s">
        <v>1061</v>
      </c>
      <c r="C5002" s="1">
        <v>41783</v>
      </c>
      <c r="D5002" s="1">
        <v>41786</v>
      </c>
      <c r="E5002">
        <v>19976</v>
      </c>
      <c r="F5002" t="s">
        <v>309</v>
      </c>
      <c r="G5002" t="s">
        <v>16</v>
      </c>
      <c r="H5002" t="s">
        <v>7088</v>
      </c>
      <c r="I5002">
        <v>2.2187000000000001</v>
      </c>
      <c r="J5002">
        <v>34646.239999999998</v>
      </c>
      <c r="K5002">
        <v>15615.558660476856</v>
      </c>
    </row>
    <row r="5003" spans="1:11" x14ac:dyDescent="0.25">
      <c r="A5003" t="s">
        <v>1057</v>
      </c>
      <c r="B5003" t="s">
        <v>1058</v>
      </c>
      <c r="C5003" s="1">
        <v>41783</v>
      </c>
      <c r="D5003" s="1">
        <v>41789</v>
      </c>
      <c r="E5003">
        <v>19681</v>
      </c>
      <c r="F5003" t="s">
        <v>309</v>
      </c>
      <c r="G5003" t="s">
        <v>16</v>
      </c>
      <c r="H5003" t="s">
        <v>7089</v>
      </c>
      <c r="I5003">
        <v>2.2187000000000001</v>
      </c>
      <c r="J5003">
        <v>22586.93</v>
      </c>
      <c r="K5003">
        <v>10180.254202911616</v>
      </c>
    </row>
    <row r="5004" spans="1:11" x14ac:dyDescent="0.25">
      <c r="A5004" t="s">
        <v>1060</v>
      </c>
      <c r="B5004" t="s">
        <v>1061</v>
      </c>
      <c r="C5004" s="1">
        <v>41790</v>
      </c>
      <c r="D5004" s="1">
        <v>41795</v>
      </c>
      <c r="E5004">
        <v>19976</v>
      </c>
      <c r="F5004" t="s">
        <v>309</v>
      </c>
      <c r="G5004" t="s">
        <v>16</v>
      </c>
      <c r="H5004" t="s">
        <v>7090</v>
      </c>
      <c r="I5004">
        <v>2.2389999999999999</v>
      </c>
      <c r="J5004">
        <v>26304.68</v>
      </c>
      <c r="K5004">
        <v>11748.405538186691</v>
      </c>
    </row>
    <row r="5005" spans="1:11" x14ac:dyDescent="0.25">
      <c r="A5005" t="s">
        <v>1060</v>
      </c>
      <c r="B5005" t="s">
        <v>1061</v>
      </c>
      <c r="C5005" s="1">
        <v>41796</v>
      </c>
      <c r="D5005" s="1">
        <v>41800</v>
      </c>
      <c r="E5005">
        <v>19976</v>
      </c>
      <c r="F5005" t="s">
        <v>309</v>
      </c>
      <c r="G5005" t="s">
        <v>16</v>
      </c>
      <c r="H5005" t="s">
        <v>3895</v>
      </c>
      <c r="I5005">
        <v>2.2694999999999999</v>
      </c>
      <c r="J5005">
        <v>35235.9</v>
      </c>
      <c r="K5005">
        <v>15525.842696629214</v>
      </c>
    </row>
    <row r="5006" spans="1:11" x14ac:dyDescent="0.25">
      <c r="A5006" t="s">
        <v>1060</v>
      </c>
      <c r="B5006" t="s">
        <v>1061</v>
      </c>
      <c r="C5006" s="1">
        <v>41790</v>
      </c>
      <c r="D5006" s="1">
        <v>41793</v>
      </c>
      <c r="E5006">
        <v>19976</v>
      </c>
      <c r="F5006" t="s">
        <v>309</v>
      </c>
      <c r="G5006" t="s">
        <v>16</v>
      </c>
      <c r="H5006" t="s">
        <v>7091</v>
      </c>
      <c r="I5006">
        <v>2.2389999999999999</v>
      </c>
      <c r="J5006">
        <v>25671.87</v>
      </c>
      <c r="K5006">
        <v>11465.774899508709</v>
      </c>
    </row>
    <row r="5007" spans="1:11" x14ac:dyDescent="0.25">
      <c r="A5007" t="s">
        <v>1072</v>
      </c>
      <c r="B5007" t="s">
        <v>1073</v>
      </c>
      <c r="C5007" s="1">
        <v>41824</v>
      </c>
      <c r="D5007" s="1">
        <v>41826</v>
      </c>
      <c r="E5007">
        <v>19972</v>
      </c>
      <c r="F5007" t="s">
        <v>368</v>
      </c>
      <c r="G5007" t="s">
        <v>16</v>
      </c>
      <c r="H5007" t="s">
        <v>7092</v>
      </c>
      <c r="I5007">
        <v>2.2281</v>
      </c>
      <c r="J5007">
        <v>33232.93</v>
      </c>
      <c r="K5007">
        <v>14915.367353350388</v>
      </c>
    </row>
    <row r="5008" spans="1:11" x14ac:dyDescent="0.25">
      <c r="A5008" t="s">
        <v>1072</v>
      </c>
      <c r="B5008" t="s">
        <v>1073</v>
      </c>
      <c r="C5008" s="1">
        <v>41823</v>
      </c>
      <c r="D5008" s="1">
        <v>41825</v>
      </c>
      <c r="E5008">
        <v>19972</v>
      </c>
      <c r="F5008" t="s">
        <v>368</v>
      </c>
      <c r="G5008" t="s">
        <v>16</v>
      </c>
      <c r="H5008" t="s">
        <v>7093</v>
      </c>
      <c r="I5008">
        <v>2.2134</v>
      </c>
      <c r="J5008">
        <v>33073.339999999997</v>
      </c>
      <c r="K5008">
        <v>14942.324026384747</v>
      </c>
    </row>
    <row r="5009" spans="1:11" x14ac:dyDescent="0.25">
      <c r="A5009" t="s">
        <v>1072</v>
      </c>
      <c r="B5009" t="s">
        <v>1073</v>
      </c>
      <c r="C5009" s="1">
        <v>41822</v>
      </c>
      <c r="D5009" s="1">
        <v>41825</v>
      </c>
      <c r="E5009">
        <v>19972</v>
      </c>
      <c r="F5009" t="s">
        <v>368</v>
      </c>
      <c r="G5009" t="s">
        <v>16</v>
      </c>
      <c r="H5009" t="s">
        <v>7094</v>
      </c>
      <c r="I5009">
        <v>2.2054</v>
      </c>
      <c r="J5009">
        <v>33565.379999999997</v>
      </c>
      <c r="K5009">
        <v>15219.633626553006</v>
      </c>
    </row>
    <row r="5010" spans="1:11" x14ac:dyDescent="0.25">
      <c r="A5010" t="s">
        <v>1072</v>
      </c>
      <c r="B5010" t="s">
        <v>1073</v>
      </c>
      <c r="C5010" s="1">
        <v>41822</v>
      </c>
      <c r="D5010" s="1">
        <v>41825</v>
      </c>
      <c r="E5010">
        <v>19972</v>
      </c>
      <c r="F5010" t="s">
        <v>368</v>
      </c>
      <c r="G5010" t="s">
        <v>16</v>
      </c>
      <c r="H5010" t="s">
        <v>3896</v>
      </c>
      <c r="I5010">
        <v>2.2054</v>
      </c>
      <c r="J5010">
        <v>24642.11</v>
      </c>
      <c r="K5010">
        <v>11173.533145914573</v>
      </c>
    </row>
    <row r="5011" spans="1:11" x14ac:dyDescent="0.25">
      <c r="A5011" t="s">
        <v>1072</v>
      </c>
      <c r="B5011" t="s">
        <v>1073</v>
      </c>
      <c r="C5011" s="1">
        <v>41825</v>
      </c>
      <c r="D5011" s="1">
        <v>41827</v>
      </c>
      <c r="E5011">
        <v>19972</v>
      </c>
      <c r="F5011" t="s">
        <v>368</v>
      </c>
      <c r="G5011" t="s">
        <v>16</v>
      </c>
      <c r="H5011" t="s">
        <v>7095</v>
      </c>
      <c r="I5011">
        <v>2.2149000000000001</v>
      </c>
      <c r="J5011">
        <v>24854.87</v>
      </c>
      <c r="K5011">
        <v>11221.666892410492</v>
      </c>
    </row>
    <row r="5012" spans="1:11" x14ac:dyDescent="0.25">
      <c r="A5012" t="s">
        <v>2088</v>
      </c>
      <c r="B5012" t="s">
        <v>2089</v>
      </c>
      <c r="C5012" s="1">
        <v>41835</v>
      </c>
      <c r="D5012" s="1">
        <v>41842</v>
      </c>
      <c r="E5012">
        <v>19979</v>
      </c>
      <c r="F5012" t="s">
        <v>301</v>
      </c>
      <c r="G5012" t="s">
        <v>16</v>
      </c>
      <c r="H5012" t="s">
        <v>3897</v>
      </c>
      <c r="I5012">
        <v>2.2176</v>
      </c>
      <c r="J5012">
        <v>57959.99</v>
      </c>
      <c r="K5012">
        <v>26136.359126984127</v>
      </c>
    </row>
    <row r="5013" spans="1:11" x14ac:dyDescent="0.25">
      <c r="A5013" t="s">
        <v>1072</v>
      </c>
      <c r="B5013" t="s">
        <v>1073</v>
      </c>
      <c r="C5013" s="1">
        <v>41829</v>
      </c>
      <c r="D5013" s="1">
        <v>41831</v>
      </c>
      <c r="E5013">
        <v>19972</v>
      </c>
      <c r="F5013" t="s">
        <v>368</v>
      </c>
      <c r="G5013" t="s">
        <v>16</v>
      </c>
      <c r="H5013" t="s">
        <v>3898</v>
      </c>
      <c r="I5013">
        <v>2.2149999999999999</v>
      </c>
      <c r="J5013">
        <v>33791.46</v>
      </c>
      <c r="K5013">
        <v>15255.738148984199</v>
      </c>
    </row>
    <row r="5014" spans="1:11" x14ac:dyDescent="0.25">
      <c r="A5014" t="s">
        <v>1072</v>
      </c>
      <c r="B5014" t="s">
        <v>1073</v>
      </c>
      <c r="C5014" s="1">
        <v>41830</v>
      </c>
      <c r="D5014" s="1">
        <v>41834</v>
      </c>
      <c r="E5014">
        <v>19972</v>
      </c>
      <c r="F5014" t="s">
        <v>368</v>
      </c>
      <c r="G5014" t="s">
        <v>16</v>
      </c>
      <c r="H5014" t="s">
        <v>7096</v>
      </c>
      <c r="I5014">
        <v>2.2139000000000002</v>
      </c>
      <c r="J5014">
        <v>24828.29</v>
      </c>
      <c r="K5014">
        <v>11214.729662586386</v>
      </c>
    </row>
    <row r="5015" spans="1:11" x14ac:dyDescent="0.25">
      <c r="A5015" t="s">
        <v>7097</v>
      </c>
      <c r="C5015" s="1">
        <v>41823</v>
      </c>
      <c r="D5015" s="1">
        <v>41824</v>
      </c>
      <c r="E5015">
        <v>19038</v>
      </c>
      <c r="F5015" t="s">
        <v>519</v>
      </c>
      <c r="G5015" t="s">
        <v>16</v>
      </c>
      <c r="H5015" t="s">
        <v>6480</v>
      </c>
      <c r="I5015">
        <v>2.2134</v>
      </c>
      <c r="J5015">
        <v>24.9</v>
      </c>
      <c r="K5015">
        <v>11.249661154784494</v>
      </c>
    </row>
    <row r="5016" spans="1:11" x14ac:dyDescent="0.25">
      <c r="A5016" t="s">
        <v>1075</v>
      </c>
      <c r="B5016" t="s">
        <v>1076</v>
      </c>
      <c r="C5016" s="1">
        <v>41830</v>
      </c>
      <c r="D5016" s="1">
        <v>41834</v>
      </c>
      <c r="E5016">
        <v>19680</v>
      </c>
      <c r="F5016" t="s">
        <v>368</v>
      </c>
      <c r="G5016" t="s">
        <v>16</v>
      </c>
      <c r="H5016" t="s">
        <v>7098</v>
      </c>
      <c r="I5016">
        <v>2.2139000000000002</v>
      </c>
      <c r="J5016">
        <v>28857.71</v>
      </c>
      <c r="K5016">
        <v>13034.784768959755</v>
      </c>
    </row>
    <row r="5017" spans="1:11" x14ac:dyDescent="0.25">
      <c r="A5017" t="s">
        <v>1075</v>
      </c>
      <c r="B5017" t="s">
        <v>1076</v>
      </c>
      <c r="C5017" s="1">
        <v>41832</v>
      </c>
      <c r="D5017" s="1">
        <v>41834</v>
      </c>
      <c r="E5017">
        <v>19680</v>
      </c>
      <c r="F5017" t="s">
        <v>368</v>
      </c>
      <c r="G5017" t="s">
        <v>16</v>
      </c>
      <c r="H5017" t="s">
        <v>3899</v>
      </c>
      <c r="I5017">
        <v>2.2227999999999999</v>
      </c>
      <c r="J5017">
        <v>24455.93</v>
      </c>
      <c r="K5017">
        <v>11002.307899946014</v>
      </c>
    </row>
    <row r="5018" spans="1:11" x14ac:dyDescent="0.25">
      <c r="A5018" t="s">
        <v>1075</v>
      </c>
      <c r="B5018" t="s">
        <v>1076</v>
      </c>
      <c r="C5018" s="1">
        <v>41832</v>
      </c>
      <c r="D5018" s="1">
        <v>41834</v>
      </c>
      <c r="E5018">
        <v>19680</v>
      </c>
      <c r="F5018" t="s">
        <v>368</v>
      </c>
      <c r="G5018" t="s">
        <v>16</v>
      </c>
      <c r="H5018" t="s">
        <v>3900</v>
      </c>
      <c r="I5018">
        <v>2.2227999999999999</v>
      </c>
      <c r="J5018">
        <v>25041.05</v>
      </c>
      <c r="K5018">
        <v>11265.543458700738</v>
      </c>
    </row>
    <row r="5019" spans="1:11" x14ac:dyDescent="0.25">
      <c r="A5019" t="s">
        <v>1072</v>
      </c>
      <c r="B5019" t="s">
        <v>1073</v>
      </c>
      <c r="C5019" s="1">
        <v>41827</v>
      </c>
      <c r="D5019" s="1">
        <v>41829</v>
      </c>
      <c r="E5019">
        <v>19972</v>
      </c>
      <c r="F5019" t="s">
        <v>368</v>
      </c>
      <c r="G5019" t="s">
        <v>16</v>
      </c>
      <c r="H5019" t="s">
        <v>3901</v>
      </c>
      <c r="I5019">
        <v>2.2149000000000001</v>
      </c>
      <c r="J5019">
        <v>24881.48</v>
      </c>
      <c r="K5019">
        <v>11233.680978825229</v>
      </c>
    </row>
    <row r="5020" spans="1:11" x14ac:dyDescent="0.25">
      <c r="A5020" t="s">
        <v>1072</v>
      </c>
      <c r="B5020" t="s">
        <v>1073</v>
      </c>
      <c r="C5020" s="1">
        <v>41826</v>
      </c>
      <c r="D5020" s="1">
        <v>41829</v>
      </c>
      <c r="E5020">
        <v>19972</v>
      </c>
      <c r="F5020" t="s">
        <v>368</v>
      </c>
      <c r="G5020" t="s">
        <v>16</v>
      </c>
      <c r="H5020" t="s">
        <v>7099</v>
      </c>
      <c r="I5020">
        <v>2.2149000000000001</v>
      </c>
      <c r="J5020">
        <v>33778.17</v>
      </c>
      <c r="K5020">
        <v>15250.426655830963</v>
      </c>
    </row>
    <row r="5021" spans="1:11" x14ac:dyDescent="0.25">
      <c r="A5021" t="s">
        <v>1072</v>
      </c>
      <c r="B5021" t="s">
        <v>1073</v>
      </c>
      <c r="C5021" s="1">
        <v>41829</v>
      </c>
      <c r="D5021" s="1">
        <v>41830</v>
      </c>
      <c r="E5021">
        <v>19972</v>
      </c>
      <c r="F5021" t="s">
        <v>368</v>
      </c>
      <c r="G5021" t="s">
        <v>16</v>
      </c>
      <c r="H5021" t="s">
        <v>3902</v>
      </c>
      <c r="I5021">
        <v>2.2149999999999999</v>
      </c>
      <c r="J5021">
        <v>24721.89</v>
      </c>
      <c r="K5021">
        <v>11161.124153498871</v>
      </c>
    </row>
    <row r="5022" spans="1:11" x14ac:dyDescent="0.25">
      <c r="A5022" t="s">
        <v>1072</v>
      </c>
      <c r="B5022" t="s">
        <v>1073</v>
      </c>
      <c r="C5022" s="1">
        <v>41828</v>
      </c>
      <c r="D5022" s="1">
        <v>41830</v>
      </c>
      <c r="E5022">
        <v>19972</v>
      </c>
      <c r="F5022" t="s">
        <v>368</v>
      </c>
      <c r="G5022" t="s">
        <v>16</v>
      </c>
      <c r="H5022" t="s">
        <v>7100</v>
      </c>
      <c r="I5022">
        <v>2.2201</v>
      </c>
      <c r="J5022">
        <v>33685.07</v>
      </c>
      <c r="K5022">
        <v>15172.771496779424</v>
      </c>
    </row>
    <row r="5023" spans="1:11" x14ac:dyDescent="0.25">
      <c r="A5023" t="s">
        <v>1072</v>
      </c>
      <c r="B5023" t="s">
        <v>1073</v>
      </c>
      <c r="C5023" s="1">
        <v>41827</v>
      </c>
      <c r="D5023" s="1">
        <v>41830</v>
      </c>
      <c r="E5023">
        <v>19972</v>
      </c>
      <c r="F5023" t="s">
        <v>368</v>
      </c>
      <c r="G5023" t="s">
        <v>16</v>
      </c>
      <c r="H5023" t="s">
        <v>7101</v>
      </c>
      <c r="I5023">
        <v>2.2149000000000001</v>
      </c>
      <c r="J5023">
        <v>24894.78</v>
      </c>
      <c r="K5023">
        <v>11239.685764594338</v>
      </c>
    </row>
    <row r="5024" spans="1:11" x14ac:dyDescent="0.25">
      <c r="A5024" t="s">
        <v>1072</v>
      </c>
      <c r="B5024" t="s">
        <v>1073</v>
      </c>
      <c r="C5024" s="1">
        <v>41827</v>
      </c>
      <c r="D5024" s="1">
        <v>41831</v>
      </c>
      <c r="E5024">
        <v>19972</v>
      </c>
      <c r="F5024" t="s">
        <v>368</v>
      </c>
      <c r="G5024" t="s">
        <v>16</v>
      </c>
      <c r="H5024" t="s">
        <v>7102</v>
      </c>
      <c r="I5024">
        <v>2.2149000000000001</v>
      </c>
      <c r="J5024">
        <v>33631.870000000003</v>
      </c>
      <c r="K5024">
        <v>15184.374012370761</v>
      </c>
    </row>
    <row r="5025" spans="1:11" x14ac:dyDescent="0.25">
      <c r="A5025" t="s">
        <v>1075</v>
      </c>
      <c r="B5025" t="s">
        <v>1076</v>
      </c>
      <c r="C5025" s="1">
        <v>41831</v>
      </c>
      <c r="D5025" s="1">
        <v>41837</v>
      </c>
      <c r="E5025">
        <v>19680</v>
      </c>
      <c r="F5025" t="s">
        <v>368</v>
      </c>
      <c r="G5025" t="s">
        <v>16</v>
      </c>
      <c r="H5025" t="s">
        <v>7103</v>
      </c>
      <c r="I5025">
        <v>2.2237</v>
      </c>
      <c r="J5025">
        <v>24908.07</v>
      </c>
      <c r="K5025">
        <v>11201.182713495526</v>
      </c>
    </row>
    <row r="5026" spans="1:11" x14ac:dyDescent="0.25">
      <c r="A5026" t="s">
        <v>1075</v>
      </c>
      <c r="B5026" t="s">
        <v>1076</v>
      </c>
      <c r="C5026" s="1">
        <v>41834</v>
      </c>
      <c r="D5026" s="1">
        <v>41837</v>
      </c>
      <c r="E5026">
        <v>19680</v>
      </c>
      <c r="F5026" t="s">
        <v>368</v>
      </c>
      <c r="G5026" t="s">
        <v>16</v>
      </c>
      <c r="H5026" t="s">
        <v>7104</v>
      </c>
      <c r="I5026">
        <v>2.2227999999999999</v>
      </c>
      <c r="J5026">
        <v>23990.48</v>
      </c>
      <c r="K5026">
        <v>10792.909843440706</v>
      </c>
    </row>
    <row r="5027" spans="1:11" x14ac:dyDescent="0.25">
      <c r="A5027" t="s">
        <v>1075</v>
      </c>
      <c r="B5027" t="s">
        <v>1076</v>
      </c>
      <c r="C5027" s="1">
        <v>41833</v>
      </c>
      <c r="D5027" s="1">
        <v>41837</v>
      </c>
      <c r="E5027">
        <v>19680</v>
      </c>
      <c r="F5027" t="s">
        <v>368</v>
      </c>
      <c r="G5027" t="s">
        <v>16</v>
      </c>
      <c r="H5027" t="s">
        <v>7105</v>
      </c>
      <c r="I5027">
        <v>2.2227999999999999</v>
      </c>
      <c r="J5027">
        <v>24801.68</v>
      </c>
      <c r="K5027">
        <v>11157.854957710995</v>
      </c>
    </row>
    <row r="5028" spans="1:11" x14ac:dyDescent="0.25">
      <c r="A5028" t="s">
        <v>1075</v>
      </c>
      <c r="B5028" t="s">
        <v>1076</v>
      </c>
      <c r="C5028" s="1">
        <v>41833</v>
      </c>
      <c r="D5028" s="1">
        <v>41837</v>
      </c>
      <c r="E5028">
        <v>19680</v>
      </c>
      <c r="F5028" t="s">
        <v>368</v>
      </c>
      <c r="G5028" t="s">
        <v>16</v>
      </c>
      <c r="H5028" t="s">
        <v>3903</v>
      </c>
      <c r="I5028">
        <v>2.2227999999999999</v>
      </c>
      <c r="J5028">
        <v>24708.6</v>
      </c>
      <c r="K5028">
        <v>11115.979845240237</v>
      </c>
    </row>
    <row r="5029" spans="1:11" x14ac:dyDescent="0.25">
      <c r="A5029" t="s">
        <v>1075</v>
      </c>
      <c r="B5029" t="s">
        <v>1076</v>
      </c>
      <c r="C5029" s="1">
        <v>41834</v>
      </c>
      <c r="D5029" s="1">
        <v>41837</v>
      </c>
      <c r="E5029">
        <v>19680</v>
      </c>
      <c r="F5029" t="s">
        <v>368</v>
      </c>
      <c r="G5029" t="s">
        <v>16</v>
      </c>
      <c r="H5029" t="s">
        <v>7106</v>
      </c>
      <c r="I5029">
        <v>2.2227999999999999</v>
      </c>
      <c r="J5029">
        <v>24455.93</v>
      </c>
      <c r="K5029">
        <v>11002.307899946014</v>
      </c>
    </row>
    <row r="5030" spans="1:11" x14ac:dyDescent="0.25">
      <c r="A5030" t="s">
        <v>1060</v>
      </c>
      <c r="B5030" t="s">
        <v>1061</v>
      </c>
      <c r="C5030" s="1">
        <v>41788</v>
      </c>
      <c r="D5030" s="1">
        <v>41802</v>
      </c>
      <c r="E5030">
        <v>19976</v>
      </c>
      <c r="F5030" t="s">
        <v>309</v>
      </c>
      <c r="G5030" t="s">
        <v>16</v>
      </c>
      <c r="H5030" t="s">
        <v>7107</v>
      </c>
      <c r="I5030">
        <v>2.2404999999999999</v>
      </c>
      <c r="J5030">
        <v>37004.89</v>
      </c>
      <c r="K5030">
        <v>16516.353492523991</v>
      </c>
    </row>
    <row r="5031" spans="1:11" x14ac:dyDescent="0.25">
      <c r="A5031" t="s">
        <v>1072</v>
      </c>
      <c r="B5031" t="s">
        <v>1073</v>
      </c>
      <c r="C5031" s="1">
        <v>41825</v>
      </c>
      <c r="D5031" s="1">
        <v>41828</v>
      </c>
      <c r="E5031">
        <v>19972</v>
      </c>
      <c r="F5031" t="s">
        <v>368</v>
      </c>
      <c r="G5031" t="s">
        <v>16</v>
      </c>
      <c r="H5031" t="s">
        <v>7108</v>
      </c>
      <c r="I5031">
        <v>2.2149000000000001</v>
      </c>
      <c r="J5031">
        <v>34030.83</v>
      </c>
      <c r="K5031">
        <v>15364.499525937965</v>
      </c>
    </row>
    <row r="5032" spans="1:11" x14ac:dyDescent="0.25">
      <c r="A5032" t="s">
        <v>1072</v>
      </c>
      <c r="B5032" t="s">
        <v>1073</v>
      </c>
      <c r="C5032" s="1">
        <v>41823</v>
      </c>
      <c r="D5032" s="1">
        <v>41828</v>
      </c>
      <c r="E5032">
        <v>19972</v>
      </c>
      <c r="F5032" t="s">
        <v>368</v>
      </c>
      <c r="G5032" t="s">
        <v>16</v>
      </c>
      <c r="H5032" t="s">
        <v>7109</v>
      </c>
      <c r="I5032">
        <v>2.2134</v>
      </c>
      <c r="J5032">
        <v>32687.69</v>
      </c>
      <c r="K5032">
        <v>14768.08981657179</v>
      </c>
    </row>
    <row r="5033" spans="1:11" x14ac:dyDescent="0.25">
      <c r="A5033" t="s">
        <v>1088</v>
      </c>
      <c r="B5033" t="s">
        <v>1089</v>
      </c>
      <c r="C5033" s="1">
        <v>41864</v>
      </c>
      <c r="D5033" s="1">
        <v>41867</v>
      </c>
      <c r="E5033">
        <v>2</v>
      </c>
      <c r="F5033" t="s">
        <v>368</v>
      </c>
      <c r="G5033" t="s">
        <v>16</v>
      </c>
      <c r="H5033" t="s">
        <v>7110</v>
      </c>
      <c r="I5033">
        <v>2.2770000000000001</v>
      </c>
      <c r="J5033">
        <v>37876.06</v>
      </c>
      <c r="K5033">
        <v>16634.194115063681</v>
      </c>
    </row>
    <row r="5034" spans="1:11" x14ac:dyDescent="0.25">
      <c r="A5034" t="s">
        <v>3904</v>
      </c>
      <c r="C5034" s="1">
        <v>41871</v>
      </c>
      <c r="D5034" s="1">
        <v>41872</v>
      </c>
      <c r="E5034">
        <v>19110</v>
      </c>
      <c r="F5034" t="s">
        <v>520</v>
      </c>
      <c r="G5034" t="s">
        <v>16</v>
      </c>
      <c r="H5034" t="s">
        <v>3905</v>
      </c>
      <c r="I5034">
        <v>2.2587000000000002</v>
      </c>
      <c r="J5034">
        <v>1637.5</v>
      </c>
      <c r="K5034">
        <v>724.97454287864696</v>
      </c>
    </row>
    <row r="5035" spans="1:11" x14ac:dyDescent="0.25">
      <c r="A5035" t="s">
        <v>1994</v>
      </c>
      <c r="B5035" t="s">
        <v>1995</v>
      </c>
      <c r="C5035" s="1">
        <v>41526</v>
      </c>
      <c r="D5035" s="1">
        <v>41543</v>
      </c>
      <c r="E5035">
        <v>3</v>
      </c>
      <c r="F5035" t="s">
        <v>887</v>
      </c>
      <c r="G5035" t="s">
        <v>16</v>
      </c>
      <c r="H5035" t="s">
        <v>3906</v>
      </c>
      <c r="I5035">
        <v>2.2978999999999998</v>
      </c>
      <c r="J5035">
        <v>83642.460000000006</v>
      </c>
      <c r="K5035">
        <v>36399.521302058398</v>
      </c>
    </row>
    <row r="5036" spans="1:11" x14ac:dyDescent="0.25">
      <c r="A5036" t="s">
        <v>1083</v>
      </c>
      <c r="B5036" t="s">
        <v>1084</v>
      </c>
      <c r="C5036" s="1">
        <v>41851</v>
      </c>
      <c r="D5036" s="1">
        <v>41853</v>
      </c>
      <c r="E5036">
        <v>19679</v>
      </c>
      <c r="F5036" t="s">
        <v>368</v>
      </c>
      <c r="G5036" t="s">
        <v>16</v>
      </c>
      <c r="H5036" t="s">
        <v>3907</v>
      </c>
      <c r="I5036">
        <v>2.2446999999999999</v>
      </c>
      <c r="J5036">
        <v>38930.620000000003</v>
      </c>
      <c r="K5036">
        <v>17343.351004588585</v>
      </c>
    </row>
    <row r="5037" spans="1:11" x14ac:dyDescent="0.25">
      <c r="A5037" t="s">
        <v>1083</v>
      </c>
      <c r="B5037" t="s">
        <v>1084</v>
      </c>
      <c r="C5037" s="1">
        <v>41850</v>
      </c>
      <c r="D5037" s="1">
        <v>41853</v>
      </c>
      <c r="E5037">
        <v>19679</v>
      </c>
      <c r="F5037" t="s">
        <v>368</v>
      </c>
      <c r="G5037" t="s">
        <v>16</v>
      </c>
      <c r="H5037" t="s">
        <v>7111</v>
      </c>
      <c r="I5037">
        <v>2.2277999999999998</v>
      </c>
      <c r="J5037">
        <v>52905.71</v>
      </c>
      <c r="K5037">
        <v>23747.962115091123</v>
      </c>
    </row>
    <row r="5038" spans="1:11" x14ac:dyDescent="0.25">
      <c r="A5038" t="s">
        <v>3908</v>
      </c>
      <c r="B5038" t="s">
        <v>3909</v>
      </c>
      <c r="C5038" s="1">
        <v>41848</v>
      </c>
      <c r="D5038" s="1">
        <v>41853</v>
      </c>
      <c r="E5038">
        <v>23393</v>
      </c>
      <c r="F5038" t="s">
        <v>311</v>
      </c>
      <c r="G5038" t="s">
        <v>16</v>
      </c>
      <c r="H5038" t="s">
        <v>3910</v>
      </c>
      <c r="I5038">
        <v>2.2292999999999998</v>
      </c>
      <c r="J5038">
        <v>11410.94</v>
      </c>
      <c r="K5038">
        <v>5118.6201946799447</v>
      </c>
    </row>
    <row r="5039" spans="1:11" x14ac:dyDescent="0.25">
      <c r="A5039" t="s">
        <v>1072</v>
      </c>
      <c r="B5039" t="s">
        <v>1073</v>
      </c>
      <c r="C5039" s="1">
        <v>41871</v>
      </c>
      <c r="D5039" s="1">
        <v>41873</v>
      </c>
      <c r="E5039">
        <v>19972</v>
      </c>
      <c r="F5039" t="s">
        <v>368</v>
      </c>
      <c r="G5039" t="s">
        <v>16</v>
      </c>
      <c r="H5039" t="s">
        <v>3911</v>
      </c>
      <c r="I5039">
        <v>2.2587000000000002</v>
      </c>
      <c r="J5039">
        <v>34243.620000000003</v>
      </c>
      <c r="K5039">
        <v>15160.765041838225</v>
      </c>
    </row>
    <row r="5040" spans="1:11" x14ac:dyDescent="0.25">
      <c r="A5040" t="s">
        <v>2590</v>
      </c>
      <c r="B5040" t="s">
        <v>2591</v>
      </c>
      <c r="C5040" s="1">
        <v>41850</v>
      </c>
      <c r="D5040" s="1">
        <v>41852</v>
      </c>
      <c r="E5040">
        <v>1</v>
      </c>
      <c r="F5040" t="s">
        <v>368</v>
      </c>
      <c r="G5040" t="s">
        <v>16</v>
      </c>
      <c r="H5040" t="s">
        <v>3912</v>
      </c>
      <c r="I5040">
        <v>2.2277999999999998</v>
      </c>
      <c r="J5040">
        <v>49495.13</v>
      </c>
      <c r="K5040">
        <v>22217.043720262143</v>
      </c>
    </row>
    <row r="5041" spans="1:11" x14ac:dyDescent="0.25">
      <c r="A5041" t="s">
        <v>2585</v>
      </c>
      <c r="B5041" t="s">
        <v>2586</v>
      </c>
      <c r="C5041" s="1">
        <v>41614</v>
      </c>
      <c r="D5041" s="1">
        <v>41635</v>
      </c>
      <c r="E5041">
        <v>1044</v>
      </c>
      <c r="F5041" t="s">
        <v>301</v>
      </c>
      <c r="G5041" t="s">
        <v>16</v>
      </c>
      <c r="H5041" t="s">
        <v>3039</v>
      </c>
      <c r="I5041">
        <v>2.3746999999999998</v>
      </c>
      <c r="J5041">
        <v>10912.01</v>
      </c>
      <c r="K5041">
        <v>4595.1109613845956</v>
      </c>
    </row>
    <row r="5042" spans="1:11" x14ac:dyDescent="0.25">
      <c r="A5042" t="s">
        <v>1088</v>
      </c>
      <c r="B5042" t="s">
        <v>1089</v>
      </c>
      <c r="C5042" s="1">
        <v>41864</v>
      </c>
      <c r="D5042" s="1">
        <v>41866</v>
      </c>
      <c r="E5042">
        <v>2</v>
      </c>
      <c r="F5042" t="s">
        <v>368</v>
      </c>
      <c r="G5042" t="s">
        <v>16</v>
      </c>
      <c r="H5042" t="s">
        <v>3913</v>
      </c>
      <c r="I5042">
        <v>2.2770000000000001</v>
      </c>
      <c r="J5042">
        <v>38179.19</v>
      </c>
      <c r="K5042">
        <v>16767.321036451471</v>
      </c>
    </row>
    <row r="5043" spans="1:11" x14ac:dyDescent="0.25">
      <c r="A5043" t="s">
        <v>1088</v>
      </c>
      <c r="B5043" t="s">
        <v>1089</v>
      </c>
      <c r="C5043" s="1">
        <v>41874</v>
      </c>
      <c r="D5043" s="1">
        <v>41876</v>
      </c>
      <c r="E5043">
        <v>2</v>
      </c>
      <c r="F5043" t="s">
        <v>368</v>
      </c>
      <c r="G5043" t="s">
        <v>16</v>
      </c>
      <c r="H5043" t="s">
        <v>3914</v>
      </c>
      <c r="I5043">
        <v>2.2778</v>
      </c>
      <c r="J5043">
        <v>37815.43</v>
      </c>
      <c r="K5043">
        <v>16601.734129423126</v>
      </c>
    </row>
    <row r="5044" spans="1:11" x14ac:dyDescent="0.25">
      <c r="A5044" t="s">
        <v>1088</v>
      </c>
      <c r="B5044" t="s">
        <v>1089</v>
      </c>
      <c r="C5044" s="1">
        <v>41874</v>
      </c>
      <c r="D5044" s="1">
        <v>41876</v>
      </c>
      <c r="E5044">
        <v>2</v>
      </c>
      <c r="F5044" t="s">
        <v>368</v>
      </c>
      <c r="G5044" t="s">
        <v>16</v>
      </c>
      <c r="H5044" t="s">
        <v>7112</v>
      </c>
      <c r="I5044">
        <v>2.2778</v>
      </c>
      <c r="J5044">
        <v>8229.9599999999991</v>
      </c>
      <c r="K5044">
        <v>3613.1179208007725</v>
      </c>
    </row>
    <row r="5045" spans="1:11" x14ac:dyDescent="0.25">
      <c r="A5045" t="s">
        <v>1075</v>
      </c>
      <c r="B5045" t="s">
        <v>1076</v>
      </c>
      <c r="C5045" s="1">
        <v>41860</v>
      </c>
      <c r="D5045" s="1">
        <v>41862</v>
      </c>
      <c r="E5045">
        <v>19680</v>
      </c>
      <c r="F5045" t="s">
        <v>368</v>
      </c>
      <c r="G5045" t="s">
        <v>16</v>
      </c>
      <c r="H5045" t="s">
        <v>3915</v>
      </c>
      <c r="I5045">
        <v>2.2986</v>
      </c>
      <c r="J5045">
        <v>32860.58</v>
      </c>
      <c r="K5045">
        <v>14295.910554250413</v>
      </c>
    </row>
    <row r="5046" spans="1:11" x14ac:dyDescent="0.25">
      <c r="A5046" t="s">
        <v>7113</v>
      </c>
      <c r="C5046" s="1">
        <v>41869</v>
      </c>
      <c r="D5046" s="1">
        <v>41870</v>
      </c>
      <c r="E5046">
        <v>222</v>
      </c>
      <c r="F5046" t="s">
        <v>519</v>
      </c>
      <c r="G5046" t="s">
        <v>16</v>
      </c>
      <c r="H5046" t="s">
        <v>7114</v>
      </c>
      <c r="I5046">
        <v>2.2690000000000001</v>
      </c>
      <c r="J5046">
        <v>381.95</v>
      </c>
      <c r="K5046">
        <v>168.33406787130895</v>
      </c>
    </row>
    <row r="5047" spans="1:11" x14ac:dyDescent="0.25">
      <c r="A5047" t="s">
        <v>3916</v>
      </c>
      <c r="C5047" s="1">
        <v>41869</v>
      </c>
      <c r="D5047" s="1">
        <v>41870</v>
      </c>
      <c r="E5047">
        <v>223</v>
      </c>
      <c r="F5047" t="s">
        <v>519</v>
      </c>
      <c r="G5047" t="s">
        <v>16</v>
      </c>
      <c r="H5047" t="s">
        <v>3917</v>
      </c>
      <c r="I5047">
        <v>2.2690000000000001</v>
      </c>
      <c r="J5047">
        <v>68.23</v>
      </c>
      <c r="K5047">
        <v>30.07051564565888</v>
      </c>
    </row>
    <row r="5048" spans="1:11" x14ac:dyDescent="0.25">
      <c r="A5048" t="s">
        <v>1094</v>
      </c>
      <c r="B5048" t="s">
        <v>1095</v>
      </c>
      <c r="C5048" s="1">
        <v>41856</v>
      </c>
      <c r="D5048" s="1">
        <v>41866</v>
      </c>
      <c r="E5048">
        <v>2</v>
      </c>
      <c r="F5048" t="s">
        <v>368</v>
      </c>
      <c r="G5048" t="s">
        <v>16</v>
      </c>
      <c r="H5048" t="s">
        <v>3918</v>
      </c>
      <c r="I5048">
        <v>2.2576999999999998</v>
      </c>
      <c r="J5048">
        <v>49811.89</v>
      </c>
      <c r="K5048">
        <v>22063.112902511406</v>
      </c>
    </row>
    <row r="5049" spans="1:11" x14ac:dyDescent="0.25">
      <c r="A5049" t="s">
        <v>1094</v>
      </c>
      <c r="B5049" t="s">
        <v>1095</v>
      </c>
      <c r="C5049" s="1">
        <v>41857</v>
      </c>
      <c r="D5049" s="1">
        <v>41866</v>
      </c>
      <c r="E5049">
        <v>2</v>
      </c>
      <c r="F5049" t="s">
        <v>368</v>
      </c>
      <c r="G5049" t="s">
        <v>16</v>
      </c>
      <c r="H5049" t="s">
        <v>501</v>
      </c>
      <c r="I5049">
        <v>2.2755999999999998</v>
      </c>
      <c r="J5049">
        <v>50643.41</v>
      </c>
      <c r="K5049">
        <v>22254.970117771136</v>
      </c>
    </row>
    <row r="5050" spans="1:11" x14ac:dyDescent="0.25">
      <c r="A5050" t="s">
        <v>532</v>
      </c>
      <c r="B5050" t="s">
        <v>1097</v>
      </c>
      <c r="C5050" s="1">
        <v>41894</v>
      </c>
      <c r="D5050" s="1">
        <v>41912</v>
      </c>
      <c r="E5050">
        <v>7</v>
      </c>
      <c r="F5050" t="s">
        <v>311</v>
      </c>
      <c r="G5050" t="s">
        <v>16</v>
      </c>
      <c r="H5050" t="s">
        <v>7115</v>
      </c>
      <c r="I5050">
        <v>2.2879999999999998</v>
      </c>
      <c r="J5050">
        <v>10985.92</v>
      </c>
      <c r="K5050">
        <v>4801.5384615384619</v>
      </c>
    </row>
    <row r="5051" spans="1:11" x14ac:dyDescent="0.25">
      <c r="A5051" t="s">
        <v>1072</v>
      </c>
      <c r="B5051" t="s">
        <v>1073</v>
      </c>
      <c r="C5051" s="1">
        <v>41906</v>
      </c>
      <c r="D5051" s="1">
        <v>41906</v>
      </c>
      <c r="E5051">
        <v>19972</v>
      </c>
      <c r="F5051" t="s">
        <v>368</v>
      </c>
      <c r="G5051" t="s">
        <v>16</v>
      </c>
      <c r="H5051" t="s">
        <v>7116</v>
      </c>
      <c r="I5051">
        <v>2.4026000000000001</v>
      </c>
      <c r="J5051">
        <v>23271.02</v>
      </c>
      <c r="K5051">
        <v>9685.7654207941396</v>
      </c>
    </row>
    <row r="5052" spans="1:11" x14ac:dyDescent="0.25">
      <c r="A5052" t="s">
        <v>464</v>
      </c>
      <c r="B5052" t="s">
        <v>2115</v>
      </c>
      <c r="C5052" s="1">
        <v>41893</v>
      </c>
      <c r="D5052" s="1">
        <v>41909</v>
      </c>
      <c r="E5052">
        <v>19707</v>
      </c>
      <c r="F5052" t="s">
        <v>278</v>
      </c>
      <c r="G5052" t="s">
        <v>16</v>
      </c>
      <c r="H5052" t="s">
        <v>3919</v>
      </c>
      <c r="I5052">
        <v>2.2967</v>
      </c>
      <c r="J5052">
        <v>153405</v>
      </c>
      <c r="K5052">
        <v>66793.66046936909</v>
      </c>
    </row>
    <row r="5053" spans="1:11" x14ac:dyDescent="0.25">
      <c r="A5053" t="s">
        <v>3920</v>
      </c>
      <c r="B5053" t="s">
        <v>3921</v>
      </c>
      <c r="C5053" s="1">
        <v>41898</v>
      </c>
      <c r="D5053" s="1">
        <v>41906</v>
      </c>
      <c r="E5053">
        <v>20190</v>
      </c>
      <c r="F5053" t="s">
        <v>301</v>
      </c>
      <c r="G5053" t="s">
        <v>16</v>
      </c>
      <c r="H5053" t="s">
        <v>3922</v>
      </c>
      <c r="I5053">
        <v>2.3401000000000001</v>
      </c>
      <c r="J5053">
        <v>69324.990000000005</v>
      </c>
      <c r="K5053">
        <v>29624.798085551898</v>
      </c>
    </row>
    <row r="5054" spans="1:11" x14ac:dyDescent="0.25">
      <c r="A5054" t="s">
        <v>1102</v>
      </c>
      <c r="B5054" t="s">
        <v>1103</v>
      </c>
      <c r="C5054" s="1">
        <v>41906</v>
      </c>
      <c r="D5054" s="1">
        <v>41911</v>
      </c>
      <c r="E5054">
        <v>19980</v>
      </c>
      <c r="F5054" t="s">
        <v>301</v>
      </c>
      <c r="G5054" t="s">
        <v>16</v>
      </c>
      <c r="H5054" t="s">
        <v>7117</v>
      </c>
      <c r="I5054">
        <v>2.4026000000000001</v>
      </c>
      <c r="J5054">
        <v>62370.01</v>
      </c>
      <c r="K5054">
        <v>25959.381503371347</v>
      </c>
    </row>
    <row r="5055" spans="1:11" x14ac:dyDescent="0.25">
      <c r="A5055" t="s">
        <v>1102</v>
      </c>
      <c r="B5055" t="s">
        <v>1103</v>
      </c>
      <c r="C5055" s="1">
        <v>41906</v>
      </c>
      <c r="D5055" s="1">
        <v>41911</v>
      </c>
      <c r="E5055">
        <v>19980</v>
      </c>
      <c r="F5055" t="s">
        <v>301</v>
      </c>
      <c r="G5055" t="s">
        <v>16</v>
      </c>
      <c r="H5055" t="s">
        <v>7118</v>
      </c>
      <c r="I5055">
        <v>2.4026000000000001</v>
      </c>
      <c r="J5055">
        <v>62370.01</v>
      </c>
      <c r="K5055">
        <v>25959.381503371347</v>
      </c>
    </row>
    <row r="5056" spans="1:11" x14ac:dyDescent="0.25">
      <c r="A5056" t="s">
        <v>361</v>
      </c>
      <c r="B5056" t="s">
        <v>2119</v>
      </c>
      <c r="C5056" s="1">
        <v>41906</v>
      </c>
      <c r="D5056" s="1">
        <v>41911</v>
      </c>
      <c r="E5056">
        <v>20126</v>
      </c>
      <c r="F5056" t="s">
        <v>278</v>
      </c>
      <c r="G5056" t="s">
        <v>16</v>
      </c>
      <c r="H5056" t="s">
        <v>3923</v>
      </c>
      <c r="I5056">
        <v>2.4026000000000001</v>
      </c>
      <c r="J5056">
        <v>171962.64</v>
      </c>
      <c r="K5056">
        <v>71573.561974527591</v>
      </c>
    </row>
    <row r="5057" spans="1:11" x14ac:dyDescent="0.25">
      <c r="A5057" t="s">
        <v>361</v>
      </c>
      <c r="B5057" t="s">
        <v>2119</v>
      </c>
      <c r="C5057" s="1">
        <v>41906</v>
      </c>
      <c r="D5057" s="1">
        <v>41911</v>
      </c>
      <c r="E5057">
        <v>20126</v>
      </c>
      <c r="F5057" t="s">
        <v>278</v>
      </c>
      <c r="G5057" t="s">
        <v>16</v>
      </c>
      <c r="H5057" t="s">
        <v>3924</v>
      </c>
      <c r="I5057">
        <v>2.4026000000000001</v>
      </c>
      <c r="J5057">
        <v>147091.20000000001</v>
      </c>
      <c r="K5057">
        <v>61221.676517106469</v>
      </c>
    </row>
    <row r="5058" spans="1:11" x14ac:dyDescent="0.25">
      <c r="A5058" t="s">
        <v>337</v>
      </c>
      <c r="B5058" t="s">
        <v>1105</v>
      </c>
      <c r="C5058" s="1">
        <v>41905</v>
      </c>
      <c r="D5058" s="1">
        <v>41919</v>
      </c>
      <c r="E5058">
        <v>20192</v>
      </c>
      <c r="F5058" t="s">
        <v>311</v>
      </c>
      <c r="G5058" t="s">
        <v>16</v>
      </c>
      <c r="H5058" t="s">
        <v>3925</v>
      </c>
      <c r="I5058">
        <v>2.387</v>
      </c>
      <c r="J5058">
        <v>562951.76</v>
      </c>
      <c r="K5058">
        <v>235840.70381231673</v>
      </c>
    </row>
    <row r="5059" spans="1:11" x14ac:dyDescent="0.25">
      <c r="A5059" t="s">
        <v>3049</v>
      </c>
      <c r="B5059" t="s">
        <v>3050</v>
      </c>
      <c r="C5059" s="1">
        <v>41855</v>
      </c>
      <c r="D5059" s="1">
        <v>41883</v>
      </c>
      <c r="E5059">
        <v>1</v>
      </c>
      <c r="F5059" t="s">
        <v>368</v>
      </c>
      <c r="G5059" t="s">
        <v>16</v>
      </c>
      <c r="H5059" t="s">
        <v>4361</v>
      </c>
      <c r="I5059">
        <v>2.2606999999999999</v>
      </c>
      <c r="J5059">
        <v>46842.19</v>
      </c>
      <c r="K5059">
        <v>20720.214977661784</v>
      </c>
    </row>
    <row r="5060" spans="1:11" x14ac:dyDescent="0.25">
      <c r="A5060" t="s">
        <v>3044</v>
      </c>
      <c r="B5060" t="s">
        <v>3045</v>
      </c>
      <c r="C5060" s="1">
        <v>41876</v>
      </c>
      <c r="D5060" s="1">
        <v>41883</v>
      </c>
      <c r="E5060">
        <v>2</v>
      </c>
      <c r="F5060" t="s">
        <v>368</v>
      </c>
      <c r="G5060" t="s">
        <v>16</v>
      </c>
      <c r="H5060" t="s">
        <v>7119</v>
      </c>
      <c r="I5060">
        <v>2.2778</v>
      </c>
      <c r="J5060">
        <v>16626.66</v>
      </c>
      <c r="K5060">
        <v>7299.4380542628851</v>
      </c>
    </row>
    <row r="5061" spans="1:11" x14ac:dyDescent="0.25">
      <c r="A5061" t="s">
        <v>1140</v>
      </c>
      <c r="B5061" t="s">
        <v>1141</v>
      </c>
      <c r="C5061" s="1">
        <v>41873</v>
      </c>
      <c r="D5061" s="1">
        <v>41883</v>
      </c>
      <c r="E5061">
        <v>3</v>
      </c>
      <c r="F5061" t="s">
        <v>368</v>
      </c>
      <c r="G5061" t="s">
        <v>16</v>
      </c>
      <c r="H5061" t="s">
        <v>7120</v>
      </c>
      <c r="I5061">
        <v>2.2582</v>
      </c>
      <c r="J5061">
        <v>37345.58</v>
      </c>
      <c r="K5061">
        <v>16537.76459126738</v>
      </c>
    </row>
    <row r="5062" spans="1:11" x14ac:dyDescent="0.25">
      <c r="A5062" t="s">
        <v>1072</v>
      </c>
      <c r="B5062" t="s">
        <v>1073</v>
      </c>
      <c r="C5062" s="1">
        <v>41874</v>
      </c>
      <c r="D5062" s="1">
        <v>41883</v>
      </c>
      <c r="E5062">
        <v>19972</v>
      </c>
      <c r="F5062" t="s">
        <v>368</v>
      </c>
      <c r="G5062" t="s">
        <v>16</v>
      </c>
      <c r="H5062" t="s">
        <v>7121</v>
      </c>
      <c r="I5062">
        <v>2.2778</v>
      </c>
      <c r="J5062">
        <v>24420.87</v>
      </c>
      <c r="K5062">
        <v>10721.252963385723</v>
      </c>
    </row>
    <row r="5063" spans="1:11" x14ac:dyDescent="0.25">
      <c r="A5063" t="s">
        <v>539</v>
      </c>
      <c r="B5063" t="s">
        <v>2697</v>
      </c>
      <c r="C5063" s="1">
        <v>41894</v>
      </c>
      <c r="D5063" s="1">
        <v>41912</v>
      </c>
      <c r="E5063">
        <v>9</v>
      </c>
      <c r="F5063" t="s">
        <v>311</v>
      </c>
      <c r="G5063" t="s">
        <v>16</v>
      </c>
      <c r="H5063" t="s">
        <v>3926</v>
      </c>
      <c r="I5063">
        <v>2.2879999999999998</v>
      </c>
      <c r="J5063">
        <v>10985.92</v>
      </c>
      <c r="K5063">
        <v>4801.5384615384619</v>
      </c>
    </row>
    <row r="5064" spans="1:11" x14ac:dyDescent="0.25">
      <c r="A5064" t="s">
        <v>1072</v>
      </c>
      <c r="B5064" t="s">
        <v>1073</v>
      </c>
      <c r="C5064" s="1">
        <v>41897</v>
      </c>
      <c r="D5064" s="1">
        <v>41900</v>
      </c>
      <c r="E5064">
        <v>19972</v>
      </c>
      <c r="F5064" t="s">
        <v>368</v>
      </c>
      <c r="G5064" t="s">
        <v>16</v>
      </c>
      <c r="H5064" t="s">
        <v>3927</v>
      </c>
      <c r="I5064">
        <v>2.3250999999999999</v>
      </c>
      <c r="J5064">
        <v>20422.150000000001</v>
      </c>
      <c r="K5064">
        <v>8783.3426519289496</v>
      </c>
    </row>
    <row r="5065" spans="1:11" x14ac:dyDescent="0.25">
      <c r="A5065" t="s">
        <v>7122</v>
      </c>
      <c r="C5065" s="1">
        <v>41906</v>
      </c>
      <c r="D5065" s="1">
        <v>41906</v>
      </c>
      <c r="E5065">
        <v>255</v>
      </c>
      <c r="F5065" t="s">
        <v>519</v>
      </c>
      <c r="G5065" t="s">
        <v>16</v>
      </c>
      <c r="H5065" t="s">
        <v>5869</v>
      </c>
      <c r="I5065">
        <v>2.4026000000000001</v>
      </c>
      <c r="J5065">
        <v>125.98</v>
      </c>
      <c r="K5065">
        <v>52.434862232581374</v>
      </c>
    </row>
    <row r="5066" spans="1:11" x14ac:dyDescent="0.25">
      <c r="A5066" t="s">
        <v>7123</v>
      </c>
      <c r="C5066" s="1">
        <v>41906</v>
      </c>
      <c r="D5066" s="1">
        <v>41906</v>
      </c>
      <c r="E5066">
        <v>256</v>
      </c>
      <c r="F5066" t="s">
        <v>519</v>
      </c>
      <c r="G5066" t="s">
        <v>16</v>
      </c>
      <c r="H5066" t="s">
        <v>7124</v>
      </c>
      <c r="I5066">
        <v>2.4026000000000001</v>
      </c>
      <c r="J5066">
        <v>361.74</v>
      </c>
      <c r="K5066">
        <v>150.56189128444186</v>
      </c>
    </row>
    <row r="5067" spans="1:11" x14ac:dyDescent="0.25">
      <c r="A5067" t="s">
        <v>536</v>
      </c>
      <c r="B5067" t="s">
        <v>7125</v>
      </c>
      <c r="C5067" s="1">
        <v>41899</v>
      </c>
      <c r="D5067" s="1">
        <v>41942</v>
      </c>
      <c r="E5067">
        <v>5</v>
      </c>
      <c r="F5067" t="s">
        <v>280</v>
      </c>
      <c r="G5067" t="s">
        <v>16</v>
      </c>
      <c r="H5067" t="s">
        <v>504</v>
      </c>
      <c r="I5067">
        <v>2.3351000000000002</v>
      </c>
      <c r="J5067">
        <v>5892.77</v>
      </c>
      <c r="K5067">
        <v>2523.5621600787977</v>
      </c>
    </row>
    <row r="5068" spans="1:11" x14ac:dyDescent="0.25">
      <c r="A5068" t="s">
        <v>532</v>
      </c>
      <c r="B5068" t="s">
        <v>1097</v>
      </c>
      <c r="C5068" s="1">
        <v>41919</v>
      </c>
      <c r="D5068" s="1">
        <v>41942</v>
      </c>
      <c r="E5068">
        <v>7</v>
      </c>
      <c r="F5068" t="s">
        <v>311</v>
      </c>
      <c r="G5068" t="s">
        <v>16</v>
      </c>
      <c r="H5068" t="s">
        <v>3928</v>
      </c>
      <c r="I5068">
        <v>2.4098000000000002</v>
      </c>
      <c r="J5068">
        <v>77094.399999999994</v>
      </c>
      <c r="K5068">
        <v>31992.032533820235</v>
      </c>
    </row>
    <row r="5069" spans="1:11" x14ac:dyDescent="0.25">
      <c r="A5069" t="s">
        <v>612</v>
      </c>
      <c r="B5069" t="s">
        <v>3929</v>
      </c>
      <c r="C5069" s="1">
        <v>41911</v>
      </c>
      <c r="D5069" s="1">
        <v>41927</v>
      </c>
      <c r="E5069">
        <v>7</v>
      </c>
      <c r="F5069" t="s">
        <v>278</v>
      </c>
      <c r="G5069" t="s">
        <v>16</v>
      </c>
      <c r="H5069" t="s">
        <v>3930</v>
      </c>
      <c r="I5069">
        <v>2.431</v>
      </c>
      <c r="J5069">
        <v>59912.6</v>
      </c>
      <c r="K5069">
        <v>24645.248868778279</v>
      </c>
    </row>
    <row r="5070" spans="1:11" x14ac:dyDescent="0.25">
      <c r="A5070" t="s">
        <v>612</v>
      </c>
      <c r="B5070" t="s">
        <v>3929</v>
      </c>
      <c r="C5070" s="1">
        <v>41911</v>
      </c>
      <c r="D5070" s="1">
        <v>41927</v>
      </c>
      <c r="E5070">
        <v>7</v>
      </c>
      <c r="F5070" t="s">
        <v>278</v>
      </c>
      <c r="G5070" t="s">
        <v>16</v>
      </c>
      <c r="H5070" t="s">
        <v>7126</v>
      </c>
      <c r="I5070">
        <v>2.431</v>
      </c>
      <c r="J5070">
        <v>8536</v>
      </c>
      <c r="K5070">
        <v>3511.3122171945702</v>
      </c>
    </row>
    <row r="5071" spans="1:11" x14ac:dyDescent="0.25">
      <c r="A5071" t="s">
        <v>539</v>
      </c>
      <c r="B5071" t="s">
        <v>2697</v>
      </c>
      <c r="C5071" s="1">
        <v>41919</v>
      </c>
      <c r="D5071" s="1">
        <v>41934</v>
      </c>
      <c r="E5071">
        <v>9</v>
      </c>
      <c r="F5071" t="s">
        <v>311</v>
      </c>
      <c r="G5071" t="s">
        <v>16</v>
      </c>
      <c r="H5071" t="s">
        <v>3931</v>
      </c>
      <c r="I5071">
        <v>2.4098000000000002</v>
      </c>
      <c r="J5071">
        <v>44329.279999999999</v>
      </c>
      <c r="K5071">
        <v>18395.418706946635</v>
      </c>
    </row>
    <row r="5072" spans="1:11" x14ac:dyDescent="0.25">
      <c r="A5072" t="s">
        <v>1102</v>
      </c>
      <c r="B5072" t="s">
        <v>1103</v>
      </c>
      <c r="C5072" s="1">
        <v>41929</v>
      </c>
      <c r="D5072" s="1">
        <v>41935</v>
      </c>
      <c r="E5072">
        <v>19980</v>
      </c>
      <c r="F5072" t="s">
        <v>301</v>
      </c>
      <c r="G5072" t="s">
        <v>16</v>
      </c>
      <c r="H5072" t="s">
        <v>7127</v>
      </c>
      <c r="I5072">
        <v>2.4769999999999999</v>
      </c>
      <c r="J5072">
        <v>64305</v>
      </c>
      <c r="K5072">
        <v>25960.839725474365</v>
      </c>
    </row>
    <row r="5073" spans="1:11" x14ac:dyDescent="0.25">
      <c r="A5073" t="s">
        <v>1102</v>
      </c>
      <c r="B5073" t="s">
        <v>1103</v>
      </c>
      <c r="C5073" s="1">
        <v>41929</v>
      </c>
      <c r="D5073" s="1">
        <v>41935</v>
      </c>
      <c r="E5073">
        <v>19980</v>
      </c>
      <c r="F5073" t="s">
        <v>301</v>
      </c>
      <c r="G5073" t="s">
        <v>16</v>
      </c>
      <c r="H5073" t="s">
        <v>7128</v>
      </c>
      <c r="I5073">
        <v>2.4769999999999999</v>
      </c>
      <c r="J5073">
        <v>64305</v>
      </c>
      <c r="K5073">
        <v>25960.839725474365</v>
      </c>
    </row>
    <row r="5074" spans="1:11" x14ac:dyDescent="0.25">
      <c r="A5074" t="s">
        <v>1111</v>
      </c>
      <c r="B5074" t="s">
        <v>458</v>
      </c>
      <c r="C5074" s="1">
        <v>41929</v>
      </c>
      <c r="D5074" s="1">
        <v>41935</v>
      </c>
      <c r="E5074">
        <v>20492</v>
      </c>
      <c r="F5074" t="s">
        <v>301</v>
      </c>
      <c r="G5074" t="s">
        <v>16</v>
      </c>
      <c r="H5074" t="s">
        <v>3932</v>
      </c>
      <c r="I5074">
        <v>2.4769999999999999</v>
      </c>
      <c r="J5074">
        <v>13501.01</v>
      </c>
      <c r="K5074">
        <v>5450.5490512716997</v>
      </c>
    </row>
    <row r="5075" spans="1:11" x14ac:dyDescent="0.25">
      <c r="A5075" t="s">
        <v>1111</v>
      </c>
      <c r="B5075" t="s">
        <v>458</v>
      </c>
      <c r="C5075" s="1">
        <v>41942</v>
      </c>
      <c r="D5075" s="1">
        <v>41947</v>
      </c>
      <c r="E5075">
        <v>20492</v>
      </c>
      <c r="F5075" t="s">
        <v>301</v>
      </c>
      <c r="G5075" t="s">
        <v>16</v>
      </c>
      <c r="H5075" t="s">
        <v>7129</v>
      </c>
      <c r="I5075">
        <v>2.4346000000000001</v>
      </c>
      <c r="J5075">
        <v>32634.01</v>
      </c>
      <c r="K5075">
        <v>13404.259426599852</v>
      </c>
    </row>
    <row r="5076" spans="1:11" x14ac:dyDescent="0.25">
      <c r="A5076" t="s">
        <v>1123</v>
      </c>
      <c r="B5076" t="s">
        <v>1124</v>
      </c>
      <c r="C5076" s="1">
        <v>41962</v>
      </c>
      <c r="D5076" s="1">
        <v>41964</v>
      </c>
      <c r="E5076">
        <v>21159</v>
      </c>
      <c r="F5076" t="s">
        <v>368</v>
      </c>
      <c r="G5076" t="s">
        <v>16</v>
      </c>
      <c r="H5076" t="s">
        <v>3933</v>
      </c>
      <c r="I5076">
        <v>2.5966999999999998</v>
      </c>
      <c r="J5076">
        <v>62343.38</v>
      </c>
      <c r="K5076">
        <v>24008.695652173912</v>
      </c>
    </row>
    <row r="5077" spans="1:11" x14ac:dyDescent="0.25">
      <c r="A5077" t="s">
        <v>1111</v>
      </c>
      <c r="B5077" t="s">
        <v>458</v>
      </c>
      <c r="C5077" s="1">
        <v>41934</v>
      </c>
      <c r="D5077" s="1">
        <v>41941</v>
      </c>
      <c r="E5077">
        <v>20492</v>
      </c>
      <c r="F5077" t="s">
        <v>301</v>
      </c>
      <c r="G5077" t="s">
        <v>16</v>
      </c>
      <c r="H5077" t="s">
        <v>7130</v>
      </c>
      <c r="I5077">
        <v>2.4796999999999998</v>
      </c>
      <c r="J5077">
        <v>133385.20000000001</v>
      </c>
      <c r="K5077">
        <v>53790.861797798119</v>
      </c>
    </row>
    <row r="5078" spans="1:11" x14ac:dyDescent="0.25">
      <c r="A5078" t="s">
        <v>337</v>
      </c>
      <c r="B5078" t="s">
        <v>1105</v>
      </c>
      <c r="C5078" s="1">
        <v>41932</v>
      </c>
      <c r="D5078" s="1">
        <v>41941</v>
      </c>
      <c r="E5078">
        <v>20192</v>
      </c>
      <c r="F5078" t="s">
        <v>311</v>
      </c>
      <c r="G5078" t="s">
        <v>16</v>
      </c>
      <c r="H5078" t="s">
        <v>3934</v>
      </c>
      <c r="I5078">
        <v>2.4477000000000002</v>
      </c>
      <c r="J5078">
        <v>207995</v>
      </c>
      <c r="K5078">
        <v>84975.691465457363</v>
      </c>
    </row>
    <row r="5079" spans="1:11" x14ac:dyDescent="0.25">
      <c r="A5079" t="s">
        <v>7131</v>
      </c>
      <c r="B5079" t="s">
        <v>7132</v>
      </c>
      <c r="C5079" s="1">
        <v>41964</v>
      </c>
      <c r="D5079" s="1">
        <v>41971</v>
      </c>
      <c r="E5079">
        <v>21158</v>
      </c>
      <c r="F5079" t="s">
        <v>370</v>
      </c>
      <c r="G5079" t="s">
        <v>16</v>
      </c>
      <c r="H5079" t="s">
        <v>7133</v>
      </c>
      <c r="I5079">
        <v>2.5449999999999999</v>
      </c>
      <c r="J5079">
        <v>532159.5</v>
      </c>
      <c r="K5079">
        <v>209100</v>
      </c>
    </row>
    <row r="5080" spans="1:11" x14ac:dyDescent="0.25">
      <c r="A5080" t="s">
        <v>624</v>
      </c>
      <c r="B5080" t="s">
        <v>3935</v>
      </c>
      <c r="C5080" s="1">
        <v>41930</v>
      </c>
      <c r="D5080" s="1">
        <v>41943</v>
      </c>
      <c r="E5080">
        <v>155</v>
      </c>
      <c r="F5080" t="s">
        <v>280</v>
      </c>
      <c r="G5080" t="s">
        <v>16</v>
      </c>
      <c r="H5080" t="s">
        <v>3936</v>
      </c>
      <c r="I5080">
        <v>2.4477000000000002</v>
      </c>
      <c r="J5080">
        <v>4500</v>
      </c>
      <c r="K5080">
        <v>1838.4605956612329</v>
      </c>
    </row>
    <row r="5081" spans="1:11" x14ac:dyDescent="0.25">
      <c r="A5081" t="s">
        <v>3937</v>
      </c>
      <c r="B5081" t="s">
        <v>3938</v>
      </c>
      <c r="C5081" s="1">
        <v>41982</v>
      </c>
      <c r="D5081" s="1">
        <v>41988</v>
      </c>
      <c r="E5081">
        <v>21160</v>
      </c>
      <c r="F5081" t="s">
        <v>370</v>
      </c>
      <c r="G5081" t="s">
        <v>16</v>
      </c>
      <c r="H5081" t="s">
        <v>3939</v>
      </c>
      <c r="I5081">
        <v>2.5922999999999998</v>
      </c>
      <c r="J5081">
        <v>14791.15</v>
      </c>
      <c r="K5081">
        <v>5705.8017976314468</v>
      </c>
    </row>
    <row r="5082" spans="1:11" x14ac:dyDescent="0.25">
      <c r="A5082" t="s">
        <v>1102</v>
      </c>
      <c r="B5082" t="s">
        <v>1103</v>
      </c>
      <c r="C5082" s="1">
        <v>41985</v>
      </c>
      <c r="D5082" s="1">
        <v>41991</v>
      </c>
      <c r="E5082">
        <v>19980</v>
      </c>
      <c r="F5082" t="s">
        <v>301</v>
      </c>
      <c r="G5082" t="s">
        <v>16</v>
      </c>
      <c r="H5082" t="s">
        <v>3940</v>
      </c>
      <c r="I5082">
        <v>2.6271</v>
      </c>
      <c r="J5082">
        <v>7565</v>
      </c>
      <c r="K5082">
        <v>2879.6010810399298</v>
      </c>
    </row>
    <row r="5083" spans="1:11" x14ac:dyDescent="0.25">
      <c r="A5083" t="s">
        <v>337</v>
      </c>
      <c r="B5083" t="s">
        <v>1105</v>
      </c>
      <c r="C5083" s="1">
        <v>41997</v>
      </c>
      <c r="D5083" s="1">
        <v>42003</v>
      </c>
      <c r="E5083">
        <v>20192</v>
      </c>
      <c r="F5083" t="s">
        <v>311</v>
      </c>
      <c r="G5083" t="s">
        <v>16</v>
      </c>
      <c r="H5083" t="s">
        <v>3941</v>
      </c>
      <c r="I5083">
        <v>2.6775000000000002</v>
      </c>
      <c r="J5083">
        <v>914940</v>
      </c>
      <c r="K5083">
        <v>341714.28571428574</v>
      </c>
    </row>
    <row r="5084" spans="1:11" x14ac:dyDescent="0.25">
      <c r="A5084" t="s">
        <v>1102</v>
      </c>
      <c r="B5084" t="s">
        <v>1103</v>
      </c>
      <c r="C5084" s="1">
        <v>41970</v>
      </c>
      <c r="D5084" s="1">
        <v>41984</v>
      </c>
      <c r="E5084">
        <v>19980</v>
      </c>
      <c r="F5084" t="s">
        <v>301</v>
      </c>
      <c r="G5084" t="s">
        <v>16</v>
      </c>
      <c r="H5084" t="s">
        <v>7134</v>
      </c>
      <c r="I5084">
        <v>2.5103</v>
      </c>
      <c r="J5084">
        <v>65160.01</v>
      </c>
      <c r="K5084">
        <v>25957.060909054693</v>
      </c>
    </row>
    <row r="5085" spans="1:11" x14ac:dyDescent="0.25">
      <c r="A5085" t="s">
        <v>3942</v>
      </c>
      <c r="B5085" t="s">
        <v>3943</v>
      </c>
      <c r="C5085" s="1">
        <v>42012</v>
      </c>
      <c r="D5085" s="1">
        <v>42017</v>
      </c>
      <c r="E5085">
        <v>22121</v>
      </c>
      <c r="F5085" t="s">
        <v>545</v>
      </c>
      <c r="G5085" t="s">
        <v>16</v>
      </c>
      <c r="H5085" t="s">
        <v>3944</v>
      </c>
      <c r="I5085">
        <v>2.6806999999999999</v>
      </c>
      <c r="J5085">
        <v>460552</v>
      </c>
      <c r="K5085">
        <v>171802.88730555453</v>
      </c>
    </row>
    <row r="5086" spans="1:11" x14ac:dyDescent="0.25">
      <c r="A5086" t="s">
        <v>1102</v>
      </c>
      <c r="B5086" t="s">
        <v>1103</v>
      </c>
      <c r="C5086" s="1">
        <v>41970</v>
      </c>
      <c r="D5086" s="1">
        <v>41982</v>
      </c>
      <c r="E5086">
        <v>19980</v>
      </c>
      <c r="F5086" t="s">
        <v>301</v>
      </c>
      <c r="G5086" t="s">
        <v>16</v>
      </c>
      <c r="H5086" t="s">
        <v>3945</v>
      </c>
      <c r="I5086">
        <v>2.5103</v>
      </c>
      <c r="J5086">
        <v>65160.01</v>
      </c>
      <c r="K5086">
        <v>25957.060909054693</v>
      </c>
    </row>
    <row r="5087" spans="1:11" x14ac:dyDescent="0.25">
      <c r="A5087" t="s">
        <v>1102</v>
      </c>
      <c r="B5087" t="s">
        <v>1103</v>
      </c>
      <c r="C5087" s="1">
        <v>41970</v>
      </c>
      <c r="D5087" s="1">
        <v>41982</v>
      </c>
      <c r="E5087">
        <v>19980</v>
      </c>
      <c r="F5087" t="s">
        <v>301</v>
      </c>
      <c r="G5087" t="s">
        <v>16</v>
      </c>
      <c r="H5087" t="s">
        <v>7135</v>
      </c>
      <c r="I5087">
        <v>2.5103</v>
      </c>
      <c r="J5087">
        <v>21719.99</v>
      </c>
      <c r="K5087">
        <v>8652.3483249014062</v>
      </c>
    </row>
    <row r="5088" spans="1:11" x14ac:dyDescent="0.25">
      <c r="A5088" t="s">
        <v>3946</v>
      </c>
      <c r="C5088" s="1">
        <v>42010</v>
      </c>
      <c r="D5088" s="1">
        <v>42012</v>
      </c>
      <c r="E5088">
        <v>248</v>
      </c>
      <c r="F5088" t="s">
        <v>519</v>
      </c>
      <c r="G5088" t="s">
        <v>16</v>
      </c>
      <c r="H5088" t="s">
        <v>3947</v>
      </c>
      <c r="I5088">
        <v>2.7107000000000001</v>
      </c>
      <c r="J5088">
        <v>187.1</v>
      </c>
      <c r="K5088">
        <v>69.022761648282724</v>
      </c>
    </row>
    <row r="5089" spans="1:11" x14ac:dyDescent="0.25">
      <c r="A5089" t="s">
        <v>1111</v>
      </c>
      <c r="B5089" t="s">
        <v>458</v>
      </c>
      <c r="C5089" s="1">
        <v>41929</v>
      </c>
      <c r="D5089" s="1">
        <v>41935</v>
      </c>
      <c r="E5089">
        <v>20492</v>
      </c>
      <c r="F5089" t="s">
        <v>301</v>
      </c>
      <c r="G5089" t="s">
        <v>16</v>
      </c>
      <c r="H5089" t="s">
        <v>7136</v>
      </c>
      <c r="I5089">
        <v>2.4769999999999999</v>
      </c>
      <c r="J5089">
        <v>201849.49</v>
      </c>
      <c r="K5089">
        <v>81489.499394428742</v>
      </c>
    </row>
    <row r="5090" spans="1:11" x14ac:dyDescent="0.25">
      <c r="A5090" t="s">
        <v>1128</v>
      </c>
      <c r="B5090" t="s">
        <v>1129</v>
      </c>
      <c r="C5090" s="1">
        <v>41965</v>
      </c>
      <c r="D5090" s="1">
        <v>41978</v>
      </c>
      <c r="E5090">
        <v>19900</v>
      </c>
      <c r="F5090" t="s">
        <v>301</v>
      </c>
      <c r="G5090" t="s">
        <v>16</v>
      </c>
      <c r="H5090" t="s">
        <v>7137</v>
      </c>
      <c r="I5090">
        <v>2.5390999999999999</v>
      </c>
      <c r="J5090">
        <v>113744.01</v>
      </c>
      <c r="K5090">
        <v>44796.979244614231</v>
      </c>
    </row>
    <row r="5091" spans="1:11" x14ac:dyDescent="0.25">
      <c r="A5091" t="s">
        <v>1116</v>
      </c>
      <c r="B5091" t="s">
        <v>1117</v>
      </c>
      <c r="C5091" s="1">
        <v>41985</v>
      </c>
      <c r="D5091" s="1">
        <v>41989</v>
      </c>
      <c r="E5091">
        <v>21004</v>
      </c>
      <c r="F5091" t="s">
        <v>368</v>
      </c>
      <c r="G5091" t="s">
        <v>16</v>
      </c>
      <c r="H5091" t="s">
        <v>3686</v>
      </c>
      <c r="I5091">
        <v>2.6271</v>
      </c>
      <c r="J5091">
        <v>33902.660000000003</v>
      </c>
      <c r="K5091">
        <v>12904.975067564996</v>
      </c>
    </row>
    <row r="5092" spans="1:11" x14ac:dyDescent="0.25">
      <c r="A5092" t="s">
        <v>1116</v>
      </c>
      <c r="B5092" t="s">
        <v>1117</v>
      </c>
      <c r="C5092" s="1">
        <v>41985</v>
      </c>
      <c r="D5092" s="1">
        <v>41989</v>
      </c>
      <c r="E5092">
        <v>21004</v>
      </c>
      <c r="F5092" t="s">
        <v>368</v>
      </c>
      <c r="G5092" t="s">
        <v>16</v>
      </c>
      <c r="H5092" t="s">
        <v>7138</v>
      </c>
      <c r="I5092">
        <v>2.6271</v>
      </c>
      <c r="J5092">
        <v>33150.480000000003</v>
      </c>
      <c r="K5092">
        <v>12618.659358227704</v>
      </c>
    </row>
    <row r="5093" spans="1:11" x14ac:dyDescent="0.25">
      <c r="A5093" t="s">
        <v>433</v>
      </c>
      <c r="B5093" t="s">
        <v>2627</v>
      </c>
      <c r="C5093" s="1">
        <v>41969</v>
      </c>
      <c r="D5093" s="1">
        <v>41974</v>
      </c>
      <c r="E5093">
        <v>20447</v>
      </c>
      <c r="F5093" t="s">
        <v>318</v>
      </c>
      <c r="G5093" t="s">
        <v>16</v>
      </c>
      <c r="H5093" t="s">
        <v>3948</v>
      </c>
      <c r="I5093">
        <v>2.5236999999999998</v>
      </c>
      <c r="J5093">
        <v>152726.65</v>
      </c>
      <c r="K5093">
        <v>60516.959226532475</v>
      </c>
    </row>
    <row r="5094" spans="1:11" x14ac:dyDescent="0.25">
      <c r="A5094" t="s">
        <v>1116</v>
      </c>
      <c r="B5094" t="s">
        <v>1117</v>
      </c>
      <c r="C5094" s="1">
        <v>42023</v>
      </c>
      <c r="D5094" s="1">
        <v>42025</v>
      </c>
      <c r="E5094">
        <v>21004</v>
      </c>
      <c r="F5094" t="s">
        <v>368</v>
      </c>
      <c r="G5094" t="s">
        <v>16</v>
      </c>
      <c r="H5094" t="s">
        <v>3949</v>
      </c>
      <c r="I5094">
        <v>2.6193</v>
      </c>
      <c r="J5094">
        <v>33169.5</v>
      </c>
      <c r="K5094">
        <v>12663.497881113275</v>
      </c>
    </row>
    <row r="5095" spans="1:11" x14ac:dyDescent="0.25">
      <c r="A5095" t="s">
        <v>1137</v>
      </c>
      <c r="B5095" t="s">
        <v>1138</v>
      </c>
      <c r="C5095" s="1">
        <v>41982</v>
      </c>
      <c r="D5095" s="1">
        <v>41992</v>
      </c>
      <c r="E5095">
        <v>20065</v>
      </c>
      <c r="F5095" t="s">
        <v>368</v>
      </c>
      <c r="G5095" t="s">
        <v>16</v>
      </c>
      <c r="H5095" t="s">
        <v>3950</v>
      </c>
      <c r="I5095">
        <v>2.5922999999999998</v>
      </c>
      <c r="J5095">
        <v>34294.1</v>
      </c>
      <c r="K5095">
        <v>13229.217297380705</v>
      </c>
    </row>
    <row r="5096" spans="1:11" x14ac:dyDescent="0.25">
      <c r="A5096" t="s">
        <v>1123</v>
      </c>
      <c r="B5096" t="s">
        <v>1124</v>
      </c>
      <c r="C5096" s="1">
        <v>41993</v>
      </c>
      <c r="D5096" s="1">
        <v>42000</v>
      </c>
      <c r="E5096">
        <v>21159</v>
      </c>
      <c r="F5096" t="s">
        <v>368</v>
      </c>
      <c r="G5096" t="s">
        <v>16</v>
      </c>
      <c r="H5096" t="s">
        <v>3951</v>
      </c>
      <c r="I5096">
        <v>2.6486000000000001</v>
      </c>
      <c r="J5096">
        <v>66077.2</v>
      </c>
      <c r="K5096">
        <v>24947.972513780864</v>
      </c>
    </row>
    <row r="5097" spans="1:11" x14ac:dyDescent="0.25">
      <c r="A5097" t="s">
        <v>1072</v>
      </c>
      <c r="B5097" t="s">
        <v>1073</v>
      </c>
      <c r="C5097" s="1">
        <v>41992</v>
      </c>
      <c r="D5097" s="1">
        <v>42016</v>
      </c>
      <c r="E5097">
        <v>19972</v>
      </c>
      <c r="F5097" t="s">
        <v>368</v>
      </c>
      <c r="G5097" t="s">
        <v>16</v>
      </c>
      <c r="H5097" t="s">
        <v>7139</v>
      </c>
      <c r="I5097">
        <v>2.6676000000000002</v>
      </c>
      <c r="J5097">
        <v>2509.34</v>
      </c>
      <c r="K5097">
        <v>940.67326435747486</v>
      </c>
    </row>
    <row r="5098" spans="1:11" x14ac:dyDescent="0.25">
      <c r="A5098" t="s">
        <v>1072</v>
      </c>
      <c r="B5098" t="s">
        <v>1073</v>
      </c>
      <c r="C5098" s="1">
        <v>41992</v>
      </c>
      <c r="D5098" s="1">
        <v>42016</v>
      </c>
      <c r="E5098">
        <v>19972</v>
      </c>
      <c r="F5098" t="s">
        <v>368</v>
      </c>
      <c r="G5098" t="s">
        <v>16</v>
      </c>
      <c r="H5098" t="s">
        <v>7140</v>
      </c>
      <c r="I5098">
        <v>2.6676000000000002</v>
      </c>
      <c r="J5098">
        <v>12898.29</v>
      </c>
      <c r="K5098">
        <v>4835.1664417453894</v>
      </c>
    </row>
    <row r="5099" spans="1:11" x14ac:dyDescent="0.25">
      <c r="A5099" t="s">
        <v>1072</v>
      </c>
      <c r="B5099" t="s">
        <v>1073</v>
      </c>
      <c r="C5099" s="1">
        <v>41992</v>
      </c>
      <c r="D5099" s="1">
        <v>42016</v>
      </c>
      <c r="E5099">
        <v>19972</v>
      </c>
      <c r="F5099" t="s">
        <v>368</v>
      </c>
      <c r="G5099" t="s">
        <v>16</v>
      </c>
      <c r="H5099" t="s">
        <v>7141</v>
      </c>
      <c r="I5099">
        <v>2.6676000000000002</v>
      </c>
      <c r="J5099">
        <v>29776.32</v>
      </c>
      <c r="K5099">
        <v>11162.213225371121</v>
      </c>
    </row>
    <row r="5100" spans="1:11" x14ac:dyDescent="0.25">
      <c r="A5100" t="s">
        <v>1102</v>
      </c>
      <c r="B5100" t="s">
        <v>1103</v>
      </c>
      <c r="C5100" s="1">
        <v>41985</v>
      </c>
      <c r="D5100" s="1">
        <v>41990</v>
      </c>
      <c r="E5100">
        <v>19980</v>
      </c>
      <c r="F5100" t="s">
        <v>301</v>
      </c>
      <c r="G5100" t="s">
        <v>16</v>
      </c>
      <c r="H5100" t="s">
        <v>3952</v>
      </c>
      <c r="I5100">
        <v>2.6271</v>
      </c>
      <c r="J5100">
        <v>68085</v>
      </c>
      <c r="K5100">
        <v>25916.40972935937</v>
      </c>
    </row>
    <row r="5101" spans="1:11" x14ac:dyDescent="0.25">
      <c r="A5101" t="s">
        <v>1145</v>
      </c>
      <c r="B5101" t="s">
        <v>1146</v>
      </c>
      <c r="C5101" s="1">
        <v>42040</v>
      </c>
      <c r="D5101" s="1">
        <v>42041</v>
      </c>
      <c r="E5101">
        <v>21007</v>
      </c>
      <c r="F5101" t="s">
        <v>368</v>
      </c>
      <c r="G5101" t="s">
        <v>16</v>
      </c>
      <c r="H5101" t="s">
        <v>7142</v>
      </c>
      <c r="I5101">
        <v>2.7147999999999999</v>
      </c>
      <c r="J5101">
        <v>34480.660000000003</v>
      </c>
      <c r="K5101">
        <v>12700.994548401355</v>
      </c>
    </row>
    <row r="5102" spans="1:11" x14ac:dyDescent="0.25">
      <c r="A5102" t="s">
        <v>1145</v>
      </c>
      <c r="B5102" t="s">
        <v>1146</v>
      </c>
      <c r="C5102" s="1">
        <v>42039</v>
      </c>
      <c r="D5102" s="1">
        <v>42041</v>
      </c>
      <c r="E5102">
        <v>21007</v>
      </c>
      <c r="F5102" t="s">
        <v>368</v>
      </c>
      <c r="G5102" t="s">
        <v>16</v>
      </c>
      <c r="H5102" t="s">
        <v>3953</v>
      </c>
      <c r="I5102">
        <v>2.7059000000000002</v>
      </c>
      <c r="J5102">
        <v>34560.79</v>
      </c>
      <c r="K5102">
        <v>12772.382571418013</v>
      </c>
    </row>
    <row r="5103" spans="1:11" x14ac:dyDescent="0.25">
      <c r="A5103" t="s">
        <v>1145</v>
      </c>
      <c r="B5103" t="s">
        <v>1146</v>
      </c>
      <c r="C5103" s="1">
        <v>42042</v>
      </c>
      <c r="D5103" s="1">
        <v>42044</v>
      </c>
      <c r="E5103">
        <v>21007</v>
      </c>
      <c r="F5103" t="s">
        <v>368</v>
      </c>
      <c r="G5103" t="s">
        <v>16</v>
      </c>
      <c r="H5103" t="s">
        <v>3954</v>
      </c>
      <c r="I5103">
        <v>2.7641</v>
      </c>
      <c r="J5103">
        <v>42812.37</v>
      </c>
      <c r="K5103">
        <v>15488.719655584096</v>
      </c>
    </row>
    <row r="5104" spans="1:11" x14ac:dyDescent="0.25">
      <c r="A5104" t="s">
        <v>1145</v>
      </c>
      <c r="B5104" t="s">
        <v>1146</v>
      </c>
      <c r="C5104" s="1">
        <v>42042</v>
      </c>
      <c r="D5104" s="1">
        <v>42044</v>
      </c>
      <c r="E5104">
        <v>21007</v>
      </c>
      <c r="F5104" t="s">
        <v>368</v>
      </c>
      <c r="G5104" t="s">
        <v>16</v>
      </c>
      <c r="H5104" t="s">
        <v>3955</v>
      </c>
      <c r="I5104">
        <v>2.7641</v>
      </c>
      <c r="J5104">
        <v>33866.5</v>
      </c>
      <c r="K5104">
        <v>12252.270178358236</v>
      </c>
    </row>
    <row r="5105" spans="1:11" x14ac:dyDescent="0.25">
      <c r="A5105" t="s">
        <v>7143</v>
      </c>
      <c r="C5105" s="1">
        <v>41974</v>
      </c>
      <c r="D5105" s="1">
        <v>42047</v>
      </c>
      <c r="E5105">
        <v>226</v>
      </c>
      <c r="F5105" t="s">
        <v>519</v>
      </c>
      <c r="G5105" t="s">
        <v>16</v>
      </c>
      <c r="H5105" t="s">
        <v>7144</v>
      </c>
      <c r="I5105">
        <v>2.5600999999999998</v>
      </c>
      <c r="J5105">
        <v>838.74</v>
      </c>
      <c r="K5105">
        <v>327.62001484317017</v>
      </c>
    </row>
    <row r="5106" spans="1:11" x14ac:dyDescent="0.25">
      <c r="A5106" t="s">
        <v>7145</v>
      </c>
      <c r="C5106" s="1">
        <v>41974</v>
      </c>
      <c r="D5106" s="1">
        <v>42047</v>
      </c>
      <c r="E5106">
        <v>738</v>
      </c>
      <c r="F5106" t="s">
        <v>519</v>
      </c>
      <c r="G5106" t="s">
        <v>16</v>
      </c>
      <c r="H5106" t="s">
        <v>7146</v>
      </c>
      <c r="I5106">
        <v>2.5600999999999998</v>
      </c>
      <c r="J5106">
        <v>295.58999999999997</v>
      </c>
      <c r="K5106">
        <v>115.46033358071951</v>
      </c>
    </row>
    <row r="5107" spans="1:11" x14ac:dyDescent="0.25">
      <c r="A5107" t="s">
        <v>1145</v>
      </c>
      <c r="B5107" t="s">
        <v>1146</v>
      </c>
      <c r="C5107" s="1">
        <v>42045</v>
      </c>
      <c r="D5107" s="1">
        <v>42047</v>
      </c>
      <c r="E5107">
        <v>21007</v>
      </c>
      <c r="F5107" t="s">
        <v>368</v>
      </c>
      <c r="G5107" t="s">
        <v>16</v>
      </c>
      <c r="H5107" t="s">
        <v>3956</v>
      </c>
      <c r="I5107">
        <v>2.7873000000000001</v>
      </c>
      <c r="J5107">
        <v>35050.980000000003</v>
      </c>
      <c r="K5107">
        <v>12575.244860617802</v>
      </c>
    </row>
    <row r="5108" spans="1:11" x14ac:dyDescent="0.25">
      <c r="A5108" t="s">
        <v>3957</v>
      </c>
      <c r="C5108" s="1">
        <v>41672</v>
      </c>
      <c r="D5108" s="1">
        <v>42043</v>
      </c>
      <c r="E5108">
        <v>780</v>
      </c>
      <c r="F5108" t="s">
        <v>291</v>
      </c>
      <c r="G5108" t="s">
        <v>16</v>
      </c>
      <c r="H5108" t="s">
        <v>3958</v>
      </c>
      <c r="I5108">
        <v>2.4262999999999999</v>
      </c>
      <c r="J5108">
        <v>35</v>
      </c>
      <c r="K5108">
        <v>14.425256563491736</v>
      </c>
    </row>
    <row r="5109" spans="1:11" x14ac:dyDescent="0.25">
      <c r="A5109" t="s">
        <v>423</v>
      </c>
      <c r="B5109" t="s">
        <v>1160</v>
      </c>
      <c r="C5109" s="1">
        <v>42056</v>
      </c>
      <c r="D5109" s="1">
        <v>42058</v>
      </c>
      <c r="E5109">
        <v>22776</v>
      </c>
      <c r="F5109" t="s">
        <v>368</v>
      </c>
      <c r="G5109" t="s">
        <v>16</v>
      </c>
      <c r="H5109" t="s">
        <v>7147</v>
      </c>
      <c r="I5109">
        <v>2.8700999999999999</v>
      </c>
      <c r="J5109">
        <v>48827.06</v>
      </c>
      <c r="K5109">
        <v>17012.320128218529</v>
      </c>
    </row>
    <row r="5110" spans="1:11" x14ac:dyDescent="0.25">
      <c r="A5110" t="s">
        <v>445</v>
      </c>
      <c r="B5110" t="s">
        <v>1685</v>
      </c>
      <c r="C5110" s="1">
        <v>42054</v>
      </c>
      <c r="D5110" s="1">
        <v>42059</v>
      </c>
      <c r="E5110">
        <v>22321</v>
      </c>
      <c r="F5110" t="s">
        <v>309</v>
      </c>
      <c r="G5110" t="s">
        <v>16</v>
      </c>
      <c r="H5110" t="s">
        <v>7148</v>
      </c>
      <c r="I5110">
        <v>2.843</v>
      </c>
      <c r="J5110">
        <v>26682.93</v>
      </c>
      <c r="K5110">
        <v>9385.4836440379877</v>
      </c>
    </row>
    <row r="5111" spans="1:11" x14ac:dyDescent="0.25">
      <c r="A5111" t="s">
        <v>365</v>
      </c>
      <c r="B5111" t="s">
        <v>3959</v>
      </c>
      <c r="C5111" s="1">
        <v>42054</v>
      </c>
      <c r="D5111" s="1">
        <v>42061</v>
      </c>
      <c r="E5111">
        <v>23068</v>
      </c>
      <c r="F5111" t="s">
        <v>364</v>
      </c>
      <c r="G5111" t="s">
        <v>16</v>
      </c>
      <c r="H5111" t="s">
        <v>3960</v>
      </c>
      <c r="I5111">
        <v>2.843</v>
      </c>
      <c r="J5111">
        <v>323078.52</v>
      </c>
      <c r="K5111">
        <v>113640</v>
      </c>
    </row>
    <row r="5112" spans="1:11" x14ac:dyDescent="0.25">
      <c r="A5112" t="s">
        <v>1145</v>
      </c>
      <c r="B5112" t="s">
        <v>1146</v>
      </c>
      <c r="C5112" s="1">
        <v>42038</v>
      </c>
      <c r="D5112" s="1">
        <v>42039</v>
      </c>
      <c r="E5112">
        <v>21007</v>
      </c>
      <c r="F5112" t="s">
        <v>368</v>
      </c>
      <c r="G5112" t="s">
        <v>16</v>
      </c>
      <c r="H5112" t="s">
        <v>7149</v>
      </c>
      <c r="I5112">
        <v>2.6894</v>
      </c>
      <c r="J5112">
        <v>44617.55</v>
      </c>
      <c r="K5112">
        <v>16590.150219379786</v>
      </c>
    </row>
    <row r="5113" spans="1:11" x14ac:dyDescent="0.25">
      <c r="A5113" t="s">
        <v>3961</v>
      </c>
      <c r="C5113" s="1">
        <v>42026</v>
      </c>
      <c r="D5113" s="1">
        <v>42028</v>
      </c>
      <c r="E5113">
        <v>22319</v>
      </c>
      <c r="F5113" t="s">
        <v>291</v>
      </c>
      <c r="G5113" t="s">
        <v>16</v>
      </c>
      <c r="H5113" t="s">
        <v>3962</v>
      </c>
      <c r="I5113">
        <v>2.5968</v>
      </c>
      <c r="J5113">
        <v>35</v>
      </c>
      <c r="K5113">
        <v>13.478126925446704</v>
      </c>
    </row>
    <row r="5114" spans="1:11" x14ac:dyDescent="0.25">
      <c r="A5114" t="s">
        <v>1116</v>
      </c>
      <c r="B5114" t="s">
        <v>1117</v>
      </c>
      <c r="C5114" s="1">
        <v>42028</v>
      </c>
      <c r="D5114" s="1">
        <v>42030</v>
      </c>
      <c r="E5114">
        <v>21004</v>
      </c>
      <c r="F5114" t="s">
        <v>368</v>
      </c>
      <c r="G5114" t="s">
        <v>16</v>
      </c>
      <c r="H5114" t="s">
        <v>3963</v>
      </c>
      <c r="I5114">
        <v>2.5855999999999999</v>
      </c>
      <c r="J5114">
        <v>33286.769999999997</v>
      </c>
      <c r="K5114">
        <v>12873.905476485148</v>
      </c>
    </row>
    <row r="5115" spans="1:11" x14ac:dyDescent="0.25">
      <c r="A5115" t="s">
        <v>423</v>
      </c>
      <c r="B5115" t="s">
        <v>1160</v>
      </c>
      <c r="C5115" s="1">
        <v>42048</v>
      </c>
      <c r="D5115" s="1">
        <v>42051</v>
      </c>
      <c r="E5115">
        <v>22776</v>
      </c>
      <c r="F5115" t="s">
        <v>368</v>
      </c>
      <c r="G5115" t="s">
        <v>16</v>
      </c>
      <c r="H5115" t="s">
        <v>3964</v>
      </c>
      <c r="I5115">
        <v>2.8624999999999998</v>
      </c>
      <c r="J5115">
        <v>49486.04</v>
      </c>
      <c r="K5115">
        <v>17287.699563318776</v>
      </c>
    </row>
    <row r="5116" spans="1:11" x14ac:dyDescent="0.25">
      <c r="A5116" t="s">
        <v>369</v>
      </c>
      <c r="B5116" t="s">
        <v>1153</v>
      </c>
      <c r="C5116" s="1">
        <v>42052</v>
      </c>
      <c r="D5116" s="1">
        <v>42053</v>
      </c>
      <c r="E5116">
        <v>22709</v>
      </c>
      <c r="F5116" t="s">
        <v>368</v>
      </c>
      <c r="G5116" t="s">
        <v>16</v>
      </c>
      <c r="H5116" t="s">
        <v>3965</v>
      </c>
      <c r="I5116">
        <v>2.8391999999999999</v>
      </c>
      <c r="J5116">
        <v>49015.31</v>
      </c>
      <c r="K5116">
        <v>17263.775007044238</v>
      </c>
    </row>
    <row r="5117" spans="1:11" x14ac:dyDescent="0.25">
      <c r="A5117" t="s">
        <v>369</v>
      </c>
      <c r="B5117" t="s">
        <v>1153</v>
      </c>
      <c r="C5117" s="1">
        <v>42051</v>
      </c>
      <c r="D5117" s="1">
        <v>42054</v>
      </c>
      <c r="E5117">
        <v>22709</v>
      </c>
      <c r="F5117" t="s">
        <v>368</v>
      </c>
      <c r="G5117" t="s">
        <v>16</v>
      </c>
      <c r="H5117" t="s">
        <v>3966</v>
      </c>
      <c r="I5117">
        <v>2.8391999999999999</v>
      </c>
      <c r="J5117">
        <v>66825.429999999993</v>
      </c>
      <c r="K5117">
        <v>23536.711045364893</v>
      </c>
    </row>
    <row r="5118" spans="1:11" x14ac:dyDescent="0.25">
      <c r="A5118" t="s">
        <v>4753</v>
      </c>
      <c r="C5118" s="1">
        <v>42032</v>
      </c>
      <c r="D5118" s="1">
        <v>42041</v>
      </c>
      <c r="E5118">
        <v>22441</v>
      </c>
      <c r="F5118" t="s">
        <v>289</v>
      </c>
      <c r="G5118" t="s">
        <v>16</v>
      </c>
      <c r="H5118" t="s">
        <v>7150</v>
      </c>
      <c r="I5118">
        <v>2.5809000000000002</v>
      </c>
      <c r="J5118">
        <v>32.76</v>
      </c>
      <c r="K5118">
        <v>12.693246541903987</v>
      </c>
    </row>
    <row r="5119" spans="1:11" x14ac:dyDescent="0.25">
      <c r="A5119" t="s">
        <v>1145</v>
      </c>
      <c r="B5119" t="s">
        <v>1146</v>
      </c>
      <c r="C5119" s="1">
        <v>42043</v>
      </c>
      <c r="D5119" s="1">
        <v>42046</v>
      </c>
      <c r="E5119">
        <v>21007</v>
      </c>
      <c r="F5119" t="s">
        <v>368</v>
      </c>
      <c r="G5119" t="s">
        <v>16</v>
      </c>
      <c r="H5119" t="s">
        <v>3967</v>
      </c>
      <c r="I5119">
        <v>2.7641</v>
      </c>
      <c r="J5119">
        <v>46195.26</v>
      </c>
      <c r="K5119">
        <v>16712.586375312036</v>
      </c>
    </row>
    <row r="5120" spans="1:11" x14ac:dyDescent="0.25">
      <c r="A5120" t="s">
        <v>1145</v>
      </c>
      <c r="B5120" t="s">
        <v>1146</v>
      </c>
      <c r="C5120" s="1">
        <v>42043</v>
      </c>
      <c r="D5120" s="1">
        <v>42045</v>
      </c>
      <c r="E5120">
        <v>21007</v>
      </c>
      <c r="F5120" t="s">
        <v>368</v>
      </c>
      <c r="G5120" t="s">
        <v>16</v>
      </c>
      <c r="H5120" t="s">
        <v>7151</v>
      </c>
      <c r="I5120">
        <v>2.7641</v>
      </c>
      <c r="J5120">
        <v>46439.58</v>
      </c>
      <c r="K5120">
        <v>16800.976809811513</v>
      </c>
    </row>
    <row r="5121" spans="1:11" x14ac:dyDescent="0.25">
      <c r="A5121" t="s">
        <v>1145</v>
      </c>
      <c r="B5121" t="s">
        <v>1146</v>
      </c>
      <c r="C5121" s="1">
        <v>42047</v>
      </c>
      <c r="D5121" s="1">
        <v>42049</v>
      </c>
      <c r="E5121">
        <v>21007</v>
      </c>
      <c r="F5121" t="s">
        <v>368</v>
      </c>
      <c r="G5121" t="s">
        <v>16</v>
      </c>
      <c r="H5121" t="s">
        <v>7152</v>
      </c>
      <c r="I5121">
        <v>2.8624999999999998</v>
      </c>
      <c r="J5121">
        <v>49040.41</v>
      </c>
      <c r="K5121">
        <v>17132.02096069869</v>
      </c>
    </row>
    <row r="5122" spans="1:11" x14ac:dyDescent="0.25">
      <c r="A5122" t="s">
        <v>342</v>
      </c>
      <c r="B5122" t="s">
        <v>1169</v>
      </c>
      <c r="C5122" s="1">
        <v>42090</v>
      </c>
      <c r="D5122" s="1">
        <v>42095</v>
      </c>
      <c r="E5122">
        <v>2</v>
      </c>
      <c r="F5122" t="s">
        <v>301</v>
      </c>
      <c r="G5122" t="s">
        <v>16</v>
      </c>
      <c r="H5122" t="s">
        <v>3968</v>
      </c>
      <c r="I5122">
        <v>3.1915</v>
      </c>
      <c r="J5122">
        <v>79830.009999999995</v>
      </c>
      <c r="K5122">
        <v>25013.319755600816</v>
      </c>
    </row>
    <row r="5123" spans="1:11" x14ac:dyDescent="0.25">
      <c r="A5123" t="s">
        <v>342</v>
      </c>
      <c r="B5123" t="s">
        <v>1169</v>
      </c>
      <c r="C5123" s="1">
        <v>41725</v>
      </c>
      <c r="D5123" s="1">
        <v>42095</v>
      </c>
      <c r="E5123">
        <v>2</v>
      </c>
      <c r="F5123" t="s">
        <v>301</v>
      </c>
      <c r="G5123" t="s">
        <v>16</v>
      </c>
      <c r="H5123" t="s">
        <v>3969</v>
      </c>
      <c r="I5123">
        <v>2.3119000000000001</v>
      </c>
      <c r="J5123">
        <v>79830.009999999995</v>
      </c>
      <c r="K5123">
        <v>34530.044552100007</v>
      </c>
    </row>
    <row r="5124" spans="1:11" x14ac:dyDescent="0.25">
      <c r="A5124" t="s">
        <v>342</v>
      </c>
      <c r="B5124" t="s">
        <v>1169</v>
      </c>
      <c r="C5124" s="1">
        <v>42090</v>
      </c>
      <c r="D5124" s="1">
        <v>42095</v>
      </c>
      <c r="E5124">
        <v>2</v>
      </c>
      <c r="F5124" t="s">
        <v>301</v>
      </c>
      <c r="G5124" t="s">
        <v>16</v>
      </c>
      <c r="H5124" t="s">
        <v>3970</v>
      </c>
      <c r="I5124">
        <v>3.1915</v>
      </c>
      <c r="J5124">
        <v>79830.009999999995</v>
      </c>
      <c r="K5124">
        <v>25013.319755600816</v>
      </c>
    </row>
    <row r="5125" spans="1:11" x14ac:dyDescent="0.25">
      <c r="A5125" t="s">
        <v>342</v>
      </c>
      <c r="B5125" t="s">
        <v>1169</v>
      </c>
      <c r="C5125" s="1">
        <v>42090</v>
      </c>
      <c r="D5125" s="1">
        <v>42095</v>
      </c>
      <c r="E5125">
        <v>2</v>
      </c>
      <c r="F5125" t="s">
        <v>301</v>
      </c>
      <c r="G5125" t="s">
        <v>16</v>
      </c>
      <c r="H5125" t="s">
        <v>7153</v>
      </c>
      <c r="I5125">
        <v>3.1915</v>
      </c>
      <c r="J5125">
        <v>79830.009999999995</v>
      </c>
      <c r="K5125">
        <v>25013.319755600816</v>
      </c>
    </row>
    <row r="5126" spans="1:11" x14ac:dyDescent="0.25">
      <c r="A5126" t="s">
        <v>1145</v>
      </c>
      <c r="B5126" t="s">
        <v>1146</v>
      </c>
      <c r="C5126" s="1">
        <v>42070</v>
      </c>
      <c r="D5126" s="1">
        <v>42073</v>
      </c>
      <c r="E5126">
        <v>21007</v>
      </c>
      <c r="F5126" t="s">
        <v>368</v>
      </c>
      <c r="G5126" t="s">
        <v>16</v>
      </c>
      <c r="H5126" t="s">
        <v>3971</v>
      </c>
      <c r="I5126">
        <v>3.0366</v>
      </c>
      <c r="J5126">
        <v>18840.240000000002</v>
      </c>
      <c r="K5126">
        <v>6204.3864848844105</v>
      </c>
    </row>
    <row r="5127" spans="1:11" x14ac:dyDescent="0.25">
      <c r="A5127" t="s">
        <v>1175</v>
      </c>
      <c r="B5127" t="s">
        <v>1176</v>
      </c>
      <c r="C5127" s="1">
        <v>42082</v>
      </c>
      <c r="D5127" s="1">
        <v>42087</v>
      </c>
      <c r="E5127">
        <v>20066</v>
      </c>
      <c r="F5127" t="s">
        <v>368</v>
      </c>
      <c r="G5127" t="s">
        <v>16</v>
      </c>
      <c r="H5127" t="s">
        <v>7154</v>
      </c>
      <c r="I5127">
        <v>3.2517999999999998</v>
      </c>
      <c r="J5127">
        <v>54169.99</v>
      </c>
      <c r="K5127">
        <v>16658.463005104866</v>
      </c>
    </row>
    <row r="5128" spans="1:11" x14ac:dyDescent="0.25">
      <c r="A5128" t="s">
        <v>1175</v>
      </c>
      <c r="B5128" t="s">
        <v>1176</v>
      </c>
      <c r="C5128" s="1">
        <v>42082</v>
      </c>
      <c r="D5128" s="1">
        <v>42087</v>
      </c>
      <c r="E5128">
        <v>20066</v>
      </c>
      <c r="F5128" t="s">
        <v>368</v>
      </c>
      <c r="G5128" t="s">
        <v>16</v>
      </c>
      <c r="H5128" t="s">
        <v>1874</v>
      </c>
      <c r="I5128">
        <v>3.2517999999999998</v>
      </c>
      <c r="J5128">
        <v>34270.81</v>
      </c>
      <c r="K5128">
        <v>10539.027615474506</v>
      </c>
    </row>
    <row r="5129" spans="1:11" x14ac:dyDescent="0.25">
      <c r="A5129" t="s">
        <v>423</v>
      </c>
      <c r="B5129" t="s">
        <v>1160</v>
      </c>
      <c r="C5129" s="1">
        <v>42059</v>
      </c>
      <c r="D5129" s="1">
        <v>42065</v>
      </c>
      <c r="E5129">
        <v>22776</v>
      </c>
      <c r="F5129" t="s">
        <v>368</v>
      </c>
      <c r="G5129" t="s">
        <v>16</v>
      </c>
      <c r="H5129" t="s">
        <v>3972</v>
      </c>
      <c r="I5129">
        <v>2.8811</v>
      </c>
      <c r="J5129">
        <v>48073.9</v>
      </c>
      <c r="K5129">
        <v>16685.953281732673</v>
      </c>
    </row>
    <row r="5130" spans="1:11" x14ac:dyDescent="0.25">
      <c r="A5130" t="s">
        <v>445</v>
      </c>
      <c r="B5130" t="s">
        <v>1685</v>
      </c>
      <c r="C5130" s="1">
        <v>42065</v>
      </c>
      <c r="D5130" s="1">
        <v>42076</v>
      </c>
      <c r="E5130">
        <v>22321</v>
      </c>
      <c r="F5130" t="s">
        <v>309</v>
      </c>
      <c r="G5130" t="s">
        <v>16</v>
      </c>
      <c r="H5130" t="s">
        <v>3973</v>
      </c>
      <c r="I5130">
        <v>2.8782000000000001</v>
      </c>
      <c r="J5130">
        <v>27142.61</v>
      </c>
      <c r="K5130">
        <v>9430.411368216246</v>
      </c>
    </row>
    <row r="5131" spans="1:11" x14ac:dyDescent="0.25">
      <c r="A5131" t="s">
        <v>445</v>
      </c>
      <c r="B5131" t="s">
        <v>1685</v>
      </c>
      <c r="C5131" s="1">
        <v>42055</v>
      </c>
      <c r="D5131" s="1">
        <v>42076</v>
      </c>
      <c r="E5131">
        <v>22321</v>
      </c>
      <c r="F5131" t="s">
        <v>309</v>
      </c>
      <c r="G5131" t="s">
        <v>16</v>
      </c>
      <c r="H5131" t="s">
        <v>3974</v>
      </c>
      <c r="I5131">
        <v>2.8544999999999998</v>
      </c>
      <c r="J5131">
        <v>27799.279999999999</v>
      </c>
      <c r="K5131">
        <v>9738.7563496234015</v>
      </c>
    </row>
    <row r="5132" spans="1:11" x14ac:dyDescent="0.25">
      <c r="A5132" t="s">
        <v>492</v>
      </c>
      <c r="B5132" t="s">
        <v>1172</v>
      </c>
      <c r="C5132" s="1">
        <v>42072</v>
      </c>
      <c r="D5132" s="1">
        <v>42072</v>
      </c>
      <c r="E5132">
        <v>22290</v>
      </c>
      <c r="F5132" t="s">
        <v>309</v>
      </c>
      <c r="G5132" t="s">
        <v>16</v>
      </c>
      <c r="H5132" t="s">
        <v>3975</v>
      </c>
      <c r="I5132">
        <v>3.0366</v>
      </c>
      <c r="J5132">
        <v>34735.72</v>
      </c>
      <c r="K5132">
        <v>11439.017322004875</v>
      </c>
    </row>
    <row r="5133" spans="1:11" x14ac:dyDescent="0.25">
      <c r="A5133" t="s">
        <v>552</v>
      </c>
      <c r="B5133" t="s">
        <v>3976</v>
      </c>
      <c r="C5133" s="1">
        <v>42090</v>
      </c>
      <c r="D5133" s="1">
        <v>42107</v>
      </c>
      <c r="E5133">
        <v>2</v>
      </c>
      <c r="F5133" t="s">
        <v>301</v>
      </c>
      <c r="G5133" t="s">
        <v>16</v>
      </c>
      <c r="H5133" t="s">
        <v>3977</v>
      </c>
      <c r="I5133">
        <v>3.1915</v>
      </c>
      <c r="J5133">
        <v>80010.009999999995</v>
      </c>
      <c r="K5133">
        <v>25069.719567601442</v>
      </c>
    </row>
    <row r="5134" spans="1:11" x14ac:dyDescent="0.25">
      <c r="A5134" t="s">
        <v>568</v>
      </c>
      <c r="B5134" t="s">
        <v>3532</v>
      </c>
      <c r="C5134" s="1">
        <v>42090</v>
      </c>
      <c r="D5134" s="1">
        <v>42107</v>
      </c>
      <c r="E5134">
        <v>2</v>
      </c>
      <c r="F5134" t="s">
        <v>301</v>
      </c>
      <c r="G5134" t="s">
        <v>16</v>
      </c>
      <c r="H5134" t="s">
        <v>3978</v>
      </c>
      <c r="I5134">
        <v>3.1915</v>
      </c>
      <c r="J5134">
        <v>17840.009999999998</v>
      </c>
      <c r="K5134">
        <v>5589.8511671627757</v>
      </c>
    </row>
    <row r="5135" spans="1:11" x14ac:dyDescent="0.25">
      <c r="A5135" t="s">
        <v>310</v>
      </c>
      <c r="B5135" t="s">
        <v>6747</v>
      </c>
      <c r="C5135" s="1">
        <v>42102</v>
      </c>
      <c r="D5135" s="1">
        <v>42108</v>
      </c>
      <c r="E5135">
        <v>23617</v>
      </c>
      <c r="F5135" t="s">
        <v>309</v>
      </c>
      <c r="G5135" t="s">
        <v>16</v>
      </c>
      <c r="H5135" t="s">
        <v>7155</v>
      </c>
      <c r="I5135">
        <v>3.1231</v>
      </c>
      <c r="J5135">
        <v>91570.6</v>
      </c>
      <c r="K5135">
        <v>29320.418814639299</v>
      </c>
    </row>
    <row r="5136" spans="1:11" x14ac:dyDescent="0.25">
      <c r="A5136" t="s">
        <v>454</v>
      </c>
      <c r="B5136" t="s">
        <v>1183</v>
      </c>
      <c r="C5136" s="1">
        <v>42175</v>
      </c>
      <c r="D5136" s="1">
        <v>42179</v>
      </c>
      <c r="E5136">
        <v>3</v>
      </c>
      <c r="F5136" t="s">
        <v>368</v>
      </c>
      <c r="G5136" t="s">
        <v>16</v>
      </c>
      <c r="H5136" t="s">
        <v>3979</v>
      </c>
      <c r="I5136">
        <v>3.0788000000000002</v>
      </c>
      <c r="J5136">
        <v>45807.77</v>
      </c>
      <c r="K5136">
        <v>14878.44939586852</v>
      </c>
    </row>
    <row r="5137" spans="1:11" x14ac:dyDescent="0.25">
      <c r="A5137" t="s">
        <v>405</v>
      </c>
      <c r="B5137" t="s">
        <v>1703</v>
      </c>
      <c r="C5137" s="1">
        <v>42180</v>
      </c>
      <c r="D5137" s="1">
        <v>42182</v>
      </c>
      <c r="E5137">
        <v>4</v>
      </c>
      <c r="F5137" t="s">
        <v>368</v>
      </c>
      <c r="G5137" t="s">
        <v>16</v>
      </c>
      <c r="H5137" t="s">
        <v>7156</v>
      </c>
      <c r="I5137">
        <v>3.0851999999999999</v>
      </c>
      <c r="J5137">
        <v>44954.71</v>
      </c>
      <c r="K5137">
        <v>14571.084532607287</v>
      </c>
    </row>
    <row r="5138" spans="1:11" x14ac:dyDescent="0.25">
      <c r="A5138" t="s">
        <v>607</v>
      </c>
      <c r="B5138" t="s">
        <v>3980</v>
      </c>
      <c r="C5138" s="1">
        <v>42146</v>
      </c>
      <c r="D5138" s="1">
        <v>42156</v>
      </c>
      <c r="E5138">
        <v>1341</v>
      </c>
      <c r="F5138" t="s">
        <v>301</v>
      </c>
      <c r="G5138" t="s">
        <v>16</v>
      </c>
      <c r="H5138" t="s">
        <v>3981</v>
      </c>
      <c r="I5138">
        <v>3.0295000000000001</v>
      </c>
      <c r="J5138">
        <v>12810</v>
      </c>
      <c r="K5138">
        <v>4228.4205314408318</v>
      </c>
    </row>
    <row r="5139" spans="1:11" x14ac:dyDescent="0.25">
      <c r="A5139" t="s">
        <v>7157</v>
      </c>
      <c r="C5139" s="1">
        <v>42172</v>
      </c>
      <c r="D5139" s="1">
        <v>42173</v>
      </c>
      <c r="E5139">
        <v>1092</v>
      </c>
      <c r="F5139" t="s">
        <v>519</v>
      </c>
      <c r="G5139" t="s">
        <v>16</v>
      </c>
      <c r="H5139" t="s">
        <v>7158</v>
      </c>
      <c r="I5139">
        <v>3.1082000000000001</v>
      </c>
      <c r="J5139">
        <v>337.68</v>
      </c>
      <c r="K5139">
        <v>108.64165755099414</v>
      </c>
    </row>
    <row r="5140" spans="1:11" x14ac:dyDescent="0.25">
      <c r="A5140" t="s">
        <v>405</v>
      </c>
      <c r="B5140" t="s">
        <v>1703</v>
      </c>
      <c r="C5140" s="1">
        <v>42175</v>
      </c>
      <c r="D5140" s="1">
        <v>42178</v>
      </c>
      <c r="E5140">
        <v>4</v>
      </c>
      <c r="F5140" t="s">
        <v>368</v>
      </c>
      <c r="G5140" t="s">
        <v>16</v>
      </c>
      <c r="H5140" t="s">
        <v>3982</v>
      </c>
      <c r="I5140">
        <v>3.0788000000000002</v>
      </c>
      <c r="J5140">
        <v>40870.78</v>
      </c>
      <c r="K5140">
        <v>13274.905807457451</v>
      </c>
    </row>
    <row r="5141" spans="1:11" x14ac:dyDescent="0.25">
      <c r="A5141" t="s">
        <v>345</v>
      </c>
      <c r="B5141" t="s">
        <v>1190</v>
      </c>
      <c r="C5141" s="1">
        <v>42158</v>
      </c>
      <c r="D5141" s="1">
        <v>42161</v>
      </c>
      <c r="E5141">
        <v>3</v>
      </c>
      <c r="F5141" t="s">
        <v>309</v>
      </c>
      <c r="G5141" t="s">
        <v>16</v>
      </c>
      <c r="H5141" t="s">
        <v>3983</v>
      </c>
      <c r="I5141">
        <v>3.1442999999999999</v>
      </c>
      <c r="J5141">
        <v>117658.8</v>
      </c>
      <c r="K5141">
        <v>37419.711859555384</v>
      </c>
    </row>
    <row r="5142" spans="1:11" x14ac:dyDescent="0.25">
      <c r="A5142" t="s">
        <v>610</v>
      </c>
      <c r="B5142" t="s">
        <v>1192</v>
      </c>
      <c r="C5142" s="1">
        <v>42181</v>
      </c>
      <c r="D5142" s="1">
        <v>42192</v>
      </c>
      <c r="E5142">
        <v>5</v>
      </c>
      <c r="F5142" t="s">
        <v>368</v>
      </c>
      <c r="G5142" t="s">
        <v>16</v>
      </c>
      <c r="H5142" t="s">
        <v>3984</v>
      </c>
      <c r="I5142">
        <v>3.1015000000000001</v>
      </c>
      <c r="J5142">
        <v>33482.730000000003</v>
      </c>
      <c r="K5142">
        <v>10795.656940190231</v>
      </c>
    </row>
    <row r="5143" spans="1:11" x14ac:dyDescent="0.25">
      <c r="A5143" t="s">
        <v>610</v>
      </c>
      <c r="B5143" t="s">
        <v>1192</v>
      </c>
      <c r="C5143" s="1">
        <v>42180</v>
      </c>
      <c r="D5143" s="1">
        <v>42192</v>
      </c>
      <c r="E5143">
        <v>5</v>
      </c>
      <c r="F5143" t="s">
        <v>368</v>
      </c>
      <c r="G5143" t="s">
        <v>16</v>
      </c>
      <c r="H5143" t="s">
        <v>3985</v>
      </c>
      <c r="I5143">
        <v>3.0851999999999999</v>
      </c>
      <c r="J5143">
        <v>34782.86</v>
      </c>
      <c r="K5143">
        <v>11274.102165175678</v>
      </c>
    </row>
    <row r="5144" spans="1:11" x14ac:dyDescent="0.25">
      <c r="A5144" t="s">
        <v>610</v>
      </c>
      <c r="B5144" t="s">
        <v>1192</v>
      </c>
      <c r="C5144" s="1">
        <v>42180</v>
      </c>
      <c r="D5144" s="1">
        <v>42192</v>
      </c>
      <c r="E5144">
        <v>5</v>
      </c>
      <c r="F5144" t="s">
        <v>368</v>
      </c>
      <c r="G5144" t="s">
        <v>16</v>
      </c>
      <c r="H5144" t="s">
        <v>3986</v>
      </c>
      <c r="I5144">
        <v>3.0851999999999999</v>
      </c>
      <c r="J5144">
        <v>45491.48</v>
      </c>
      <c r="K5144">
        <v>14745.066770387657</v>
      </c>
    </row>
    <row r="5145" spans="1:11" x14ac:dyDescent="0.25">
      <c r="A5145" t="s">
        <v>413</v>
      </c>
      <c r="B5145" t="s">
        <v>1196</v>
      </c>
      <c r="C5145" s="1">
        <v>42220</v>
      </c>
      <c r="D5145" s="1">
        <v>42222</v>
      </c>
      <c r="E5145">
        <v>1</v>
      </c>
      <c r="F5145" t="s">
        <v>368</v>
      </c>
      <c r="G5145" t="s">
        <v>16</v>
      </c>
      <c r="H5145" t="s">
        <v>3987</v>
      </c>
      <c r="I5145">
        <v>3.4424999999999999</v>
      </c>
      <c r="J5145">
        <v>81165.149999999994</v>
      </c>
      <c r="K5145">
        <v>23577.385620915033</v>
      </c>
    </row>
    <row r="5146" spans="1:11" x14ac:dyDescent="0.25">
      <c r="A5146" t="s">
        <v>625</v>
      </c>
      <c r="B5146" t="s">
        <v>1711</v>
      </c>
      <c r="C5146" s="1">
        <v>42208</v>
      </c>
      <c r="D5146" s="1">
        <v>42210</v>
      </c>
      <c r="E5146">
        <v>1</v>
      </c>
      <c r="F5146" t="s">
        <v>368</v>
      </c>
      <c r="G5146" t="s">
        <v>16</v>
      </c>
      <c r="H5146" t="s">
        <v>7159</v>
      </c>
      <c r="I5146">
        <v>3.2094</v>
      </c>
      <c r="J5146">
        <v>74921.94</v>
      </c>
      <c r="K5146">
        <v>23344.531688166011</v>
      </c>
    </row>
    <row r="5147" spans="1:11" x14ac:dyDescent="0.25">
      <c r="A5147" t="s">
        <v>625</v>
      </c>
      <c r="B5147" t="s">
        <v>1711</v>
      </c>
      <c r="C5147" s="1">
        <v>42209</v>
      </c>
      <c r="D5147" s="1">
        <v>42210</v>
      </c>
      <c r="E5147">
        <v>1</v>
      </c>
      <c r="F5147" t="s">
        <v>368</v>
      </c>
      <c r="G5147" t="s">
        <v>16</v>
      </c>
      <c r="H5147" t="s">
        <v>7160</v>
      </c>
      <c r="I5147">
        <v>3.2850000000000001</v>
      </c>
      <c r="J5147">
        <v>76369.279999999999</v>
      </c>
      <c r="K5147">
        <v>23247.878234398784</v>
      </c>
    </row>
    <row r="5148" spans="1:11" x14ac:dyDescent="0.25">
      <c r="A5148" t="s">
        <v>571</v>
      </c>
      <c r="B5148" t="s">
        <v>1198</v>
      </c>
      <c r="C5148" s="1">
        <v>42188</v>
      </c>
      <c r="D5148" s="1">
        <v>42198</v>
      </c>
      <c r="E5148">
        <v>3</v>
      </c>
      <c r="F5148" t="s">
        <v>368</v>
      </c>
      <c r="G5148" t="s">
        <v>16</v>
      </c>
      <c r="H5148" t="s">
        <v>7161</v>
      </c>
      <c r="I5148">
        <v>3.1173000000000002</v>
      </c>
      <c r="J5148">
        <v>33120</v>
      </c>
      <c r="K5148">
        <v>10624.578962563757</v>
      </c>
    </row>
    <row r="5149" spans="1:11" x14ac:dyDescent="0.25">
      <c r="A5149" t="s">
        <v>413</v>
      </c>
      <c r="B5149" t="s">
        <v>1196</v>
      </c>
      <c r="C5149" s="1">
        <v>42219</v>
      </c>
      <c r="D5149" s="1">
        <v>42222</v>
      </c>
      <c r="E5149">
        <v>1</v>
      </c>
      <c r="F5149" t="s">
        <v>368</v>
      </c>
      <c r="G5149" t="s">
        <v>16</v>
      </c>
      <c r="H5149" t="s">
        <v>3988</v>
      </c>
      <c r="I5149">
        <v>3.3940000000000001</v>
      </c>
      <c r="J5149">
        <v>80469.259999999995</v>
      </c>
      <c r="K5149">
        <v>23709.269298762523</v>
      </c>
    </row>
    <row r="5150" spans="1:11" x14ac:dyDescent="0.25">
      <c r="A5150" t="s">
        <v>413</v>
      </c>
      <c r="B5150" t="s">
        <v>1196</v>
      </c>
      <c r="C5150" s="1">
        <v>42219</v>
      </c>
      <c r="D5150" s="1">
        <v>42222</v>
      </c>
      <c r="E5150">
        <v>1</v>
      </c>
      <c r="F5150" t="s">
        <v>368</v>
      </c>
      <c r="G5150" t="s">
        <v>16</v>
      </c>
      <c r="H5150" t="s">
        <v>7162</v>
      </c>
      <c r="I5150">
        <v>3.3940000000000001</v>
      </c>
      <c r="J5150">
        <v>59007.63</v>
      </c>
      <c r="K5150">
        <v>17385.866234531528</v>
      </c>
    </row>
    <row r="5151" spans="1:11" x14ac:dyDescent="0.25">
      <c r="A5151" t="s">
        <v>413</v>
      </c>
      <c r="B5151" t="s">
        <v>1196</v>
      </c>
      <c r="C5151" s="1">
        <v>42220</v>
      </c>
      <c r="D5151" s="1">
        <v>42222</v>
      </c>
      <c r="E5151">
        <v>1</v>
      </c>
      <c r="F5151" t="s">
        <v>368</v>
      </c>
      <c r="G5151" t="s">
        <v>16</v>
      </c>
      <c r="H5151" t="s">
        <v>3989</v>
      </c>
      <c r="I5151">
        <v>3.4424999999999999</v>
      </c>
      <c r="J5151">
        <v>79852.460000000006</v>
      </c>
      <c r="K5151">
        <v>23196.06681190995</v>
      </c>
    </row>
    <row r="5152" spans="1:11" x14ac:dyDescent="0.25">
      <c r="A5152" t="s">
        <v>534</v>
      </c>
      <c r="B5152" t="s">
        <v>3990</v>
      </c>
      <c r="C5152" s="1">
        <v>42212</v>
      </c>
      <c r="D5152" s="1">
        <v>42242</v>
      </c>
      <c r="E5152">
        <v>1</v>
      </c>
      <c r="F5152" t="s">
        <v>368</v>
      </c>
      <c r="G5152" t="s">
        <v>16</v>
      </c>
      <c r="H5152" t="s">
        <v>3991</v>
      </c>
      <c r="I5152">
        <v>3.3254000000000001</v>
      </c>
      <c r="J5152">
        <v>59228.34</v>
      </c>
      <c r="K5152">
        <v>17810.891922776209</v>
      </c>
    </row>
    <row r="5153" spans="1:11" x14ac:dyDescent="0.25">
      <c r="A5153" t="s">
        <v>556</v>
      </c>
      <c r="B5153" t="s">
        <v>2682</v>
      </c>
      <c r="C5153" s="1">
        <v>42212</v>
      </c>
      <c r="D5153" s="1">
        <v>42242</v>
      </c>
      <c r="E5153">
        <v>1</v>
      </c>
      <c r="F5153" t="s">
        <v>368</v>
      </c>
      <c r="G5153" t="s">
        <v>16</v>
      </c>
      <c r="H5153" t="s">
        <v>7163</v>
      </c>
      <c r="I5153">
        <v>3.3254000000000001</v>
      </c>
      <c r="J5153">
        <v>78971.13</v>
      </c>
      <c r="K5153">
        <v>23747.858904191977</v>
      </c>
    </row>
    <row r="5154" spans="1:11" x14ac:dyDescent="0.25">
      <c r="A5154" t="s">
        <v>468</v>
      </c>
      <c r="B5154" t="s">
        <v>1203</v>
      </c>
      <c r="C5154" s="1">
        <v>42222</v>
      </c>
      <c r="D5154" s="1">
        <v>42224</v>
      </c>
      <c r="E5154">
        <v>1</v>
      </c>
      <c r="F5154" t="s">
        <v>368</v>
      </c>
      <c r="G5154" t="s">
        <v>16</v>
      </c>
      <c r="H5154" t="s">
        <v>3992</v>
      </c>
      <c r="I5154">
        <v>3.4851000000000001</v>
      </c>
      <c r="J5154">
        <v>80897.490000000005</v>
      </c>
      <c r="K5154">
        <v>23212.387019023845</v>
      </c>
    </row>
    <row r="5155" spans="1:11" x14ac:dyDescent="0.25">
      <c r="A5155" t="s">
        <v>2679</v>
      </c>
      <c r="B5155" t="s">
        <v>2680</v>
      </c>
      <c r="C5155" s="1">
        <v>42251</v>
      </c>
      <c r="D5155" s="1">
        <v>42261</v>
      </c>
      <c r="E5155">
        <v>10</v>
      </c>
      <c r="F5155" t="s">
        <v>642</v>
      </c>
      <c r="G5155" t="s">
        <v>16</v>
      </c>
      <c r="H5155" t="s">
        <v>3993</v>
      </c>
      <c r="I5155">
        <v>3.7759999999999998</v>
      </c>
      <c r="J5155">
        <v>566410</v>
      </c>
      <c r="K5155">
        <v>150002.64830508476</v>
      </c>
    </row>
    <row r="5156" spans="1:11" x14ac:dyDescent="0.25">
      <c r="A5156" t="s">
        <v>468</v>
      </c>
      <c r="B5156" t="s">
        <v>1203</v>
      </c>
      <c r="C5156" s="1">
        <v>42223</v>
      </c>
      <c r="D5156" s="1">
        <v>42227</v>
      </c>
      <c r="E5156">
        <v>1</v>
      </c>
      <c r="F5156" t="s">
        <v>368</v>
      </c>
      <c r="G5156" t="s">
        <v>16</v>
      </c>
      <c r="H5156" t="s">
        <v>7164</v>
      </c>
      <c r="I5156">
        <v>3.5347</v>
      </c>
      <c r="J5156">
        <v>59341.74</v>
      </c>
      <c r="K5156">
        <v>16788.338472854841</v>
      </c>
    </row>
    <row r="5157" spans="1:11" x14ac:dyDescent="0.25">
      <c r="A5157" t="s">
        <v>342</v>
      </c>
      <c r="B5157" t="s">
        <v>1169</v>
      </c>
      <c r="C5157" s="1">
        <v>42300</v>
      </c>
      <c r="D5157" s="1">
        <v>42304</v>
      </c>
      <c r="E5157">
        <v>2</v>
      </c>
      <c r="F5157" t="s">
        <v>675</v>
      </c>
      <c r="G5157" t="s">
        <v>16</v>
      </c>
      <c r="H5157" t="s">
        <v>7165</v>
      </c>
      <c r="I5157">
        <v>3.9359999999999999</v>
      </c>
      <c r="J5157">
        <v>79830</v>
      </c>
      <c r="K5157">
        <v>20282.012195121952</v>
      </c>
    </row>
    <row r="5158" spans="1:11" x14ac:dyDescent="0.25">
      <c r="A5158" t="s">
        <v>342</v>
      </c>
      <c r="B5158" t="s">
        <v>1169</v>
      </c>
      <c r="C5158" s="1">
        <v>42300</v>
      </c>
      <c r="D5158" s="1">
        <v>42304</v>
      </c>
      <c r="E5158">
        <v>2</v>
      </c>
      <c r="F5158" t="s">
        <v>675</v>
      </c>
      <c r="G5158" t="s">
        <v>16</v>
      </c>
      <c r="H5158" t="s">
        <v>3994</v>
      </c>
      <c r="I5158">
        <v>3.9359999999999999</v>
      </c>
      <c r="J5158">
        <v>79830</v>
      </c>
      <c r="K5158">
        <v>20282.012195121952</v>
      </c>
    </row>
    <row r="5159" spans="1:11" x14ac:dyDescent="0.25">
      <c r="A5159" t="s">
        <v>342</v>
      </c>
      <c r="B5159" t="s">
        <v>1169</v>
      </c>
      <c r="C5159" s="1">
        <v>42300</v>
      </c>
      <c r="D5159" s="1">
        <v>42304</v>
      </c>
      <c r="E5159">
        <v>2</v>
      </c>
      <c r="F5159" t="s">
        <v>675</v>
      </c>
      <c r="G5159" t="s">
        <v>16</v>
      </c>
      <c r="H5159" t="s">
        <v>3995</v>
      </c>
      <c r="I5159">
        <v>3.9359999999999999</v>
      </c>
      <c r="J5159">
        <v>79830</v>
      </c>
      <c r="K5159">
        <v>20282.012195121952</v>
      </c>
    </row>
    <row r="5160" spans="1:11" x14ac:dyDescent="0.25">
      <c r="A5160" t="s">
        <v>3996</v>
      </c>
      <c r="C5160" s="1">
        <v>42277</v>
      </c>
      <c r="D5160" s="1">
        <v>42286</v>
      </c>
      <c r="E5160">
        <v>380</v>
      </c>
      <c r="F5160" t="s">
        <v>480</v>
      </c>
      <c r="G5160" t="s">
        <v>16</v>
      </c>
      <c r="H5160" t="s">
        <v>3997</v>
      </c>
      <c r="I5160">
        <v>4.1172000000000004</v>
      </c>
      <c r="J5160">
        <v>153.04</v>
      </c>
      <c r="K5160">
        <v>37.170892839794035</v>
      </c>
    </row>
    <row r="5161" spans="1:11" x14ac:dyDescent="0.25">
      <c r="A5161" t="s">
        <v>7166</v>
      </c>
      <c r="B5161" t="s">
        <v>7167</v>
      </c>
      <c r="C5161" s="1">
        <v>42268</v>
      </c>
      <c r="D5161" s="1">
        <v>42276</v>
      </c>
      <c r="E5161">
        <v>40</v>
      </c>
      <c r="F5161" t="s">
        <v>318</v>
      </c>
      <c r="G5161" t="s">
        <v>16</v>
      </c>
      <c r="H5161" t="s">
        <v>7168</v>
      </c>
      <c r="I5161">
        <v>3.9020999999999999</v>
      </c>
      <c r="J5161">
        <v>324103.12</v>
      </c>
      <c r="K5161">
        <v>83058.640219369059</v>
      </c>
    </row>
    <row r="5162" spans="1:11" x14ac:dyDescent="0.25">
      <c r="A5162" t="s">
        <v>632</v>
      </c>
      <c r="B5162" t="s">
        <v>3998</v>
      </c>
      <c r="C5162" s="1">
        <v>42258</v>
      </c>
      <c r="D5162" s="1">
        <v>42286</v>
      </c>
      <c r="E5162">
        <v>4</v>
      </c>
      <c r="F5162" t="s">
        <v>301</v>
      </c>
      <c r="G5162" t="s">
        <v>16</v>
      </c>
      <c r="H5162" t="s">
        <v>3999</v>
      </c>
      <c r="I5162">
        <v>3.8698000000000001</v>
      </c>
      <c r="J5162">
        <v>75337.81</v>
      </c>
      <c r="K5162">
        <v>19468.140472375835</v>
      </c>
    </row>
    <row r="5163" spans="1:11" x14ac:dyDescent="0.25">
      <c r="A5163" t="s">
        <v>7169</v>
      </c>
      <c r="B5163" t="s">
        <v>7170</v>
      </c>
      <c r="C5163" s="1">
        <v>42269</v>
      </c>
      <c r="D5163" s="1">
        <v>42292</v>
      </c>
      <c r="E5163">
        <v>267</v>
      </c>
      <c r="F5163" t="s">
        <v>318</v>
      </c>
      <c r="G5163" t="s">
        <v>16</v>
      </c>
      <c r="H5163" t="s">
        <v>7171</v>
      </c>
      <c r="I5163">
        <v>3.9821</v>
      </c>
      <c r="J5163">
        <v>67695.710000000006</v>
      </c>
      <c r="K5163">
        <v>17000.002511237788</v>
      </c>
    </row>
    <row r="5164" spans="1:11" x14ac:dyDescent="0.25">
      <c r="A5164" t="s">
        <v>499</v>
      </c>
      <c r="B5164" t="s">
        <v>3560</v>
      </c>
      <c r="C5164" s="1">
        <v>42258</v>
      </c>
      <c r="D5164" s="1">
        <v>42279</v>
      </c>
      <c r="E5164">
        <v>4</v>
      </c>
      <c r="F5164" t="s">
        <v>301</v>
      </c>
      <c r="G5164" t="s">
        <v>16</v>
      </c>
      <c r="H5164" t="s">
        <v>7172</v>
      </c>
      <c r="I5164">
        <v>3.8698000000000001</v>
      </c>
      <c r="J5164">
        <v>271798.19</v>
      </c>
      <c r="K5164">
        <v>70235.720192257999</v>
      </c>
    </row>
    <row r="5165" spans="1:11" x14ac:dyDescent="0.25">
      <c r="A5165" t="s">
        <v>4000</v>
      </c>
      <c r="B5165" t="s">
        <v>4001</v>
      </c>
      <c r="C5165" s="1">
        <v>42286</v>
      </c>
      <c r="D5165" s="1">
        <v>42297</v>
      </c>
      <c r="E5165">
        <v>179</v>
      </c>
      <c r="F5165" t="s">
        <v>406</v>
      </c>
      <c r="G5165" t="s">
        <v>16</v>
      </c>
      <c r="H5165" t="s">
        <v>4002</v>
      </c>
      <c r="I5165">
        <v>3.8517000000000001</v>
      </c>
      <c r="J5165">
        <v>102070.05</v>
      </c>
      <c r="K5165">
        <v>26500</v>
      </c>
    </row>
    <row r="5166" spans="1:11" x14ac:dyDescent="0.25">
      <c r="A5166" t="s">
        <v>1207</v>
      </c>
      <c r="B5166" t="s">
        <v>1208</v>
      </c>
      <c r="C5166" s="1">
        <v>42256</v>
      </c>
      <c r="D5166" s="1">
        <v>42276</v>
      </c>
      <c r="E5166">
        <v>263</v>
      </c>
      <c r="F5166" t="s">
        <v>278</v>
      </c>
      <c r="G5166" t="s">
        <v>16</v>
      </c>
      <c r="H5166" t="s">
        <v>7173</v>
      </c>
      <c r="I5166">
        <v>3.8028</v>
      </c>
      <c r="J5166">
        <v>56250</v>
      </c>
      <c r="K5166">
        <v>14791.73240769959</v>
      </c>
    </row>
    <row r="5167" spans="1:11" x14ac:dyDescent="0.25">
      <c r="A5167" t="s">
        <v>3110</v>
      </c>
      <c r="B5167" t="s">
        <v>3111</v>
      </c>
      <c r="C5167" s="1">
        <v>42257</v>
      </c>
      <c r="D5167" s="1">
        <v>42268</v>
      </c>
      <c r="E5167">
        <v>13</v>
      </c>
      <c r="F5167" t="s">
        <v>278</v>
      </c>
      <c r="G5167" t="s">
        <v>16</v>
      </c>
      <c r="H5167" t="s">
        <v>4003</v>
      </c>
      <c r="I5167">
        <v>3.7869999999999999</v>
      </c>
      <c r="J5167">
        <v>402191.2</v>
      </c>
      <c r="K5167">
        <v>106203.11592289411</v>
      </c>
    </row>
    <row r="5168" spans="1:11" x14ac:dyDescent="0.25">
      <c r="A5168" t="s">
        <v>342</v>
      </c>
      <c r="B5168" t="s">
        <v>1169</v>
      </c>
      <c r="C5168" s="1">
        <v>42261</v>
      </c>
      <c r="D5168" s="1">
        <v>42268</v>
      </c>
      <c r="E5168">
        <v>2</v>
      </c>
      <c r="F5168" t="s">
        <v>675</v>
      </c>
      <c r="G5168" t="s">
        <v>16</v>
      </c>
      <c r="H5168" t="s">
        <v>4004</v>
      </c>
      <c r="I5168">
        <v>3.8698000000000001</v>
      </c>
      <c r="J5168">
        <v>79830</v>
      </c>
      <c r="K5168">
        <v>20628.973073543853</v>
      </c>
    </row>
    <row r="5169" spans="1:11" x14ac:dyDescent="0.25">
      <c r="A5169" t="s">
        <v>523</v>
      </c>
      <c r="B5169" t="s">
        <v>2249</v>
      </c>
      <c r="C5169" s="1">
        <v>42268</v>
      </c>
      <c r="D5169" s="1">
        <v>42297</v>
      </c>
      <c r="E5169">
        <v>9</v>
      </c>
      <c r="F5169" t="s">
        <v>311</v>
      </c>
      <c r="G5169" t="s">
        <v>16</v>
      </c>
      <c r="H5169" t="s">
        <v>7174</v>
      </c>
      <c r="I5169">
        <v>3.9020999999999999</v>
      </c>
      <c r="J5169">
        <v>39795.300000000003</v>
      </c>
      <c r="K5169">
        <v>10198.431613746445</v>
      </c>
    </row>
    <row r="5170" spans="1:11" x14ac:dyDescent="0.25">
      <c r="A5170" t="s">
        <v>350</v>
      </c>
      <c r="B5170" t="s">
        <v>1733</v>
      </c>
      <c r="C5170" s="1">
        <v>42296</v>
      </c>
      <c r="D5170" s="1">
        <v>42299</v>
      </c>
      <c r="E5170">
        <v>21</v>
      </c>
      <c r="F5170" t="s">
        <v>331</v>
      </c>
      <c r="G5170" t="s">
        <v>16</v>
      </c>
      <c r="H5170" t="s">
        <v>7175</v>
      </c>
      <c r="I5170">
        <v>3.8437999999999999</v>
      </c>
      <c r="J5170">
        <v>88868.45</v>
      </c>
      <c r="K5170">
        <v>23119.946407201209</v>
      </c>
    </row>
    <row r="5171" spans="1:11" x14ac:dyDescent="0.25">
      <c r="A5171" t="s">
        <v>533</v>
      </c>
      <c r="B5171" t="s">
        <v>1731</v>
      </c>
      <c r="C5171" s="1">
        <v>42258</v>
      </c>
      <c r="D5171" s="1">
        <v>42298</v>
      </c>
      <c r="E5171">
        <v>2</v>
      </c>
      <c r="F5171" t="s">
        <v>301</v>
      </c>
      <c r="G5171" t="s">
        <v>16</v>
      </c>
      <c r="H5171" t="s">
        <v>4005</v>
      </c>
      <c r="I5171">
        <v>3.8698000000000001</v>
      </c>
      <c r="J5171">
        <v>97155.01</v>
      </c>
      <c r="K5171">
        <v>25105.951211948937</v>
      </c>
    </row>
    <row r="5172" spans="1:11" x14ac:dyDescent="0.25">
      <c r="A5172" t="s">
        <v>523</v>
      </c>
      <c r="B5172" t="s">
        <v>2249</v>
      </c>
      <c r="C5172" s="1">
        <v>42268</v>
      </c>
      <c r="D5172" s="1">
        <v>42298</v>
      </c>
      <c r="E5172">
        <v>9</v>
      </c>
      <c r="F5172" t="s">
        <v>311</v>
      </c>
      <c r="G5172" t="s">
        <v>16</v>
      </c>
      <c r="H5172" t="s">
        <v>4006</v>
      </c>
      <c r="I5172">
        <v>3.9020999999999999</v>
      </c>
      <c r="J5172">
        <v>457380.65</v>
      </c>
      <c r="K5172">
        <v>117213.97452653699</v>
      </c>
    </row>
    <row r="5173" spans="1:11" x14ac:dyDescent="0.25">
      <c r="A5173" t="s">
        <v>350</v>
      </c>
      <c r="B5173" t="s">
        <v>1733</v>
      </c>
      <c r="C5173" s="1">
        <v>42301</v>
      </c>
      <c r="D5173" s="1">
        <v>42307</v>
      </c>
      <c r="E5173">
        <v>21</v>
      </c>
      <c r="F5173" t="s">
        <v>331</v>
      </c>
      <c r="G5173" t="s">
        <v>16</v>
      </c>
      <c r="H5173" t="s">
        <v>4007</v>
      </c>
      <c r="I5173">
        <v>3.8988</v>
      </c>
      <c r="J5173">
        <v>93311.78</v>
      </c>
      <c r="K5173">
        <v>23933.461577921411</v>
      </c>
    </row>
    <row r="5174" spans="1:11" x14ac:dyDescent="0.25">
      <c r="A5174" t="s">
        <v>350</v>
      </c>
      <c r="B5174" t="s">
        <v>1733</v>
      </c>
      <c r="C5174" s="1">
        <v>42301</v>
      </c>
      <c r="D5174" s="1">
        <v>42306</v>
      </c>
      <c r="E5174">
        <v>21</v>
      </c>
      <c r="F5174" t="s">
        <v>331</v>
      </c>
      <c r="G5174" t="s">
        <v>16</v>
      </c>
      <c r="H5174" t="s">
        <v>7176</v>
      </c>
      <c r="I5174">
        <v>3.8988</v>
      </c>
      <c r="J5174">
        <v>90890.72</v>
      </c>
      <c r="K5174">
        <v>23312.485893095312</v>
      </c>
    </row>
    <row r="5175" spans="1:11" x14ac:dyDescent="0.25">
      <c r="A5175" t="s">
        <v>350</v>
      </c>
      <c r="B5175" t="s">
        <v>1733</v>
      </c>
      <c r="C5175" s="1">
        <v>42301</v>
      </c>
      <c r="D5175" s="1">
        <v>42307</v>
      </c>
      <c r="E5175">
        <v>21</v>
      </c>
      <c r="F5175" t="s">
        <v>331</v>
      </c>
      <c r="G5175" t="s">
        <v>16</v>
      </c>
      <c r="H5175" t="s">
        <v>7177</v>
      </c>
      <c r="I5175">
        <v>3.8988</v>
      </c>
      <c r="J5175">
        <v>117471.97</v>
      </c>
      <c r="K5175">
        <v>30130.288806812354</v>
      </c>
    </row>
    <row r="5176" spans="1:11" x14ac:dyDescent="0.25">
      <c r="A5176" t="s">
        <v>350</v>
      </c>
      <c r="B5176" t="s">
        <v>1733</v>
      </c>
      <c r="C5176" s="1">
        <v>42304</v>
      </c>
      <c r="D5176" s="1">
        <v>42308</v>
      </c>
      <c r="E5176">
        <v>21</v>
      </c>
      <c r="F5176" t="s">
        <v>331</v>
      </c>
      <c r="G5176" t="s">
        <v>16</v>
      </c>
      <c r="H5176" t="s">
        <v>4008</v>
      </c>
      <c r="I5176">
        <v>3.8582000000000001</v>
      </c>
      <c r="J5176">
        <v>94547.53</v>
      </c>
      <c r="K5176">
        <v>24505.606241252397</v>
      </c>
    </row>
    <row r="5177" spans="1:11" x14ac:dyDescent="0.25">
      <c r="A5177" t="s">
        <v>350</v>
      </c>
      <c r="B5177" t="s">
        <v>1733</v>
      </c>
      <c r="C5177" s="1">
        <v>42304</v>
      </c>
      <c r="D5177" s="1">
        <v>42308</v>
      </c>
      <c r="E5177">
        <v>21</v>
      </c>
      <c r="F5177" t="s">
        <v>331</v>
      </c>
      <c r="G5177" t="s">
        <v>16</v>
      </c>
      <c r="H5177" t="s">
        <v>7178</v>
      </c>
      <c r="I5177">
        <v>3.8582000000000001</v>
      </c>
      <c r="J5177">
        <v>96413.77</v>
      </c>
      <c r="K5177">
        <v>24989.313669586852</v>
      </c>
    </row>
    <row r="5178" spans="1:11" x14ac:dyDescent="0.25">
      <c r="A5178" t="s">
        <v>484</v>
      </c>
      <c r="B5178" t="s">
        <v>1218</v>
      </c>
      <c r="C5178" s="1">
        <v>42268</v>
      </c>
      <c r="D5178" s="1">
        <v>42283</v>
      </c>
      <c r="E5178">
        <v>44</v>
      </c>
      <c r="F5178" t="s">
        <v>311</v>
      </c>
      <c r="G5178" t="s">
        <v>16</v>
      </c>
      <c r="H5178" t="s">
        <v>4009</v>
      </c>
      <c r="I5178">
        <v>3.9020999999999999</v>
      </c>
      <c r="J5178">
        <v>17639.240000000002</v>
      </c>
      <c r="K5178">
        <v>4520.4479639168649</v>
      </c>
    </row>
    <row r="5179" spans="1:11" x14ac:dyDescent="0.25">
      <c r="A5179" t="s">
        <v>350</v>
      </c>
      <c r="B5179" t="s">
        <v>1733</v>
      </c>
      <c r="C5179" s="1">
        <v>42301</v>
      </c>
      <c r="D5179" s="1">
        <v>42305</v>
      </c>
      <c r="E5179">
        <v>21</v>
      </c>
      <c r="F5179" t="s">
        <v>331</v>
      </c>
      <c r="G5179" t="s">
        <v>16</v>
      </c>
      <c r="H5179" t="s">
        <v>7179</v>
      </c>
      <c r="I5179">
        <v>3.8988</v>
      </c>
      <c r="J5179">
        <v>93690.07</v>
      </c>
      <c r="K5179">
        <v>24030.488868369754</v>
      </c>
    </row>
    <row r="5180" spans="1:11" x14ac:dyDescent="0.25">
      <c r="A5180" t="s">
        <v>555</v>
      </c>
      <c r="B5180" t="s">
        <v>2199</v>
      </c>
      <c r="C5180" s="1">
        <v>42257</v>
      </c>
      <c r="D5180" s="1">
        <v>42278</v>
      </c>
      <c r="E5180">
        <v>3</v>
      </c>
      <c r="F5180" t="s">
        <v>301</v>
      </c>
      <c r="G5180" t="s">
        <v>16</v>
      </c>
      <c r="H5180" t="s">
        <v>7180</v>
      </c>
      <c r="I5180">
        <v>3.7869999999999999</v>
      </c>
      <c r="J5180">
        <v>94675.19</v>
      </c>
      <c r="K5180">
        <v>25000.050171639821</v>
      </c>
    </row>
    <row r="5181" spans="1:11" x14ac:dyDescent="0.25">
      <c r="A5181" t="s">
        <v>429</v>
      </c>
      <c r="B5181" t="s">
        <v>1216</v>
      </c>
      <c r="C5181" s="1">
        <v>42279</v>
      </c>
      <c r="D5181" s="1">
        <v>42280</v>
      </c>
      <c r="E5181">
        <v>5</v>
      </c>
      <c r="F5181" t="s">
        <v>675</v>
      </c>
      <c r="G5181" t="s">
        <v>16</v>
      </c>
      <c r="H5181" t="s">
        <v>7181</v>
      </c>
      <c r="I5181">
        <v>3.9794</v>
      </c>
      <c r="J5181">
        <v>113513.60000000001</v>
      </c>
      <c r="K5181">
        <v>28525.305322410415</v>
      </c>
    </row>
    <row r="5182" spans="1:11" x14ac:dyDescent="0.25">
      <c r="A5182" t="s">
        <v>429</v>
      </c>
      <c r="B5182" t="s">
        <v>1216</v>
      </c>
      <c r="C5182" s="1">
        <v>42343</v>
      </c>
      <c r="D5182" s="1">
        <v>42355</v>
      </c>
      <c r="E5182">
        <v>5</v>
      </c>
      <c r="F5182" t="s">
        <v>675</v>
      </c>
      <c r="G5182" t="s">
        <v>16</v>
      </c>
      <c r="H5182" t="s">
        <v>7182</v>
      </c>
      <c r="I5182">
        <v>3.7574999999999998</v>
      </c>
      <c r="J5182">
        <v>199157.69</v>
      </c>
      <c r="K5182">
        <v>53002.711909514306</v>
      </c>
    </row>
    <row r="5183" spans="1:11" x14ac:dyDescent="0.25">
      <c r="A5183" t="s">
        <v>4010</v>
      </c>
      <c r="B5183" t="s">
        <v>4011</v>
      </c>
      <c r="C5183" s="1">
        <v>42321</v>
      </c>
      <c r="D5183" s="1">
        <v>42335</v>
      </c>
      <c r="E5183">
        <v>717</v>
      </c>
      <c r="F5183" t="s">
        <v>278</v>
      </c>
      <c r="G5183" t="s">
        <v>16</v>
      </c>
      <c r="H5183" t="s">
        <v>4012</v>
      </c>
      <c r="I5183">
        <v>3.7995999999999999</v>
      </c>
      <c r="J5183">
        <v>53400</v>
      </c>
      <c r="K5183">
        <v>14054.110959048321</v>
      </c>
    </row>
    <row r="5184" spans="1:11" x14ac:dyDescent="0.25">
      <c r="A5184" t="s">
        <v>467</v>
      </c>
      <c r="B5184" t="s">
        <v>3122</v>
      </c>
      <c r="C5184" s="1">
        <v>42328</v>
      </c>
      <c r="D5184" s="1">
        <v>42333</v>
      </c>
      <c r="E5184">
        <v>5</v>
      </c>
      <c r="F5184" t="s">
        <v>675</v>
      </c>
      <c r="G5184" t="s">
        <v>16</v>
      </c>
      <c r="H5184" t="s">
        <v>7183</v>
      </c>
      <c r="I5184">
        <v>3.7442000000000002</v>
      </c>
      <c r="J5184">
        <v>6476.8</v>
      </c>
      <c r="K5184">
        <v>1729.8221248864911</v>
      </c>
    </row>
    <row r="5185" spans="1:11" x14ac:dyDescent="0.25">
      <c r="A5185" t="s">
        <v>1220</v>
      </c>
      <c r="B5185" t="s">
        <v>1221</v>
      </c>
      <c r="C5185" s="1">
        <v>42334</v>
      </c>
      <c r="D5185" s="1">
        <v>42353</v>
      </c>
      <c r="E5185">
        <v>20</v>
      </c>
      <c r="F5185" t="s">
        <v>331</v>
      </c>
      <c r="G5185" t="s">
        <v>16</v>
      </c>
      <c r="H5185" t="s">
        <v>4013</v>
      </c>
      <c r="I5185">
        <v>3.7688000000000001</v>
      </c>
      <c r="J5185">
        <v>61132.06</v>
      </c>
      <c r="K5185">
        <v>16220.563574612608</v>
      </c>
    </row>
    <row r="5186" spans="1:11" x14ac:dyDescent="0.25">
      <c r="A5186" t="s">
        <v>1220</v>
      </c>
      <c r="B5186" t="s">
        <v>1221</v>
      </c>
      <c r="C5186" s="1">
        <v>42335</v>
      </c>
      <c r="D5186" s="1">
        <v>42342</v>
      </c>
      <c r="E5186">
        <v>20</v>
      </c>
      <c r="F5186" t="s">
        <v>331</v>
      </c>
      <c r="G5186" t="s">
        <v>16</v>
      </c>
      <c r="H5186" t="s">
        <v>4014</v>
      </c>
      <c r="I5186">
        <v>3.7606000000000002</v>
      </c>
      <c r="J5186">
        <v>37798.1</v>
      </c>
      <c r="K5186">
        <v>10051.082274105196</v>
      </c>
    </row>
    <row r="5187" spans="1:11" x14ac:dyDescent="0.25">
      <c r="A5187" t="s">
        <v>1220</v>
      </c>
      <c r="B5187" t="s">
        <v>1221</v>
      </c>
      <c r="C5187" s="1">
        <v>42335</v>
      </c>
      <c r="D5187" s="1">
        <v>42342</v>
      </c>
      <c r="E5187">
        <v>20</v>
      </c>
      <c r="F5187" t="s">
        <v>331</v>
      </c>
      <c r="G5187" t="s">
        <v>16</v>
      </c>
      <c r="H5187" t="s">
        <v>7184</v>
      </c>
      <c r="I5187">
        <v>3.7606000000000002</v>
      </c>
      <c r="J5187">
        <v>82812.05</v>
      </c>
      <c r="K5187">
        <v>22020.967398819339</v>
      </c>
    </row>
    <row r="5188" spans="1:11" x14ac:dyDescent="0.25">
      <c r="A5188" t="s">
        <v>350</v>
      </c>
      <c r="B5188" t="s">
        <v>1733</v>
      </c>
      <c r="C5188" s="1">
        <v>42304</v>
      </c>
      <c r="D5188" s="1">
        <v>42314</v>
      </c>
      <c r="E5188">
        <v>21</v>
      </c>
      <c r="F5188" t="s">
        <v>331</v>
      </c>
      <c r="G5188" t="s">
        <v>16</v>
      </c>
      <c r="H5188" t="s">
        <v>4015</v>
      </c>
      <c r="I5188">
        <v>3.8582000000000001</v>
      </c>
      <c r="J5188">
        <v>96438.99</v>
      </c>
      <c r="K5188">
        <v>24995.85039655798</v>
      </c>
    </row>
    <row r="5189" spans="1:11" x14ac:dyDescent="0.25">
      <c r="A5189" t="s">
        <v>1220</v>
      </c>
      <c r="B5189" t="s">
        <v>1221</v>
      </c>
      <c r="C5189" s="1">
        <v>42335</v>
      </c>
      <c r="D5189" s="1">
        <v>42341</v>
      </c>
      <c r="E5189">
        <v>20</v>
      </c>
      <c r="F5189" t="s">
        <v>331</v>
      </c>
      <c r="G5189" t="s">
        <v>16</v>
      </c>
      <c r="H5189" t="s">
        <v>7185</v>
      </c>
      <c r="I5189">
        <v>3.7606000000000002</v>
      </c>
      <c r="J5189">
        <v>60580.73</v>
      </c>
      <c r="K5189">
        <v>16109.325639525608</v>
      </c>
    </row>
    <row r="5190" spans="1:11" x14ac:dyDescent="0.25">
      <c r="A5190" t="s">
        <v>1220</v>
      </c>
      <c r="B5190" t="s">
        <v>1221</v>
      </c>
      <c r="C5190" s="1">
        <v>42334</v>
      </c>
      <c r="D5190" s="1">
        <v>42343</v>
      </c>
      <c r="E5190">
        <v>20</v>
      </c>
      <c r="F5190" t="s">
        <v>331</v>
      </c>
      <c r="G5190" t="s">
        <v>16</v>
      </c>
      <c r="H5190" t="s">
        <v>4016</v>
      </c>
      <c r="I5190">
        <v>3.7688000000000001</v>
      </c>
      <c r="J5190">
        <v>39516.93</v>
      </c>
      <c r="K5190">
        <v>10485.281787306305</v>
      </c>
    </row>
    <row r="5191" spans="1:11" x14ac:dyDescent="0.25">
      <c r="A5191" t="s">
        <v>429</v>
      </c>
      <c r="B5191" t="s">
        <v>1216</v>
      </c>
      <c r="C5191" s="1">
        <v>42312</v>
      </c>
      <c r="D5191" s="1">
        <v>42320</v>
      </c>
      <c r="E5191">
        <v>5</v>
      </c>
      <c r="F5191" t="s">
        <v>675</v>
      </c>
      <c r="G5191" t="s">
        <v>16</v>
      </c>
      <c r="H5191" t="s">
        <v>7186</v>
      </c>
      <c r="I5191">
        <v>3.8126000000000002</v>
      </c>
      <c r="J5191">
        <v>90517.759999999995</v>
      </c>
      <c r="K5191">
        <v>23741.740544510307</v>
      </c>
    </row>
    <row r="5192" spans="1:11" x14ac:dyDescent="0.25">
      <c r="A5192" t="s">
        <v>3137</v>
      </c>
      <c r="B5192" t="s">
        <v>3138</v>
      </c>
      <c r="C5192" s="1">
        <v>42354</v>
      </c>
      <c r="D5192" s="1">
        <v>42359</v>
      </c>
      <c r="E5192">
        <v>203</v>
      </c>
      <c r="F5192" t="s">
        <v>368</v>
      </c>
      <c r="G5192" t="s">
        <v>16</v>
      </c>
      <c r="H5192" t="s">
        <v>4017</v>
      </c>
      <c r="I5192">
        <v>3.8702999999999999</v>
      </c>
      <c r="J5192">
        <v>72903.25</v>
      </c>
      <c r="K5192">
        <v>18836.588894917706</v>
      </c>
    </row>
    <row r="5193" spans="1:11" x14ac:dyDescent="0.25">
      <c r="A5193" t="s">
        <v>429</v>
      </c>
      <c r="B5193" t="s">
        <v>1216</v>
      </c>
      <c r="C5193" s="1">
        <v>42307</v>
      </c>
      <c r="D5193" s="1">
        <v>42311</v>
      </c>
      <c r="E5193">
        <v>5</v>
      </c>
      <c r="F5193" t="s">
        <v>675</v>
      </c>
      <c r="G5193" t="s">
        <v>16</v>
      </c>
      <c r="H5193" t="s">
        <v>442</v>
      </c>
      <c r="I5193">
        <v>3.9327999999999999</v>
      </c>
      <c r="J5193">
        <v>401269.6</v>
      </c>
      <c r="K5193">
        <v>102031.52969894223</v>
      </c>
    </row>
    <row r="5194" spans="1:11" x14ac:dyDescent="0.25">
      <c r="A5194" t="s">
        <v>429</v>
      </c>
      <c r="B5194" t="s">
        <v>1216</v>
      </c>
      <c r="C5194" s="1">
        <v>42306</v>
      </c>
      <c r="D5194" s="1">
        <v>42311</v>
      </c>
      <c r="E5194">
        <v>5</v>
      </c>
      <c r="F5194" t="s">
        <v>675</v>
      </c>
      <c r="G5194" t="s">
        <v>16</v>
      </c>
      <c r="H5194" t="s">
        <v>7187</v>
      </c>
      <c r="I5194">
        <v>3.8797000000000001</v>
      </c>
      <c r="J5194">
        <v>215988.2</v>
      </c>
      <c r="K5194">
        <v>55671.366342758462</v>
      </c>
    </row>
    <row r="5195" spans="1:11" x14ac:dyDescent="0.25">
      <c r="A5195" t="s">
        <v>1220</v>
      </c>
      <c r="B5195" t="s">
        <v>1221</v>
      </c>
      <c r="C5195" s="1">
        <v>42335</v>
      </c>
      <c r="D5195" s="1">
        <v>42340</v>
      </c>
      <c r="E5195">
        <v>20</v>
      </c>
      <c r="F5195" t="s">
        <v>331</v>
      </c>
      <c r="G5195" t="s">
        <v>16</v>
      </c>
      <c r="H5195" t="s">
        <v>7188</v>
      </c>
      <c r="I5195">
        <v>3.7606000000000002</v>
      </c>
      <c r="J5195">
        <v>59721.32</v>
      </c>
      <c r="K5195">
        <v>15880.795617720576</v>
      </c>
    </row>
    <row r="5196" spans="1:11" x14ac:dyDescent="0.25">
      <c r="A5196" t="s">
        <v>467</v>
      </c>
      <c r="B5196" t="s">
        <v>3122</v>
      </c>
      <c r="C5196" s="1">
        <v>42328</v>
      </c>
      <c r="D5196" s="1">
        <v>42333</v>
      </c>
      <c r="E5196">
        <v>5</v>
      </c>
      <c r="F5196" t="s">
        <v>675</v>
      </c>
      <c r="G5196" t="s">
        <v>16</v>
      </c>
      <c r="H5196" t="s">
        <v>7189</v>
      </c>
      <c r="I5196">
        <v>3.7442000000000002</v>
      </c>
      <c r="J5196">
        <v>470630</v>
      </c>
      <c r="K5196">
        <v>125695.74274878479</v>
      </c>
    </row>
    <row r="5197" spans="1:11" x14ac:dyDescent="0.25">
      <c r="A5197" t="s">
        <v>429</v>
      </c>
      <c r="B5197" t="s">
        <v>1216</v>
      </c>
      <c r="C5197" s="1">
        <v>42357</v>
      </c>
      <c r="D5197" s="1">
        <v>42380</v>
      </c>
      <c r="E5197">
        <v>5</v>
      </c>
      <c r="F5197" t="s">
        <v>301</v>
      </c>
      <c r="G5197" t="s">
        <v>16</v>
      </c>
      <c r="H5197" t="s">
        <v>7190</v>
      </c>
      <c r="I5197">
        <v>3.9062000000000001</v>
      </c>
      <c r="J5197">
        <v>100617.62</v>
      </c>
      <c r="K5197">
        <v>25758.44042803748</v>
      </c>
    </row>
    <row r="5198" spans="1:11" x14ac:dyDescent="0.25">
      <c r="A5198" t="s">
        <v>428</v>
      </c>
      <c r="B5198" t="s">
        <v>1231</v>
      </c>
      <c r="C5198" s="1">
        <v>42359</v>
      </c>
      <c r="D5198" s="1">
        <v>42366</v>
      </c>
      <c r="E5198">
        <v>22</v>
      </c>
      <c r="F5198" t="s">
        <v>331</v>
      </c>
      <c r="G5198" t="s">
        <v>16</v>
      </c>
      <c r="H5198" t="s">
        <v>4018</v>
      </c>
      <c r="I5198">
        <v>3.9062000000000001</v>
      </c>
      <c r="J5198">
        <v>47956.01</v>
      </c>
      <c r="K5198">
        <v>12276.895704265015</v>
      </c>
    </row>
    <row r="5199" spans="1:11" x14ac:dyDescent="0.25">
      <c r="A5199" t="s">
        <v>428</v>
      </c>
      <c r="B5199" t="s">
        <v>1231</v>
      </c>
      <c r="C5199" s="1">
        <v>42356</v>
      </c>
      <c r="D5199" s="1">
        <v>42376</v>
      </c>
      <c r="E5199">
        <v>22</v>
      </c>
      <c r="F5199" t="s">
        <v>331</v>
      </c>
      <c r="G5199" t="s">
        <v>16</v>
      </c>
      <c r="H5199" t="s">
        <v>7191</v>
      </c>
      <c r="I5199">
        <v>3.8929</v>
      </c>
      <c r="J5199">
        <v>31496.2</v>
      </c>
      <c r="K5199">
        <v>8090.677900793753</v>
      </c>
    </row>
    <row r="5200" spans="1:11" x14ac:dyDescent="0.25">
      <c r="A5200" t="s">
        <v>342</v>
      </c>
      <c r="B5200" t="s">
        <v>1169</v>
      </c>
      <c r="C5200" s="1">
        <v>42364</v>
      </c>
      <c r="D5200" s="1">
        <v>42367</v>
      </c>
      <c r="E5200">
        <v>2</v>
      </c>
      <c r="F5200" t="s">
        <v>675</v>
      </c>
      <c r="G5200" t="s">
        <v>16</v>
      </c>
      <c r="H5200" t="s">
        <v>7192</v>
      </c>
      <c r="I5200">
        <v>3.9523999999999999</v>
      </c>
      <c r="J5200">
        <v>79830</v>
      </c>
      <c r="K5200">
        <v>20197.854468171237</v>
      </c>
    </row>
    <row r="5201" spans="1:11" x14ac:dyDescent="0.25">
      <c r="A5201" t="s">
        <v>367</v>
      </c>
      <c r="B5201" t="s">
        <v>2647</v>
      </c>
      <c r="C5201" s="1">
        <v>42391</v>
      </c>
      <c r="D5201" s="1">
        <v>42404</v>
      </c>
      <c r="E5201">
        <v>23071</v>
      </c>
      <c r="F5201" t="s">
        <v>301</v>
      </c>
      <c r="G5201" t="s">
        <v>16</v>
      </c>
      <c r="H5201" t="s">
        <v>7193</v>
      </c>
      <c r="I5201">
        <v>4.1558000000000002</v>
      </c>
      <c r="J5201">
        <v>143541.29</v>
      </c>
      <c r="K5201">
        <v>34539.989893642618</v>
      </c>
    </row>
    <row r="5202" spans="1:11" x14ac:dyDescent="0.25">
      <c r="A5202" t="s">
        <v>428</v>
      </c>
      <c r="B5202" t="s">
        <v>1231</v>
      </c>
      <c r="C5202" s="1">
        <v>42360</v>
      </c>
      <c r="D5202" s="1">
        <v>42374</v>
      </c>
      <c r="E5202">
        <v>22</v>
      </c>
      <c r="F5202" t="s">
        <v>331</v>
      </c>
      <c r="G5202" t="s">
        <v>16</v>
      </c>
      <c r="H5202" t="s">
        <v>7194</v>
      </c>
      <c r="I5202">
        <v>3.9830999999999999</v>
      </c>
      <c r="J5202">
        <v>30732.74</v>
      </c>
      <c r="K5202">
        <v>7715.7841881951244</v>
      </c>
    </row>
    <row r="5203" spans="1:11" x14ac:dyDescent="0.25">
      <c r="A5203" t="s">
        <v>428</v>
      </c>
      <c r="B5203" t="s">
        <v>1231</v>
      </c>
      <c r="C5203" s="1">
        <v>42359</v>
      </c>
      <c r="D5203" s="1">
        <v>42380</v>
      </c>
      <c r="E5203">
        <v>22</v>
      </c>
      <c r="F5203" t="s">
        <v>331</v>
      </c>
      <c r="G5203" t="s">
        <v>16</v>
      </c>
      <c r="H5203" t="s">
        <v>7195</v>
      </c>
      <c r="I5203">
        <v>3.9062000000000001</v>
      </c>
      <c r="J5203">
        <v>47956.01</v>
      </c>
      <c r="K5203">
        <v>12276.895704265015</v>
      </c>
    </row>
    <row r="5204" spans="1:11" x14ac:dyDescent="0.25">
      <c r="A5204" t="s">
        <v>489</v>
      </c>
      <c r="B5204" t="s">
        <v>1767</v>
      </c>
      <c r="C5204" s="1">
        <v>42399</v>
      </c>
      <c r="D5204" s="1">
        <v>42402</v>
      </c>
      <c r="E5204">
        <v>570</v>
      </c>
      <c r="F5204" t="s">
        <v>331</v>
      </c>
      <c r="G5204" t="s">
        <v>16</v>
      </c>
      <c r="H5204" t="s">
        <v>4019</v>
      </c>
      <c r="I5204">
        <v>4.0427999999999997</v>
      </c>
      <c r="J5204">
        <v>69276.77</v>
      </c>
      <c r="K5204">
        <v>17135.839022459681</v>
      </c>
    </row>
    <row r="5205" spans="1:11" x14ac:dyDescent="0.25">
      <c r="A5205" t="s">
        <v>489</v>
      </c>
      <c r="B5205" t="s">
        <v>1767</v>
      </c>
      <c r="C5205" s="1">
        <v>42399</v>
      </c>
      <c r="D5205" s="1">
        <v>42402</v>
      </c>
      <c r="E5205">
        <v>570</v>
      </c>
      <c r="F5205" t="s">
        <v>331</v>
      </c>
      <c r="G5205" t="s">
        <v>16</v>
      </c>
      <c r="H5205" t="s">
        <v>7196</v>
      </c>
      <c r="I5205">
        <v>4.0427999999999997</v>
      </c>
      <c r="J5205">
        <v>64860.22</v>
      </c>
      <c r="K5205">
        <v>16043.390719303454</v>
      </c>
    </row>
    <row r="5206" spans="1:11" x14ac:dyDescent="0.25">
      <c r="A5206" t="s">
        <v>7197</v>
      </c>
      <c r="B5206" t="s">
        <v>7198</v>
      </c>
      <c r="C5206" s="1">
        <v>42396</v>
      </c>
      <c r="D5206" s="1">
        <v>42404</v>
      </c>
      <c r="E5206">
        <v>2397</v>
      </c>
      <c r="F5206" t="s">
        <v>394</v>
      </c>
      <c r="G5206" t="s">
        <v>16</v>
      </c>
      <c r="H5206" t="s">
        <v>7199</v>
      </c>
      <c r="I5206">
        <v>4.0967000000000002</v>
      </c>
      <c r="J5206">
        <v>310939.53000000003</v>
      </c>
      <c r="K5206">
        <v>75900</v>
      </c>
    </row>
    <row r="5207" spans="1:11" x14ac:dyDescent="0.25">
      <c r="A5207" t="s">
        <v>410</v>
      </c>
      <c r="B5207" t="s">
        <v>1250</v>
      </c>
      <c r="C5207" s="1">
        <v>42423</v>
      </c>
      <c r="D5207" s="1">
        <v>42430</v>
      </c>
      <c r="E5207">
        <v>2108</v>
      </c>
      <c r="F5207" t="s">
        <v>409</v>
      </c>
      <c r="G5207" t="s">
        <v>16</v>
      </c>
      <c r="H5207" t="s">
        <v>4020</v>
      </c>
      <c r="I5207">
        <v>3.9618000000000002</v>
      </c>
      <c r="J5207">
        <v>48758.97</v>
      </c>
      <c r="K5207">
        <v>12307.276995305165</v>
      </c>
    </row>
    <row r="5208" spans="1:11" x14ac:dyDescent="0.25">
      <c r="A5208" t="s">
        <v>410</v>
      </c>
      <c r="B5208" t="s">
        <v>1250</v>
      </c>
      <c r="C5208" s="1">
        <v>42429</v>
      </c>
      <c r="D5208" s="1">
        <v>42434</v>
      </c>
      <c r="E5208">
        <v>2108</v>
      </c>
      <c r="F5208" t="s">
        <v>409</v>
      </c>
      <c r="G5208" t="s">
        <v>16</v>
      </c>
      <c r="H5208" t="s">
        <v>4021</v>
      </c>
      <c r="I5208">
        <v>3.9578000000000002</v>
      </c>
      <c r="J5208">
        <v>48758.97</v>
      </c>
      <c r="K5208">
        <v>12319.715498509273</v>
      </c>
    </row>
    <row r="5209" spans="1:11" x14ac:dyDescent="0.25">
      <c r="A5209" t="s">
        <v>410</v>
      </c>
      <c r="B5209" t="s">
        <v>1250</v>
      </c>
      <c r="C5209" s="1">
        <v>42429</v>
      </c>
      <c r="D5209" s="1">
        <v>42435</v>
      </c>
      <c r="E5209">
        <v>2108</v>
      </c>
      <c r="F5209" t="s">
        <v>409</v>
      </c>
      <c r="G5209" t="s">
        <v>16</v>
      </c>
      <c r="H5209" t="s">
        <v>7200</v>
      </c>
      <c r="I5209">
        <v>3.9578000000000002</v>
      </c>
      <c r="J5209">
        <v>40852.11</v>
      </c>
      <c r="K5209">
        <v>10321.92379604831</v>
      </c>
    </row>
    <row r="5210" spans="1:11" x14ac:dyDescent="0.25">
      <c r="A5210" t="s">
        <v>7201</v>
      </c>
      <c r="B5210" t="s">
        <v>7202</v>
      </c>
      <c r="C5210" s="1">
        <v>42411</v>
      </c>
      <c r="D5210" s="1">
        <v>42417</v>
      </c>
      <c r="E5210">
        <v>2357</v>
      </c>
      <c r="F5210" t="s">
        <v>370</v>
      </c>
      <c r="G5210" t="s">
        <v>16</v>
      </c>
      <c r="H5210" t="s">
        <v>7203</v>
      </c>
      <c r="I5210">
        <v>3.9411999999999998</v>
      </c>
      <c r="J5210">
        <v>95073.57</v>
      </c>
      <c r="K5210">
        <v>24123.000608951588</v>
      </c>
    </row>
    <row r="5211" spans="1:11" x14ac:dyDescent="0.25">
      <c r="A5211" t="s">
        <v>410</v>
      </c>
      <c r="B5211" t="s">
        <v>1250</v>
      </c>
      <c r="C5211" s="1">
        <v>42424</v>
      </c>
      <c r="D5211" s="1">
        <v>42438</v>
      </c>
      <c r="E5211">
        <v>2108</v>
      </c>
      <c r="F5211" t="s">
        <v>409</v>
      </c>
      <c r="G5211" t="s">
        <v>16</v>
      </c>
      <c r="H5211" t="s">
        <v>7204</v>
      </c>
      <c r="I5211">
        <v>3.9683999999999999</v>
      </c>
      <c r="J5211">
        <v>48758.97</v>
      </c>
      <c r="K5211">
        <v>12286.808285455096</v>
      </c>
    </row>
    <row r="5212" spans="1:11" x14ac:dyDescent="0.25">
      <c r="A5212" t="s">
        <v>4022</v>
      </c>
      <c r="B5212" t="s">
        <v>4023</v>
      </c>
      <c r="C5212" s="1">
        <v>42418</v>
      </c>
      <c r="D5212" s="1">
        <v>42426</v>
      </c>
      <c r="E5212">
        <v>677</v>
      </c>
      <c r="F5212" t="s">
        <v>1413</v>
      </c>
      <c r="G5212" t="s">
        <v>16</v>
      </c>
      <c r="H5212" t="s">
        <v>4024</v>
      </c>
      <c r="I5212">
        <v>4.0317999999999996</v>
      </c>
      <c r="J5212">
        <v>14149.51</v>
      </c>
      <c r="K5212">
        <v>3509.4771566049903</v>
      </c>
    </row>
    <row r="5213" spans="1:11" x14ac:dyDescent="0.25">
      <c r="A5213" t="s">
        <v>615</v>
      </c>
      <c r="B5213" t="s">
        <v>4025</v>
      </c>
      <c r="C5213" s="1">
        <v>42405</v>
      </c>
      <c r="D5213" s="1">
        <v>42418</v>
      </c>
      <c r="E5213">
        <v>1299</v>
      </c>
      <c r="F5213" t="s">
        <v>301</v>
      </c>
      <c r="G5213" t="s">
        <v>16</v>
      </c>
      <c r="H5213" t="s">
        <v>4026</v>
      </c>
      <c r="I5213">
        <v>3.8653</v>
      </c>
      <c r="J5213">
        <v>8863.02</v>
      </c>
      <c r="K5213">
        <v>2292.9707914004089</v>
      </c>
    </row>
    <row r="5214" spans="1:11" x14ac:dyDescent="0.25">
      <c r="A5214" t="s">
        <v>428</v>
      </c>
      <c r="B5214" t="s">
        <v>1231</v>
      </c>
      <c r="C5214" s="1">
        <v>42421</v>
      </c>
      <c r="D5214" s="1">
        <v>42425</v>
      </c>
      <c r="E5214">
        <v>22</v>
      </c>
      <c r="F5214" t="s">
        <v>331</v>
      </c>
      <c r="G5214" t="s">
        <v>16</v>
      </c>
      <c r="H5214" t="s">
        <v>4027</v>
      </c>
      <c r="I5214">
        <v>4.0491999999999999</v>
      </c>
      <c r="J5214">
        <v>46480.84</v>
      </c>
      <c r="K5214">
        <v>11479.018077644967</v>
      </c>
    </row>
    <row r="5215" spans="1:11" x14ac:dyDescent="0.25">
      <c r="A5215" t="s">
        <v>4028</v>
      </c>
      <c r="B5215" t="s">
        <v>4029</v>
      </c>
      <c r="C5215" s="1">
        <v>42418</v>
      </c>
      <c r="D5215" s="1">
        <v>42431</v>
      </c>
      <c r="E5215">
        <v>2705</v>
      </c>
      <c r="F5215" t="s">
        <v>1413</v>
      </c>
      <c r="G5215" t="s">
        <v>16</v>
      </c>
      <c r="H5215" t="s">
        <v>4030</v>
      </c>
      <c r="I5215">
        <v>4.0317999999999996</v>
      </c>
      <c r="J5215">
        <v>315612.73</v>
      </c>
      <c r="K5215">
        <v>78280.849744530977</v>
      </c>
    </row>
    <row r="5216" spans="1:11" x14ac:dyDescent="0.25">
      <c r="A5216" t="s">
        <v>620</v>
      </c>
      <c r="B5216" t="s">
        <v>4031</v>
      </c>
      <c r="C5216" s="1">
        <v>42423</v>
      </c>
      <c r="D5216" s="1">
        <v>42434</v>
      </c>
      <c r="E5216">
        <v>1439</v>
      </c>
      <c r="F5216" t="s">
        <v>331</v>
      </c>
      <c r="G5216" t="s">
        <v>16</v>
      </c>
      <c r="H5216" t="s">
        <v>4032</v>
      </c>
      <c r="I5216">
        <v>3.9618000000000002</v>
      </c>
      <c r="J5216">
        <v>54112.5</v>
      </c>
      <c r="K5216">
        <v>13658.564288959564</v>
      </c>
    </row>
    <row r="5217" spans="1:11" x14ac:dyDescent="0.25">
      <c r="A5217" t="s">
        <v>179</v>
      </c>
      <c r="B5217" t="s">
        <v>180</v>
      </c>
      <c r="C5217" s="1">
        <v>42398</v>
      </c>
      <c r="D5217" s="1">
        <v>42399</v>
      </c>
      <c r="E5217">
        <v>1</v>
      </c>
      <c r="F5217" t="s">
        <v>368</v>
      </c>
      <c r="G5217" t="s">
        <v>16</v>
      </c>
      <c r="H5217" t="s">
        <v>7205</v>
      </c>
      <c r="I5217">
        <v>4.0838000000000001</v>
      </c>
      <c r="J5217">
        <v>54129.65</v>
      </c>
      <c r="K5217">
        <v>13254.725990499044</v>
      </c>
    </row>
    <row r="5218" spans="1:11" x14ac:dyDescent="0.25">
      <c r="A5218" t="s">
        <v>179</v>
      </c>
      <c r="B5218" t="s">
        <v>180</v>
      </c>
      <c r="C5218" s="1">
        <v>42397</v>
      </c>
      <c r="D5218" s="1">
        <v>42401</v>
      </c>
      <c r="E5218">
        <v>1</v>
      </c>
      <c r="F5218" t="s">
        <v>368</v>
      </c>
      <c r="G5218" t="s">
        <v>16</v>
      </c>
      <c r="H5218" t="s">
        <v>4033</v>
      </c>
      <c r="I5218">
        <v>4.0448000000000004</v>
      </c>
      <c r="J5218">
        <v>71430.929999999993</v>
      </c>
      <c r="K5218">
        <v>17659.941159018988</v>
      </c>
    </row>
    <row r="5219" spans="1:11" x14ac:dyDescent="0.25">
      <c r="A5219" t="s">
        <v>179</v>
      </c>
      <c r="B5219" t="s">
        <v>180</v>
      </c>
      <c r="C5219" s="1">
        <v>42398</v>
      </c>
      <c r="D5219" s="1">
        <v>42401</v>
      </c>
      <c r="E5219">
        <v>1</v>
      </c>
      <c r="F5219" t="s">
        <v>368</v>
      </c>
      <c r="G5219" t="s">
        <v>16</v>
      </c>
      <c r="H5219" t="s">
        <v>4034</v>
      </c>
      <c r="I5219">
        <v>4.0838000000000001</v>
      </c>
      <c r="J5219">
        <v>73177.95</v>
      </c>
      <c r="K5219">
        <v>17919.082717077232</v>
      </c>
    </row>
    <row r="5220" spans="1:11" x14ac:dyDescent="0.25">
      <c r="A5220" t="s">
        <v>218</v>
      </c>
      <c r="B5220" t="s">
        <v>219</v>
      </c>
      <c r="C5220" s="1">
        <v>42423</v>
      </c>
      <c r="D5220" s="1">
        <v>42431</v>
      </c>
      <c r="E5220">
        <v>2</v>
      </c>
      <c r="F5220" t="s">
        <v>301</v>
      </c>
      <c r="G5220" t="s">
        <v>16</v>
      </c>
      <c r="H5220" t="s">
        <v>7206</v>
      </c>
      <c r="I5220">
        <v>3.9618000000000002</v>
      </c>
      <c r="J5220">
        <v>67230</v>
      </c>
      <c r="K5220">
        <v>16969.559291231257</v>
      </c>
    </row>
    <row r="5221" spans="1:11" x14ac:dyDescent="0.25">
      <c r="A5221" t="s">
        <v>179</v>
      </c>
      <c r="B5221" t="s">
        <v>180</v>
      </c>
      <c r="C5221" s="1">
        <v>42398</v>
      </c>
      <c r="D5221" s="1">
        <v>42402</v>
      </c>
      <c r="E5221">
        <v>1</v>
      </c>
      <c r="F5221" t="s">
        <v>368</v>
      </c>
      <c r="G5221" t="s">
        <v>16</v>
      </c>
      <c r="H5221" t="s">
        <v>7207</v>
      </c>
      <c r="I5221">
        <v>4.0838000000000001</v>
      </c>
      <c r="J5221">
        <v>73612.850000000006</v>
      </c>
      <c r="K5221">
        <v>18025.576668788872</v>
      </c>
    </row>
    <row r="5222" spans="1:11" x14ac:dyDescent="0.25">
      <c r="A5222" t="s">
        <v>410</v>
      </c>
      <c r="B5222" t="s">
        <v>1250</v>
      </c>
      <c r="C5222" s="1">
        <v>42426</v>
      </c>
      <c r="D5222" s="1">
        <v>42429</v>
      </c>
      <c r="E5222">
        <v>2108</v>
      </c>
      <c r="F5222" t="s">
        <v>409</v>
      </c>
      <c r="G5222" t="s">
        <v>16</v>
      </c>
      <c r="H5222" t="s">
        <v>4035</v>
      </c>
      <c r="I5222">
        <v>3.94</v>
      </c>
      <c r="J5222">
        <v>48758.97</v>
      </c>
      <c r="K5222">
        <v>12375.373096446701</v>
      </c>
    </row>
    <row r="5223" spans="1:11" x14ac:dyDescent="0.25">
      <c r="A5223" t="s">
        <v>1243</v>
      </c>
      <c r="B5223" t="s">
        <v>1244</v>
      </c>
      <c r="C5223" s="1">
        <v>42434</v>
      </c>
      <c r="D5223" s="1">
        <v>42436</v>
      </c>
      <c r="E5223">
        <v>2461</v>
      </c>
      <c r="F5223" t="s">
        <v>368</v>
      </c>
      <c r="G5223" t="s">
        <v>16</v>
      </c>
      <c r="H5223" t="s">
        <v>4036</v>
      </c>
      <c r="I5223">
        <v>3.7187999999999999</v>
      </c>
      <c r="J5223">
        <v>51783.68</v>
      </c>
      <c r="K5223">
        <v>13924.835968592019</v>
      </c>
    </row>
    <row r="5224" spans="1:11" x14ac:dyDescent="0.25">
      <c r="A5224" t="s">
        <v>1243</v>
      </c>
      <c r="B5224" t="s">
        <v>1244</v>
      </c>
      <c r="C5224" s="1">
        <v>42436</v>
      </c>
      <c r="D5224" s="1">
        <v>42437</v>
      </c>
      <c r="E5224">
        <v>2461</v>
      </c>
      <c r="F5224" t="s">
        <v>368</v>
      </c>
      <c r="G5224" t="s">
        <v>16</v>
      </c>
      <c r="H5224" t="s">
        <v>4037</v>
      </c>
      <c r="I5224">
        <v>3.7187999999999999</v>
      </c>
      <c r="J5224">
        <v>51523.05</v>
      </c>
      <c r="K5224">
        <v>13854.751532752502</v>
      </c>
    </row>
    <row r="5225" spans="1:11" x14ac:dyDescent="0.25">
      <c r="A5225" t="s">
        <v>620</v>
      </c>
      <c r="B5225" t="s">
        <v>4031</v>
      </c>
      <c r="C5225" s="1">
        <v>42422</v>
      </c>
      <c r="D5225" s="1">
        <v>42445</v>
      </c>
      <c r="E5225">
        <v>1439</v>
      </c>
      <c r="F5225" t="s">
        <v>331</v>
      </c>
      <c r="G5225" t="s">
        <v>16</v>
      </c>
      <c r="H5225" t="s">
        <v>7208</v>
      </c>
      <c r="I5225">
        <v>4.0491999999999999</v>
      </c>
      <c r="J5225">
        <v>54112.5</v>
      </c>
      <c r="K5225">
        <v>13363.75086436827</v>
      </c>
    </row>
    <row r="5226" spans="1:11" x14ac:dyDescent="0.25">
      <c r="A5226" t="s">
        <v>147</v>
      </c>
      <c r="B5226" t="s">
        <v>148</v>
      </c>
      <c r="C5226" s="1">
        <v>42458</v>
      </c>
      <c r="D5226" s="1">
        <v>42465</v>
      </c>
      <c r="E5226">
        <v>3</v>
      </c>
      <c r="F5226" t="s">
        <v>331</v>
      </c>
      <c r="G5226" t="s">
        <v>16</v>
      </c>
      <c r="H5226" t="s">
        <v>4038</v>
      </c>
      <c r="I5226">
        <v>3.6408</v>
      </c>
      <c r="J5226">
        <v>60138</v>
      </c>
      <c r="K5226">
        <v>16517.798286090969</v>
      </c>
    </row>
    <row r="5227" spans="1:11" x14ac:dyDescent="0.25">
      <c r="A5227" t="s">
        <v>147</v>
      </c>
      <c r="B5227" t="s">
        <v>148</v>
      </c>
      <c r="C5227" s="1">
        <v>42451</v>
      </c>
      <c r="D5227" s="1">
        <v>42458</v>
      </c>
      <c r="E5227">
        <v>3</v>
      </c>
      <c r="F5227" t="s">
        <v>331</v>
      </c>
      <c r="G5227" t="s">
        <v>16</v>
      </c>
      <c r="H5227" t="s">
        <v>7209</v>
      </c>
      <c r="I5227">
        <v>3.6229</v>
      </c>
      <c r="J5227">
        <v>70902</v>
      </c>
      <c r="K5227">
        <v>19570.50981258108</v>
      </c>
    </row>
    <row r="5228" spans="1:11" x14ac:dyDescent="0.25">
      <c r="A5228" t="s">
        <v>429</v>
      </c>
      <c r="B5228" t="s">
        <v>1216</v>
      </c>
      <c r="C5228" s="1">
        <v>42311</v>
      </c>
      <c r="D5228" s="1">
        <v>42332</v>
      </c>
      <c r="E5228">
        <v>5</v>
      </c>
      <c r="F5228" t="s">
        <v>675</v>
      </c>
      <c r="G5228" t="s">
        <v>16</v>
      </c>
      <c r="H5228" t="s">
        <v>4039</v>
      </c>
      <c r="I5228">
        <v>3.8589000000000002</v>
      </c>
      <c r="J5228">
        <v>896593</v>
      </c>
      <c r="K5228">
        <v>232344.19134986654</v>
      </c>
    </row>
    <row r="5229" spans="1:11" x14ac:dyDescent="0.25">
      <c r="A5229" t="s">
        <v>224</v>
      </c>
      <c r="B5229" t="s">
        <v>225</v>
      </c>
      <c r="C5229" s="1">
        <v>42452</v>
      </c>
      <c r="D5229" s="1">
        <v>42459</v>
      </c>
      <c r="E5229">
        <v>2</v>
      </c>
      <c r="F5229" t="s">
        <v>331</v>
      </c>
      <c r="G5229" t="s">
        <v>16</v>
      </c>
      <c r="H5229" t="s">
        <v>7210</v>
      </c>
      <c r="I5229">
        <v>3.6073</v>
      </c>
      <c r="J5229">
        <v>77099.100000000006</v>
      </c>
      <c r="K5229">
        <v>21373.076816455519</v>
      </c>
    </row>
    <row r="5230" spans="1:11" x14ac:dyDescent="0.25">
      <c r="A5230" t="s">
        <v>224</v>
      </c>
      <c r="B5230" t="s">
        <v>225</v>
      </c>
      <c r="C5230" s="1">
        <v>42452</v>
      </c>
      <c r="D5230" s="1">
        <v>42461</v>
      </c>
      <c r="E5230">
        <v>2</v>
      </c>
      <c r="F5230" t="s">
        <v>331</v>
      </c>
      <c r="G5230" t="s">
        <v>16</v>
      </c>
      <c r="H5230" t="s">
        <v>7211</v>
      </c>
      <c r="I5230">
        <v>3.6073</v>
      </c>
      <c r="J5230">
        <v>75900.240000000005</v>
      </c>
      <c r="K5230">
        <v>21040.734067030742</v>
      </c>
    </row>
    <row r="5231" spans="1:11" x14ac:dyDescent="0.25">
      <c r="A5231" t="s">
        <v>179</v>
      </c>
      <c r="B5231" t="s">
        <v>180</v>
      </c>
      <c r="C5231" s="1">
        <v>42453</v>
      </c>
      <c r="D5231" s="1">
        <v>42459</v>
      </c>
      <c r="E5231">
        <v>1</v>
      </c>
      <c r="F5231" t="s">
        <v>368</v>
      </c>
      <c r="G5231" t="s">
        <v>16</v>
      </c>
      <c r="H5231" t="s">
        <v>7212</v>
      </c>
      <c r="I5231">
        <v>3.6530999999999998</v>
      </c>
      <c r="J5231">
        <v>47927.66</v>
      </c>
      <c r="K5231">
        <v>13119.722975007528</v>
      </c>
    </row>
    <row r="5232" spans="1:11" x14ac:dyDescent="0.25">
      <c r="A5232" t="s">
        <v>147</v>
      </c>
      <c r="B5232" t="s">
        <v>148</v>
      </c>
      <c r="C5232" s="1">
        <v>42453</v>
      </c>
      <c r="D5232" s="1">
        <v>42459</v>
      </c>
      <c r="E5232">
        <v>3</v>
      </c>
      <c r="F5232" t="s">
        <v>331</v>
      </c>
      <c r="G5232" t="s">
        <v>16</v>
      </c>
      <c r="H5232" t="s">
        <v>4040</v>
      </c>
      <c r="I5232">
        <v>3.6530999999999998</v>
      </c>
      <c r="J5232">
        <v>94809</v>
      </c>
      <c r="K5232">
        <v>25953.026196928637</v>
      </c>
    </row>
    <row r="5233" spans="1:11" x14ac:dyDescent="0.25">
      <c r="A5233" t="s">
        <v>147</v>
      </c>
      <c r="B5233" t="s">
        <v>148</v>
      </c>
      <c r="C5233" s="1">
        <v>42453</v>
      </c>
      <c r="D5233" s="1">
        <v>42459</v>
      </c>
      <c r="E5233">
        <v>3</v>
      </c>
      <c r="F5233" t="s">
        <v>331</v>
      </c>
      <c r="G5233" t="s">
        <v>16</v>
      </c>
      <c r="H5233" t="s">
        <v>4041</v>
      </c>
      <c r="I5233">
        <v>3.6530999999999998</v>
      </c>
      <c r="J5233">
        <v>91962</v>
      </c>
      <c r="K5233">
        <v>25173.688100517367</v>
      </c>
    </row>
    <row r="5234" spans="1:11" x14ac:dyDescent="0.25">
      <c r="A5234" t="s">
        <v>179</v>
      </c>
      <c r="B5234" t="s">
        <v>180</v>
      </c>
      <c r="C5234" s="1">
        <v>42453</v>
      </c>
      <c r="D5234" s="1">
        <v>42457</v>
      </c>
      <c r="E5234">
        <v>1</v>
      </c>
      <c r="F5234" t="s">
        <v>368</v>
      </c>
      <c r="G5234" t="s">
        <v>16</v>
      </c>
      <c r="H5234" t="s">
        <v>4042</v>
      </c>
      <c r="I5234">
        <v>3.6530999999999998</v>
      </c>
      <c r="J5234">
        <v>48199.97</v>
      </c>
      <c r="K5234">
        <v>13194.265144671648</v>
      </c>
    </row>
    <row r="5235" spans="1:11" x14ac:dyDescent="0.25">
      <c r="A5235" t="s">
        <v>147</v>
      </c>
      <c r="B5235" t="s">
        <v>148</v>
      </c>
      <c r="C5235" s="1">
        <v>42451</v>
      </c>
      <c r="D5235" s="1">
        <v>42457</v>
      </c>
      <c r="E5235">
        <v>3</v>
      </c>
      <c r="F5235" t="s">
        <v>331</v>
      </c>
      <c r="G5235" t="s">
        <v>16</v>
      </c>
      <c r="H5235" t="s">
        <v>7213</v>
      </c>
      <c r="I5235">
        <v>3.6229</v>
      </c>
      <c r="J5235">
        <v>67977</v>
      </c>
      <c r="K5235">
        <v>18763.145546385491</v>
      </c>
    </row>
    <row r="5236" spans="1:11" x14ac:dyDescent="0.25">
      <c r="A5236" t="s">
        <v>1265</v>
      </c>
      <c r="B5236" t="s">
        <v>1266</v>
      </c>
      <c r="C5236" s="1">
        <v>42467</v>
      </c>
      <c r="D5236" s="1">
        <v>42472</v>
      </c>
      <c r="E5236">
        <v>4070</v>
      </c>
      <c r="F5236" t="s">
        <v>331</v>
      </c>
      <c r="G5236" t="s">
        <v>16</v>
      </c>
      <c r="H5236" t="s">
        <v>7214</v>
      </c>
      <c r="I5236">
        <v>3.6749000000000001</v>
      </c>
      <c r="J5236">
        <v>43790.11</v>
      </c>
      <c r="K5236">
        <v>11916.000435385997</v>
      </c>
    </row>
    <row r="5237" spans="1:11" x14ac:dyDescent="0.25">
      <c r="A5237" t="s">
        <v>488</v>
      </c>
      <c r="B5237" t="s">
        <v>1283</v>
      </c>
      <c r="C5237" s="1">
        <v>42430</v>
      </c>
      <c r="D5237" s="1">
        <v>42444</v>
      </c>
      <c r="E5237">
        <v>530</v>
      </c>
      <c r="F5237" t="s">
        <v>409</v>
      </c>
      <c r="G5237" t="s">
        <v>16</v>
      </c>
      <c r="H5237" t="s">
        <v>4043</v>
      </c>
      <c r="I5237">
        <v>3.9796</v>
      </c>
      <c r="J5237">
        <v>67704</v>
      </c>
      <c r="K5237">
        <v>17012.765102020305</v>
      </c>
    </row>
    <row r="5238" spans="1:11" x14ac:dyDescent="0.25">
      <c r="A5238" t="s">
        <v>104</v>
      </c>
      <c r="B5238" t="s">
        <v>105</v>
      </c>
      <c r="C5238" s="1">
        <v>42458</v>
      </c>
      <c r="D5238" s="1">
        <v>42465</v>
      </c>
      <c r="E5238">
        <v>3</v>
      </c>
      <c r="F5238" t="s">
        <v>331</v>
      </c>
      <c r="G5238" t="s">
        <v>16</v>
      </c>
      <c r="H5238" t="s">
        <v>7215</v>
      </c>
      <c r="I5238">
        <v>3.6408</v>
      </c>
      <c r="J5238">
        <v>73777.47</v>
      </c>
      <c r="K5238">
        <v>20264.082069874752</v>
      </c>
    </row>
    <row r="5239" spans="1:11" x14ac:dyDescent="0.25">
      <c r="A5239" t="s">
        <v>1269</v>
      </c>
      <c r="B5239" t="s">
        <v>1270</v>
      </c>
      <c r="C5239" s="1">
        <v>42408</v>
      </c>
      <c r="D5239" s="1">
        <v>42462</v>
      </c>
      <c r="E5239">
        <v>3859</v>
      </c>
      <c r="F5239" t="s">
        <v>675</v>
      </c>
      <c r="G5239" t="s">
        <v>16</v>
      </c>
      <c r="H5239" t="s">
        <v>3613</v>
      </c>
      <c r="I5239">
        <v>3.8975</v>
      </c>
      <c r="J5239">
        <v>107484</v>
      </c>
      <c r="K5239">
        <v>27577.677998717125</v>
      </c>
    </row>
    <row r="5240" spans="1:11" x14ac:dyDescent="0.25">
      <c r="A5240" t="s">
        <v>128</v>
      </c>
      <c r="B5240" t="s">
        <v>129</v>
      </c>
      <c r="C5240" s="1">
        <v>42452</v>
      </c>
      <c r="D5240" s="1">
        <v>42464</v>
      </c>
      <c r="E5240">
        <v>2</v>
      </c>
      <c r="F5240" t="s">
        <v>331</v>
      </c>
      <c r="G5240" t="s">
        <v>16</v>
      </c>
      <c r="H5240" t="s">
        <v>4044</v>
      </c>
      <c r="I5240">
        <v>3.6073</v>
      </c>
      <c r="J5240">
        <v>100001.46</v>
      </c>
      <c r="K5240">
        <v>27721.969339949548</v>
      </c>
    </row>
    <row r="5241" spans="1:11" x14ac:dyDescent="0.25">
      <c r="A5241" t="s">
        <v>620</v>
      </c>
      <c r="B5241" t="s">
        <v>4031</v>
      </c>
      <c r="C5241" s="1">
        <v>42423</v>
      </c>
      <c r="D5241" s="1">
        <v>42440</v>
      </c>
      <c r="E5241">
        <v>1439</v>
      </c>
      <c r="F5241" t="s">
        <v>331</v>
      </c>
      <c r="G5241" t="s">
        <v>16</v>
      </c>
      <c r="H5241" t="s">
        <v>4045</v>
      </c>
      <c r="I5241">
        <v>3.9618000000000002</v>
      </c>
      <c r="J5241">
        <v>54112.5</v>
      </c>
      <c r="K5241">
        <v>13658.564288959564</v>
      </c>
    </row>
    <row r="5242" spans="1:11" x14ac:dyDescent="0.25">
      <c r="A5242" t="s">
        <v>1243</v>
      </c>
      <c r="B5242" t="s">
        <v>1244</v>
      </c>
      <c r="C5242" s="1">
        <v>42440</v>
      </c>
      <c r="D5242" s="1">
        <v>42444</v>
      </c>
      <c r="E5242">
        <v>2461</v>
      </c>
      <c r="F5242" t="s">
        <v>368</v>
      </c>
      <c r="G5242" t="s">
        <v>16</v>
      </c>
      <c r="H5242" t="s">
        <v>4046</v>
      </c>
      <c r="I5242">
        <v>3.67</v>
      </c>
      <c r="J5242">
        <v>54490.31</v>
      </c>
      <c r="K5242">
        <v>14847.49591280654</v>
      </c>
    </row>
    <row r="5243" spans="1:11" x14ac:dyDescent="0.25">
      <c r="A5243" t="s">
        <v>1243</v>
      </c>
      <c r="B5243" t="s">
        <v>1244</v>
      </c>
      <c r="C5243" s="1">
        <v>42443</v>
      </c>
      <c r="D5243" s="1">
        <v>42445</v>
      </c>
      <c r="E5243">
        <v>2461</v>
      </c>
      <c r="F5243" t="s">
        <v>368</v>
      </c>
      <c r="G5243" t="s">
        <v>16</v>
      </c>
      <c r="H5243" t="s">
        <v>6671</v>
      </c>
      <c r="I5243">
        <v>3.6271</v>
      </c>
      <c r="J5243">
        <v>41059.839999999997</v>
      </c>
      <c r="K5243">
        <v>11320.29445011166</v>
      </c>
    </row>
    <row r="5244" spans="1:11" x14ac:dyDescent="0.25">
      <c r="A5244" t="s">
        <v>7216</v>
      </c>
      <c r="B5244" t="s">
        <v>7217</v>
      </c>
      <c r="C5244" s="1">
        <v>42445</v>
      </c>
      <c r="D5244" s="1">
        <v>42448</v>
      </c>
      <c r="E5244">
        <v>3513</v>
      </c>
      <c r="F5244" t="s">
        <v>278</v>
      </c>
      <c r="G5244" t="s">
        <v>16</v>
      </c>
      <c r="H5244" t="s">
        <v>7218</v>
      </c>
      <c r="I5244">
        <v>3.7115999999999998</v>
      </c>
      <c r="J5244">
        <v>81840.78</v>
      </c>
      <c r="K5244">
        <v>22050</v>
      </c>
    </row>
    <row r="5245" spans="1:11" x14ac:dyDescent="0.25">
      <c r="A5245" t="s">
        <v>104</v>
      </c>
      <c r="B5245" t="s">
        <v>105</v>
      </c>
      <c r="C5245" s="1">
        <v>42453</v>
      </c>
      <c r="D5245" s="1">
        <v>42460</v>
      </c>
      <c r="E5245">
        <v>3</v>
      </c>
      <c r="F5245" t="s">
        <v>331</v>
      </c>
      <c r="G5245" t="s">
        <v>16</v>
      </c>
      <c r="H5245" t="s">
        <v>7219</v>
      </c>
      <c r="I5245">
        <v>3.6530999999999998</v>
      </c>
      <c r="J5245">
        <v>74959.17</v>
      </c>
      <c r="K5245">
        <v>20519.331526648599</v>
      </c>
    </row>
    <row r="5246" spans="1:11" x14ac:dyDescent="0.25">
      <c r="A5246" t="s">
        <v>147</v>
      </c>
      <c r="B5246" t="s">
        <v>148</v>
      </c>
      <c r="C5246" s="1">
        <v>42455</v>
      </c>
      <c r="D5246" s="1">
        <v>42461</v>
      </c>
      <c r="E5246">
        <v>3</v>
      </c>
      <c r="F5246" t="s">
        <v>331</v>
      </c>
      <c r="G5246" t="s">
        <v>16</v>
      </c>
      <c r="H5246" t="s">
        <v>7220</v>
      </c>
      <c r="I5246">
        <v>3.6947999999999999</v>
      </c>
      <c r="J5246">
        <v>48321</v>
      </c>
      <c r="K5246">
        <v>13078.109775901266</v>
      </c>
    </row>
    <row r="5247" spans="1:11" x14ac:dyDescent="0.25">
      <c r="A5247" t="s">
        <v>147</v>
      </c>
      <c r="B5247" t="s">
        <v>148</v>
      </c>
      <c r="C5247" s="1">
        <v>42457</v>
      </c>
      <c r="D5247" s="1">
        <v>42461</v>
      </c>
      <c r="E5247">
        <v>3</v>
      </c>
      <c r="F5247" t="s">
        <v>331</v>
      </c>
      <c r="G5247" t="s">
        <v>16</v>
      </c>
      <c r="H5247" t="s">
        <v>4047</v>
      </c>
      <c r="I5247">
        <v>3.6947999999999999</v>
      </c>
      <c r="J5247">
        <v>74022</v>
      </c>
      <c r="K5247">
        <v>20034.101981162716</v>
      </c>
    </row>
    <row r="5248" spans="1:11" x14ac:dyDescent="0.25">
      <c r="A5248" t="s">
        <v>147</v>
      </c>
      <c r="B5248" t="s">
        <v>148</v>
      </c>
      <c r="C5248" s="1">
        <v>42458</v>
      </c>
      <c r="D5248" s="1">
        <v>42461</v>
      </c>
      <c r="E5248">
        <v>3</v>
      </c>
      <c r="F5248" t="s">
        <v>331</v>
      </c>
      <c r="G5248" t="s">
        <v>16</v>
      </c>
      <c r="H5248" t="s">
        <v>4048</v>
      </c>
      <c r="I5248">
        <v>3.6408</v>
      </c>
      <c r="J5248">
        <v>71292</v>
      </c>
      <c r="K5248">
        <v>19581.410678971653</v>
      </c>
    </row>
    <row r="5249" spans="1:11" x14ac:dyDescent="0.25">
      <c r="A5249" t="s">
        <v>147</v>
      </c>
      <c r="B5249" t="s">
        <v>148</v>
      </c>
      <c r="C5249" s="1">
        <v>42457</v>
      </c>
      <c r="D5249" s="1">
        <v>42462</v>
      </c>
      <c r="E5249">
        <v>3</v>
      </c>
      <c r="F5249" t="s">
        <v>331</v>
      </c>
      <c r="G5249" t="s">
        <v>16</v>
      </c>
      <c r="H5249" t="s">
        <v>7221</v>
      </c>
      <c r="I5249">
        <v>3.6947999999999999</v>
      </c>
      <c r="J5249">
        <v>94770</v>
      </c>
      <c r="K5249">
        <v>25649.56154595648</v>
      </c>
    </row>
    <row r="5250" spans="1:11" x14ac:dyDescent="0.25">
      <c r="A5250" t="s">
        <v>147</v>
      </c>
      <c r="B5250" t="s">
        <v>148</v>
      </c>
      <c r="C5250" s="1">
        <v>42458</v>
      </c>
      <c r="D5250" s="1">
        <v>42464</v>
      </c>
      <c r="E5250">
        <v>3</v>
      </c>
      <c r="F5250" t="s">
        <v>331</v>
      </c>
      <c r="G5250" t="s">
        <v>16</v>
      </c>
      <c r="H5250" t="s">
        <v>7222</v>
      </c>
      <c r="I5250">
        <v>3.6408</v>
      </c>
      <c r="J5250">
        <v>90870</v>
      </c>
      <c r="K5250">
        <v>24958.800263678313</v>
      </c>
    </row>
    <row r="5251" spans="1:11" x14ac:dyDescent="0.25">
      <c r="A5251" t="s">
        <v>128</v>
      </c>
      <c r="B5251" t="s">
        <v>129</v>
      </c>
      <c r="C5251" s="1">
        <v>42452</v>
      </c>
      <c r="D5251" s="1">
        <v>42460</v>
      </c>
      <c r="E5251">
        <v>2</v>
      </c>
      <c r="F5251" t="s">
        <v>331</v>
      </c>
      <c r="G5251" t="s">
        <v>16</v>
      </c>
      <c r="H5251" t="s">
        <v>7223</v>
      </c>
      <c r="I5251">
        <v>3.6073</v>
      </c>
      <c r="J5251">
        <v>72489.69</v>
      </c>
      <c r="K5251">
        <v>20095.276245391291</v>
      </c>
    </row>
    <row r="5252" spans="1:11" x14ac:dyDescent="0.25">
      <c r="A5252" t="s">
        <v>6079</v>
      </c>
      <c r="B5252" t="s">
        <v>6080</v>
      </c>
      <c r="C5252" s="1">
        <v>42440</v>
      </c>
      <c r="D5252" s="1">
        <v>42453</v>
      </c>
      <c r="E5252">
        <v>81</v>
      </c>
      <c r="F5252" t="s">
        <v>368</v>
      </c>
      <c r="G5252" t="s">
        <v>16</v>
      </c>
      <c r="H5252" t="s">
        <v>7224</v>
      </c>
      <c r="I5252">
        <v>3.67</v>
      </c>
      <c r="J5252">
        <v>51798.29</v>
      </c>
      <c r="K5252">
        <v>14113.975476839238</v>
      </c>
    </row>
    <row r="5253" spans="1:11" x14ac:dyDescent="0.25">
      <c r="A5253" t="s">
        <v>147</v>
      </c>
      <c r="B5253" t="s">
        <v>148</v>
      </c>
      <c r="C5253" s="1">
        <v>42452</v>
      </c>
      <c r="D5253" s="1">
        <v>42460</v>
      </c>
      <c r="E5253">
        <v>3</v>
      </c>
      <c r="F5253" t="s">
        <v>331</v>
      </c>
      <c r="G5253" t="s">
        <v>16</v>
      </c>
      <c r="H5253" t="s">
        <v>4049</v>
      </c>
      <c r="I5253">
        <v>3.6073</v>
      </c>
      <c r="J5253">
        <v>72072</v>
      </c>
      <c r="K5253">
        <v>19979.48604219222</v>
      </c>
    </row>
    <row r="5254" spans="1:11" x14ac:dyDescent="0.25">
      <c r="A5254" t="s">
        <v>147</v>
      </c>
      <c r="B5254" t="s">
        <v>148</v>
      </c>
      <c r="C5254" s="1">
        <v>42452</v>
      </c>
      <c r="D5254" s="1">
        <v>42460</v>
      </c>
      <c r="E5254">
        <v>3</v>
      </c>
      <c r="F5254" t="s">
        <v>331</v>
      </c>
      <c r="G5254" t="s">
        <v>16</v>
      </c>
      <c r="H5254" t="s">
        <v>7225</v>
      </c>
      <c r="I5254">
        <v>3.6073</v>
      </c>
      <c r="J5254">
        <v>71916</v>
      </c>
      <c r="K5254">
        <v>19936.240401408257</v>
      </c>
    </row>
    <row r="5255" spans="1:11" x14ac:dyDescent="0.25">
      <c r="A5255" t="s">
        <v>179</v>
      </c>
      <c r="B5255" t="s">
        <v>180</v>
      </c>
      <c r="C5255" s="1">
        <v>42453</v>
      </c>
      <c r="D5255" s="1">
        <v>42460</v>
      </c>
      <c r="E5255">
        <v>1</v>
      </c>
      <c r="F5255" t="s">
        <v>368</v>
      </c>
      <c r="G5255" t="s">
        <v>16</v>
      </c>
      <c r="H5255" t="s">
        <v>7226</v>
      </c>
      <c r="I5255">
        <v>3.6530999999999998</v>
      </c>
      <c r="J5255">
        <v>47733.15</v>
      </c>
      <c r="K5255">
        <v>13066.47778598998</v>
      </c>
    </row>
    <row r="5256" spans="1:11" x14ac:dyDescent="0.25">
      <c r="A5256" t="s">
        <v>147</v>
      </c>
      <c r="B5256" t="s">
        <v>148</v>
      </c>
      <c r="C5256" s="1">
        <v>42452</v>
      </c>
      <c r="D5256" s="1">
        <v>42460</v>
      </c>
      <c r="E5256">
        <v>3</v>
      </c>
      <c r="F5256" t="s">
        <v>331</v>
      </c>
      <c r="G5256" t="s">
        <v>16</v>
      </c>
      <c r="H5256" t="s">
        <v>7227</v>
      </c>
      <c r="I5256">
        <v>3.6073</v>
      </c>
      <c r="J5256">
        <v>89271</v>
      </c>
      <c r="K5256">
        <v>24747.317938624456</v>
      </c>
    </row>
    <row r="5257" spans="1:11" x14ac:dyDescent="0.25">
      <c r="A5257" t="s">
        <v>147</v>
      </c>
      <c r="B5257" t="s">
        <v>148</v>
      </c>
      <c r="C5257" s="1">
        <v>42452</v>
      </c>
      <c r="D5257" s="1">
        <v>42460</v>
      </c>
      <c r="E5257">
        <v>3</v>
      </c>
      <c r="F5257" t="s">
        <v>331</v>
      </c>
      <c r="G5257" t="s">
        <v>16</v>
      </c>
      <c r="H5257" t="s">
        <v>7228</v>
      </c>
      <c r="I5257">
        <v>3.6073</v>
      </c>
      <c r="J5257">
        <v>92742</v>
      </c>
      <c r="K5257">
        <v>25709.533446067697</v>
      </c>
    </row>
    <row r="5258" spans="1:11" x14ac:dyDescent="0.25">
      <c r="A5258" t="s">
        <v>530</v>
      </c>
      <c r="B5258" t="s">
        <v>529</v>
      </c>
      <c r="C5258" s="1">
        <v>42419</v>
      </c>
      <c r="D5258" s="1">
        <v>42457</v>
      </c>
      <c r="E5258">
        <v>264</v>
      </c>
      <c r="F5258" t="s">
        <v>301</v>
      </c>
      <c r="G5258" t="s">
        <v>16</v>
      </c>
      <c r="H5258" t="s">
        <v>7229</v>
      </c>
      <c r="I5258">
        <v>4.0091000000000001</v>
      </c>
      <c r="J5258">
        <v>9459.99</v>
      </c>
      <c r="K5258">
        <v>2359.6293432441198</v>
      </c>
    </row>
    <row r="5259" spans="1:11" x14ac:dyDescent="0.25">
      <c r="A5259" t="s">
        <v>1265</v>
      </c>
      <c r="B5259" t="s">
        <v>1266</v>
      </c>
      <c r="C5259" s="1">
        <v>42467</v>
      </c>
      <c r="D5259" s="1">
        <v>42473</v>
      </c>
      <c r="E5259">
        <v>4070</v>
      </c>
      <c r="F5259" t="s">
        <v>331</v>
      </c>
      <c r="G5259" t="s">
        <v>16</v>
      </c>
      <c r="H5259" t="s">
        <v>4050</v>
      </c>
      <c r="I5259">
        <v>3.6749000000000001</v>
      </c>
      <c r="J5259">
        <v>55619.61</v>
      </c>
      <c r="K5259">
        <v>15134.999591825628</v>
      </c>
    </row>
    <row r="5260" spans="1:11" x14ac:dyDescent="0.25">
      <c r="A5260" t="s">
        <v>431</v>
      </c>
      <c r="B5260" t="s">
        <v>6071</v>
      </c>
      <c r="C5260" s="1">
        <v>42471</v>
      </c>
      <c r="D5260" s="1">
        <v>42473</v>
      </c>
      <c r="E5260">
        <v>4071</v>
      </c>
      <c r="F5260" t="s">
        <v>368</v>
      </c>
      <c r="G5260" t="s">
        <v>16</v>
      </c>
      <c r="H5260" t="s">
        <v>6918</v>
      </c>
      <c r="I5260">
        <v>3.6385000000000001</v>
      </c>
      <c r="J5260">
        <v>48133.39</v>
      </c>
      <c r="K5260">
        <v>13228.910265219183</v>
      </c>
    </row>
    <row r="5261" spans="1:11" x14ac:dyDescent="0.25">
      <c r="A5261" t="s">
        <v>4051</v>
      </c>
      <c r="B5261" t="s">
        <v>1105</v>
      </c>
      <c r="C5261" s="1">
        <v>42487</v>
      </c>
      <c r="D5261" s="1">
        <v>42492</v>
      </c>
      <c r="E5261">
        <v>4405</v>
      </c>
      <c r="F5261" t="s">
        <v>311</v>
      </c>
      <c r="G5261" t="s">
        <v>16</v>
      </c>
      <c r="H5261" t="s">
        <v>4052</v>
      </c>
      <c r="I5261">
        <v>3.5301</v>
      </c>
      <c r="J5261">
        <v>84352.66</v>
      </c>
      <c r="K5261">
        <v>23895.260757485623</v>
      </c>
    </row>
    <row r="5262" spans="1:11" x14ac:dyDescent="0.25">
      <c r="A5262" t="s">
        <v>270</v>
      </c>
      <c r="B5262" t="s">
        <v>271</v>
      </c>
      <c r="C5262" s="1">
        <v>42515</v>
      </c>
      <c r="D5262" s="1">
        <v>42516</v>
      </c>
      <c r="E5262">
        <v>3</v>
      </c>
      <c r="F5262" t="s">
        <v>368</v>
      </c>
      <c r="G5262" t="s">
        <v>16</v>
      </c>
      <c r="H5262" t="s">
        <v>4053</v>
      </c>
      <c r="I5262">
        <v>3.5491000000000001</v>
      </c>
      <c r="J5262">
        <v>35360.239999999998</v>
      </c>
      <c r="K5262">
        <v>9963.156856667887</v>
      </c>
    </row>
    <row r="5263" spans="1:11" x14ac:dyDescent="0.25">
      <c r="A5263" t="s">
        <v>270</v>
      </c>
      <c r="B5263" t="s">
        <v>271</v>
      </c>
      <c r="C5263" s="1">
        <v>42515</v>
      </c>
      <c r="D5263" s="1">
        <v>42516</v>
      </c>
      <c r="E5263">
        <v>3</v>
      </c>
      <c r="F5263" t="s">
        <v>368</v>
      </c>
      <c r="G5263" t="s">
        <v>16</v>
      </c>
      <c r="H5263" t="s">
        <v>4054</v>
      </c>
      <c r="I5263">
        <v>3.5491000000000001</v>
      </c>
      <c r="J5263">
        <v>34532.660000000003</v>
      </c>
      <c r="K5263">
        <v>9729.9766137894112</v>
      </c>
    </row>
    <row r="5264" spans="1:11" x14ac:dyDescent="0.25">
      <c r="A5264" t="s">
        <v>270</v>
      </c>
      <c r="B5264" t="s">
        <v>271</v>
      </c>
      <c r="C5264" s="1">
        <v>42513</v>
      </c>
      <c r="D5264" s="1">
        <v>42516</v>
      </c>
      <c r="E5264">
        <v>3</v>
      </c>
      <c r="F5264" t="s">
        <v>368</v>
      </c>
      <c r="G5264" t="s">
        <v>16</v>
      </c>
      <c r="H5264" t="s">
        <v>4055</v>
      </c>
      <c r="I5264">
        <v>3.5419</v>
      </c>
      <c r="J5264">
        <v>46494.48</v>
      </c>
      <c r="K5264">
        <v>13126.988339591744</v>
      </c>
    </row>
    <row r="5265" spans="1:11" x14ac:dyDescent="0.25">
      <c r="A5265" t="s">
        <v>270</v>
      </c>
      <c r="B5265" t="s">
        <v>271</v>
      </c>
      <c r="C5265" s="1">
        <v>42514</v>
      </c>
      <c r="D5265" s="1">
        <v>42516</v>
      </c>
      <c r="E5265">
        <v>3</v>
      </c>
      <c r="F5265" t="s">
        <v>368</v>
      </c>
      <c r="G5265" t="s">
        <v>16</v>
      </c>
      <c r="H5265" t="s">
        <v>7230</v>
      </c>
      <c r="I5265">
        <v>3.5659999999999998</v>
      </c>
      <c r="J5265">
        <v>48105.39</v>
      </c>
      <c r="K5265">
        <v>13490.014021312394</v>
      </c>
    </row>
    <row r="5266" spans="1:11" x14ac:dyDescent="0.25">
      <c r="A5266" t="s">
        <v>270</v>
      </c>
      <c r="B5266" t="s">
        <v>271</v>
      </c>
      <c r="C5266" s="1">
        <v>42515</v>
      </c>
      <c r="D5266" s="1">
        <v>42516</v>
      </c>
      <c r="E5266">
        <v>3</v>
      </c>
      <c r="F5266" t="s">
        <v>368</v>
      </c>
      <c r="G5266" t="s">
        <v>16</v>
      </c>
      <c r="H5266" t="s">
        <v>7231</v>
      </c>
      <c r="I5266">
        <v>3.5491000000000001</v>
      </c>
      <c r="J5266">
        <v>46993.39</v>
      </c>
      <c r="K5266">
        <v>13240.931503761518</v>
      </c>
    </row>
    <row r="5267" spans="1:11" x14ac:dyDescent="0.25">
      <c r="A5267" t="s">
        <v>270</v>
      </c>
      <c r="B5267" t="s">
        <v>271</v>
      </c>
      <c r="C5267" s="1">
        <v>42520</v>
      </c>
      <c r="D5267" s="1">
        <v>42521</v>
      </c>
      <c r="E5267">
        <v>3</v>
      </c>
      <c r="F5267" t="s">
        <v>368</v>
      </c>
      <c r="G5267" t="s">
        <v>16</v>
      </c>
      <c r="H5267" t="s">
        <v>7232</v>
      </c>
      <c r="I5267">
        <v>3.6168</v>
      </c>
      <c r="J5267">
        <v>48627.82</v>
      </c>
      <c r="K5267">
        <v>13444.984516699846</v>
      </c>
    </row>
    <row r="5268" spans="1:11" x14ac:dyDescent="0.25">
      <c r="A5268" t="s">
        <v>90</v>
      </c>
      <c r="B5268" t="s">
        <v>91</v>
      </c>
      <c r="C5268" s="1">
        <v>42535</v>
      </c>
      <c r="D5268" s="1">
        <v>42541</v>
      </c>
      <c r="E5268">
        <v>11</v>
      </c>
      <c r="F5268" t="s">
        <v>331</v>
      </c>
      <c r="G5268" t="s">
        <v>16</v>
      </c>
      <c r="H5268" t="s">
        <v>7233</v>
      </c>
      <c r="I5268">
        <v>3.4533</v>
      </c>
      <c r="J5268">
        <v>44579.3</v>
      </c>
      <c r="K5268">
        <v>12909.188312628501</v>
      </c>
    </row>
    <row r="5269" spans="1:11" x14ac:dyDescent="0.25">
      <c r="A5269" t="s">
        <v>270</v>
      </c>
      <c r="B5269" t="s">
        <v>271</v>
      </c>
      <c r="C5269" s="1">
        <v>42521</v>
      </c>
      <c r="D5269" s="1">
        <v>42527</v>
      </c>
      <c r="E5269">
        <v>3</v>
      </c>
      <c r="F5269" t="s">
        <v>368</v>
      </c>
      <c r="G5269" t="s">
        <v>16</v>
      </c>
      <c r="H5269" t="s">
        <v>7234</v>
      </c>
      <c r="I5269">
        <v>3.5996999999999999</v>
      </c>
      <c r="J5269">
        <v>32888.44</v>
      </c>
      <c r="K5269">
        <v>9136.4391477067529</v>
      </c>
    </row>
    <row r="5270" spans="1:11" x14ac:dyDescent="0.25">
      <c r="A5270" t="s">
        <v>90</v>
      </c>
      <c r="B5270" t="s">
        <v>91</v>
      </c>
      <c r="C5270" s="1">
        <v>42536</v>
      </c>
      <c r="D5270" s="1">
        <v>42542</v>
      </c>
      <c r="E5270">
        <v>11</v>
      </c>
      <c r="F5270" t="s">
        <v>331</v>
      </c>
      <c r="G5270" t="s">
        <v>16</v>
      </c>
      <c r="H5270" t="s">
        <v>7235</v>
      </c>
      <c r="I5270">
        <v>3.4839000000000002</v>
      </c>
      <c r="J5270">
        <v>61723.3</v>
      </c>
      <c r="K5270">
        <v>17716.725508768908</v>
      </c>
    </row>
    <row r="5271" spans="1:11" x14ac:dyDescent="0.25">
      <c r="A5271" t="s">
        <v>90</v>
      </c>
      <c r="B5271" t="s">
        <v>91</v>
      </c>
      <c r="C5271" s="1">
        <v>42537</v>
      </c>
      <c r="D5271" s="1">
        <v>42542</v>
      </c>
      <c r="E5271">
        <v>11</v>
      </c>
      <c r="F5271" t="s">
        <v>331</v>
      </c>
      <c r="G5271" t="s">
        <v>16</v>
      </c>
      <c r="H5271" t="s">
        <v>4056</v>
      </c>
      <c r="I5271">
        <v>3.4767999999999999</v>
      </c>
      <c r="J5271">
        <v>28073.91</v>
      </c>
      <c r="K5271">
        <v>8074.6404739990794</v>
      </c>
    </row>
    <row r="5272" spans="1:11" x14ac:dyDescent="0.25">
      <c r="A5272" t="s">
        <v>35</v>
      </c>
      <c r="B5272" t="s">
        <v>38</v>
      </c>
      <c r="C5272" s="1">
        <v>42535</v>
      </c>
      <c r="D5272" s="1">
        <v>42542</v>
      </c>
      <c r="E5272">
        <v>8</v>
      </c>
      <c r="F5272" t="s">
        <v>331</v>
      </c>
      <c r="G5272" t="s">
        <v>16</v>
      </c>
      <c r="H5272" t="s">
        <v>4057</v>
      </c>
      <c r="I5272">
        <v>3.4533</v>
      </c>
      <c r="J5272">
        <v>46409.14</v>
      </c>
      <c r="K5272">
        <v>13439.069875191846</v>
      </c>
    </row>
    <row r="5273" spans="1:11" x14ac:dyDescent="0.25">
      <c r="A5273" t="s">
        <v>35</v>
      </c>
      <c r="B5273" t="s">
        <v>38</v>
      </c>
      <c r="C5273" s="1">
        <v>42535</v>
      </c>
      <c r="D5273" s="1">
        <v>42542</v>
      </c>
      <c r="E5273">
        <v>8</v>
      </c>
      <c r="F5273" t="s">
        <v>331</v>
      </c>
      <c r="G5273" t="s">
        <v>16</v>
      </c>
      <c r="H5273" t="s">
        <v>7236</v>
      </c>
      <c r="I5273">
        <v>3.4533</v>
      </c>
      <c r="J5273">
        <v>45954.75</v>
      </c>
      <c r="K5273">
        <v>13307.488489271132</v>
      </c>
    </row>
    <row r="5274" spans="1:11" x14ac:dyDescent="0.25">
      <c r="A5274" t="s">
        <v>35</v>
      </c>
      <c r="B5274" t="s">
        <v>38</v>
      </c>
      <c r="C5274" s="1">
        <v>42537</v>
      </c>
      <c r="D5274" s="1">
        <v>42542</v>
      </c>
      <c r="E5274">
        <v>8</v>
      </c>
      <c r="F5274" t="s">
        <v>331</v>
      </c>
      <c r="G5274" t="s">
        <v>16</v>
      </c>
      <c r="H5274" t="s">
        <v>7237</v>
      </c>
      <c r="I5274">
        <v>3.4767999999999999</v>
      </c>
      <c r="J5274">
        <v>45438.96</v>
      </c>
      <c r="K5274">
        <v>13069.190059825127</v>
      </c>
    </row>
    <row r="5275" spans="1:11" x14ac:dyDescent="0.25">
      <c r="A5275" t="s">
        <v>90</v>
      </c>
      <c r="B5275" t="s">
        <v>91</v>
      </c>
      <c r="C5275" s="1">
        <v>42537</v>
      </c>
      <c r="D5275" s="1">
        <v>42544</v>
      </c>
      <c r="E5275">
        <v>11</v>
      </c>
      <c r="F5275" t="s">
        <v>331</v>
      </c>
      <c r="G5275" t="s">
        <v>16</v>
      </c>
      <c r="H5275" t="s">
        <v>4058</v>
      </c>
      <c r="I5275">
        <v>3.4767999999999999</v>
      </c>
      <c r="J5275">
        <v>33637.11</v>
      </c>
      <c r="K5275">
        <v>9674.7325126553151</v>
      </c>
    </row>
    <row r="5276" spans="1:11" x14ac:dyDescent="0.25">
      <c r="A5276" t="s">
        <v>90</v>
      </c>
      <c r="B5276" t="s">
        <v>91</v>
      </c>
      <c r="C5276" s="1">
        <v>42537</v>
      </c>
      <c r="D5276" s="1">
        <v>42548</v>
      </c>
      <c r="E5276">
        <v>11</v>
      </c>
      <c r="F5276" t="s">
        <v>331</v>
      </c>
      <c r="G5276" t="s">
        <v>16</v>
      </c>
      <c r="H5276" t="s">
        <v>4059</v>
      </c>
      <c r="I5276">
        <v>3.4767999999999999</v>
      </c>
      <c r="J5276">
        <v>61379.44</v>
      </c>
      <c r="K5276">
        <v>17654.003681546248</v>
      </c>
    </row>
    <row r="5277" spans="1:11" x14ac:dyDescent="0.25">
      <c r="A5277" t="s">
        <v>90</v>
      </c>
      <c r="B5277" t="s">
        <v>91</v>
      </c>
      <c r="C5277" s="1">
        <v>42537</v>
      </c>
      <c r="D5277" s="1">
        <v>42548</v>
      </c>
      <c r="E5277">
        <v>11</v>
      </c>
      <c r="F5277" t="s">
        <v>331</v>
      </c>
      <c r="G5277" t="s">
        <v>16</v>
      </c>
      <c r="H5277" t="s">
        <v>4060</v>
      </c>
      <c r="I5277">
        <v>3.4767999999999999</v>
      </c>
      <c r="J5277">
        <v>45561.77</v>
      </c>
      <c r="K5277">
        <v>13104.512770363553</v>
      </c>
    </row>
    <row r="5278" spans="1:11" x14ac:dyDescent="0.25">
      <c r="A5278" t="s">
        <v>90</v>
      </c>
      <c r="B5278" t="s">
        <v>91</v>
      </c>
      <c r="C5278" s="1">
        <v>42536</v>
      </c>
      <c r="D5278" s="1">
        <v>42548</v>
      </c>
      <c r="E5278">
        <v>11</v>
      </c>
      <c r="F5278" t="s">
        <v>331</v>
      </c>
      <c r="G5278" t="s">
        <v>16</v>
      </c>
      <c r="H5278" t="s">
        <v>4061</v>
      </c>
      <c r="I5278">
        <v>3.4839000000000002</v>
      </c>
      <c r="J5278">
        <v>29363.39</v>
      </c>
      <c r="K5278">
        <v>8428.3102270444051</v>
      </c>
    </row>
    <row r="5279" spans="1:11" x14ac:dyDescent="0.25">
      <c r="A5279" t="s">
        <v>90</v>
      </c>
      <c r="B5279" t="s">
        <v>91</v>
      </c>
      <c r="C5279" s="1">
        <v>42538</v>
      </c>
      <c r="D5279" s="1">
        <v>42548</v>
      </c>
      <c r="E5279">
        <v>11</v>
      </c>
      <c r="F5279" t="s">
        <v>331</v>
      </c>
      <c r="G5279" t="s">
        <v>16</v>
      </c>
      <c r="H5279" t="s">
        <v>4062</v>
      </c>
      <c r="I5279">
        <v>3.4904000000000002</v>
      </c>
      <c r="J5279">
        <v>38328.379999999997</v>
      </c>
      <c r="K5279">
        <v>10981.085262434104</v>
      </c>
    </row>
    <row r="5280" spans="1:11" x14ac:dyDescent="0.25">
      <c r="A5280" t="s">
        <v>90</v>
      </c>
      <c r="B5280" t="s">
        <v>91</v>
      </c>
      <c r="C5280" s="1">
        <v>42536</v>
      </c>
      <c r="D5280" s="1">
        <v>42543</v>
      </c>
      <c r="E5280">
        <v>11</v>
      </c>
      <c r="F5280" t="s">
        <v>331</v>
      </c>
      <c r="G5280" t="s">
        <v>16</v>
      </c>
      <c r="H5280" t="s">
        <v>4063</v>
      </c>
      <c r="I5280">
        <v>3.4839000000000002</v>
      </c>
      <c r="J5280">
        <v>31094.99</v>
      </c>
      <c r="K5280">
        <v>8925.3394184678091</v>
      </c>
    </row>
    <row r="5281" spans="1:11" x14ac:dyDescent="0.25">
      <c r="A5281" t="s">
        <v>90</v>
      </c>
      <c r="B5281" t="s">
        <v>91</v>
      </c>
      <c r="C5281" s="1">
        <v>42536</v>
      </c>
      <c r="D5281" s="1">
        <v>42543</v>
      </c>
      <c r="E5281">
        <v>11</v>
      </c>
      <c r="F5281" t="s">
        <v>331</v>
      </c>
      <c r="G5281" t="s">
        <v>16</v>
      </c>
      <c r="H5281" t="s">
        <v>7238</v>
      </c>
      <c r="I5281">
        <v>3.4839000000000002</v>
      </c>
      <c r="J5281">
        <v>29044.09</v>
      </c>
      <c r="K5281">
        <v>8336.6600648698295</v>
      </c>
    </row>
    <row r="5282" spans="1:11" x14ac:dyDescent="0.25">
      <c r="A5282" t="s">
        <v>90</v>
      </c>
      <c r="B5282" t="s">
        <v>91</v>
      </c>
      <c r="C5282" s="1">
        <v>42537</v>
      </c>
      <c r="D5282" s="1">
        <v>42543</v>
      </c>
      <c r="E5282">
        <v>11</v>
      </c>
      <c r="F5282" t="s">
        <v>331</v>
      </c>
      <c r="G5282" t="s">
        <v>16</v>
      </c>
      <c r="H5282" t="s">
        <v>7239</v>
      </c>
      <c r="I5282">
        <v>3.4767999999999999</v>
      </c>
      <c r="J5282">
        <v>45598.61</v>
      </c>
      <c r="K5282">
        <v>13115.108720662678</v>
      </c>
    </row>
    <row r="5283" spans="1:11" x14ac:dyDescent="0.25">
      <c r="A5283" t="s">
        <v>90</v>
      </c>
      <c r="B5283" t="s">
        <v>91</v>
      </c>
      <c r="C5283" s="1">
        <v>42537</v>
      </c>
      <c r="D5283" s="1">
        <v>42543</v>
      </c>
      <c r="E5283">
        <v>11</v>
      </c>
      <c r="F5283" t="s">
        <v>331</v>
      </c>
      <c r="G5283" t="s">
        <v>16</v>
      </c>
      <c r="H5283" t="s">
        <v>7240</v>
      </c>
      <c r="I5283">
        <v>3.4767999999999999</v>
      </c>
      <c r="J5283">
        <v>44972.29</v>
      </c>
      <c r="K5283">
        <v>12934.966060745513</v>
      </c>
    </row>
    <row r="5284" spans="1:11" x14ac:dyDescent="0.25">
      <c r="A5284" t="s">
        <v>181</v>
      </c>
      <c r="B5284" t="s">
        <v>182</v>
      </c>
      <c r="C5284" s="1">
        <v>42584</v>
      </c>
      <c r="D5284" s="1">
        <v>42592</v>
      </c>
      <c r="E5284">
        <v>1</v>
      </c>
      <c r="F5284" t="s">
        <v>368</v>
      </c>
      <c r="G5284" t="s">
        <v>16</v>
      </c>
      <c r="H5284" t="s">
        <v>7241</v>
      </c>
      <c r="I5284">
        <v>3.2662</v>
      </c>
      <c r="J5284">
        <v>55086.1</v>
      </c>
      <c r="K5284">
        <v>16865.501194048131</v>
      </c>
    </row>
    <row r="5285" spans="1:11" x14ac:dyDescent="0.25">
      <c r="A5285" t="s">
        <v>181</v>
      </c>
      <c r="B5285" t="s">
        <v>182</v>
      </c>
      <c r="C5285" s="1">
        <v>42587</v>
      </c>
      <c r="D5285" s="1">
        <v>42592</v>
      </c>
      <c r="E5285">
        <v>1</v>
      </c>
      <c r="F5285" t="s">
        <v>368</v>
      </c>
      <c r="G5285" t="s">
        <v>16</v>
      </c>
      <c r="H5285" t="s">
        <v>4064</v>
      </c>
      <c r="I5285">
        <v>3.2183000000000002</v>
      </c>
      <c r="J5285">
        <v>55399.48</v>
      </c>
      <c r="K5285">
        <v>17213.895534909734</v>
      </c>
    </row>
    <row r="5286" spans="1:11" x14ac:dyDescent="0.25">
      <c r="A5286" t="s">
        <v>181</v>
      </c>
      <c r="B5286" t="s">
        <v>182</v>
      </c>
      <c r="C5286" s="1">
        <v>42591</v>
      </c>
      <c r="D5286" s="1">
        <v>42592</v>
      </c>
      <c r="E5286">
        <v>1</v>
      </c>
      <c r="F5286" t="s">
        <v>368</v>
      </c>
      <c r="G5286" t="s">
        <v>16</v>
      </c>
      <c r="H5286" t="s">
        <v>7242</v>
      </c>
      <c r="I5286">
        <v>3.1770999999999998</v>
      </c>
      <c r="J5286">
        <v>53780.52</v>
      </c>
      <c r="K5286">
        <v>16927.550281703439</v>
      </c>
    </row>
    <row r="5287" spans="1:11" x14ac:dyDescent="0.25">
      <c r="A5287" t="s">
        <v>100</v>
      </c>
      <c r="B5287" t="s">
        <v>101</v>
      </c>
      <c r="C5287" s="1">
        <v>42577</v>
      </c>
      <c r="D5287" s="1">
        <v>42598</v>
      </c>
      <c r="E5287">
        <v>4</v>
      </c>
      <c r="F5287" t="s">
        <v>301</v>
      </c>
      <c r="G5287" t="s">
        <v>16</v>
      </c>
      <c r="H5287" t="s">
        <v>4065</v>
      </c>
      <c r="I5287">
        <v>3.2818999999999998</v>
      </c>
      <c r="J5287">
        <v>16421.580000000002</v>
      </c>
      <c r="K5287">
        <v>5003.6807946616291</v>
      </c>
    </row>
    <row r="5288" spans="1:11" x14ac:dyDescent="0.25">
      <c r="A5288" t="s">
        <v>160</v>
      </c>
      <c r="B5288" t="s">
        <v>161</v>
      </c>
      <c r="C5288" s="1">
        <v>42577</v>
      </c>
      <c r="D5288" s="1">
        <v>42578</v>
      </c>
      <c r="E5288">
        <v>9</v>
      </c>
      <c r="F5288" t="s">
        <v>368</v>
      </c>
      <c r="G5288" t="s">
        <v>16</v>
      </c>
      <c r="H5288" t="s">
        <v>4066</v>
      </c>
      <c r="I5288">
        <v>3.2818999999999998</v>
      </c>
      <c r="J5288">
        <v>43543.16</v>
      </c>
      <c r="K5288">
        <v>13267.668119077363</v>
      </c>
    </row>
    <row r="5289" spans="1:11" x14ac:dyDescent="0.25">
      <c r="A5289" t="s">
        <v>179</v>
      </c>
      <c r="B5289" t="s">
        <v>180</v>
      </c>
      <c r="C5289" s="1">
        <v>42597</v>
      </c>
      <c r="D5289" s="1">
        <v>42599</v>
      </c>
      <c r="E5289">
        <v>1</v>
      </c>
      <c r="F5289" t="s">
        <v>368</v>
      </c>
      <c r="G5289" t="s">
        <v>16</v>
      </c>
      <c r="H5289" t="s">
        <v>7243</v>
      </c>
      <c r="I5289">
        <v>3.1602000000000001</v>
      </c>
      <c r="J5289">
        <v>51657.26</v>
      </c>
      <c r="K5289">
        <v>16346.19960761977</v>
      </c>
    </row>
    <row r="5290" spans="1:11" x14ac:dyDescent="0.25">
      <c r="A5290" t="s">
        <v>100</v>
      </c>
      <c r="B5290" t="s">
        <v>101</v>
      </c>
      <c r="C5290" s="1">
        <v>42576</v>
      </c>
      <c r="D5290" s="1">
        <v>42593</v>
      </c>
      <c r="E5290">
        <v>4</v>
      </c>
      <c r="F5290" t="s">
        <v>301</v>
      </c>
      <c r="G5290" t="s">
        <v>16</v>
      </c>
      <c r="H5290" t="s">
        <v>4067</v>
      </c>
      <c r="I5290">
        <v>3.2854000000000001</v>
      </c>
      <c r="J5290">
        <v>64245.96</v>
      </c>
      <c r="K5290">
        <v>19554.988738053205</v>
      </c>
    </row>
    <row r="5291" spans="1:11" x14ac:dyDescent="0.25">
      <c r="A5291" t="s">
        <v>256</v>
      </c>
      <c r="B5291" t="s">
        <v>257</v>
      </c>
      <c r="C5291" s="1">
        <v>42576</v>
      </c>
      <c r="D5291" s="1">
        <v>42593</v>
      </c>
      <c r="E5291">
        <v>4</v>
      </c>
      <c r="F5291" t="s">
        <v>301</v>
      </c>
      <c r="G5291" t="s">
        <v>16</v>
      </c>
      <c r="H5291" t="s">
        <v>7244</v>
      </c>
      <c r="I5291">
        <v>3.2854000000000001</v>
      </c>
      <c r="J5291">
        <v>6395.39</v>
      </c>
      <c r="K5291">
        <v>1946.6092408839106</v>
      </c>
    </row>
    <row r="5292" spans="1:11" x14ac:dyDescent="0.25">
      <c r="A5292" t="s">
        <v>258</v>
      </c>
      <c r="B5292" t="s">
        <v>259</v>
      </c>
      <c r="C5292" s="1">
        <v>42576</v>
      </c>
      <c r="D5292" s="1">
        <v>42593</v>
      </c>
      <c r="E5292">
        <v>3</v>
      </c>
      <c r="F5292" t="s">
        <v>301</v>
      </c>
      <c r="G5292" t="s">
        <v>16</v>
      </c>
      <c r="H5292" t="s">
        <v>7245</v>
      </c>
      <c r="I5292">
        <v>3.2854000000000001</v>
      </c>
      <c r="J5292">
        <v>57645</v>
      </c>
      <c r="K5292">
        <v>17545.80872953065</v>
      </c>
    </row>
    <row r="5293" spans="1:11" x14ac:dyDescent="0.25">
      <c r="A5293" t="s">
        <v>246</v>
      </c>
      <c r="B5293" t="s">
        <v>247</v>
      </c>
      <c r="C5293" s="1">
        <v>42552</v>
      </c>
      <c r="D5293" s="1">
        <v>42573</v>
      </c>
      <c r="E5293">
        <v>1</v>
      </c>
      <c r="F5293" t="s">
        <v>368</v>
      </c>
      <c r="G5293" t="s">
        <v>16</v>
      </c>
      <c r="H5293" t="s">
        <v>4068</v>
      </c>
      <c r="I5293">
        <v>3.2098</v>
      </c>
      <c r="J5293">
        <v>58013.64</v>
      </c>
      <c r="K5293">
        <v>18073.911147111969</v>
      </c>
    </row>
    <row r="5294" spans="1:11" x14ac:dyDescent="0.25">
      <c r="A5294" t="s">
        <v>238</v>
      </c>
      <c r="B5294" t="s">
        <v>239</v>
      </c>
      <c r="C5294" s="1">
        <v>42577</v>
      </c>
      <c r="D5294" s="1">
        <v>42598</v>
      </c>
      <c r="E5294">
        <v>2</v>
      </c>
      <c r="F5294" t="s">
        <v>301</v>
      </c>
      <c r="G5294" t="s">
        <v>16</v>
      </c>
      <c r="H5294" t="s">
        <v>4069</v>
      </c>
      <c r="I5294">
        <v>3.2818999999999998</v>
      </c>
      <c r="J5294">
        <v>12632</v>
      </c>
      <c r="K5294">
        <v>3848.9899143788657</v>
      </c>
    </row>
    <row r="5295" spans="1:11" x14ac:dyDescent="0.25">
      <c r="A5295" t="s">
        <v>238</v>
      </c>
      <c r="B5295" t="s">
        <v>239</v>
      </c>
      <c r="C5295" s="1">
        <v>42576</v>
      </c>
      <c r="D5295" s="1">
        <v>42598</v>
      </c>
      <c r="E5295">
        <v>2</v>
      </c>
      <c r="F5295" t="s">
        <v>301</v>
      </c>
      <c r="G5295" t="s">
        <v>16</v>
      </c>
      <c r="H5295" t="s">
        <v>7246</v>
      </c>
      <c r="I5295">
        <v>3.2854000000000001</v>
      </c>
      <c r="J5295">
        <v>6783</v>
      </c>
      <c r="K5295">
        <v>2064.5887867535157</v>
      </c>
    </row>
    <row r="5296" spans="1:11" x14ac:dyDescent="0.25">
      <c r="A5296" t="s">
        <v>212</v>
      </c>
      <c r="B5296" t="s">
        <v>213</v>
      </c>
      <c r="C5296" s="1">
        <v>42585</v>
      </c>
      <c r="D5296" s="1">
        <v>42590</v>
      </c>
      <c r="E5296">
        <v>1</v>
      </c>
      <c r="F5296" t="s">
        <v>368</v>
      </c>
      <c r="G5296" t="s">
        <v>16</v>
      </c>
      <c r="H5296" t="s">
        <v>7247</v>
      </c>
      <c r="I5296">
        <v>3.2490000000000001</v>
      </c>
      <c r="J5296">
        <v>57014.69</v>
      </c>
      <c r="K5296">
        <v>17548.381040320099</v>
      </c>
    </row>
    <row r="5297" spans="1:11" x14ac:dyDescent="0.25">
      <c r="A5297" t="s">
        <v>640</v>
      </c>
      <c r="B5297" t="s">
        <v>641</v>
      </c>
      <c r="C5297" s="1">
        <v>40800</v>
      </c>
      <c r="D5297" s="1">
        <v>40801</v>
      </c>
      <c r="E5297">
        <v>115</v>
      </c>
      <c r="F5297" t="s">
        <v>642</v>
      </c>
      <c r="G5297" t="s">
        <v>16</v>
      </c>
      <c r="H5297" t="s">
        <v>598</v>
      </c>
      <c r="I5297">
        <v>1.7126999999999999</v>
      </c>
      <c r="J5297">
        <v>82280.070000000007</v>
      </c>
      <c r="K5297">
        <v>48041.145559642668</v>
      </c>
    </row>
    <row r="5298" spans="1:11" x14ac:dyDescent="0.25">
      <c r="A5298" t="s">
        <v>4070</v>
      </c>
      <c r="B5298" t="s">
        <v>4071</v>
      </c>
      <c r="C5298" s="1">
        <v>40808</v>
      </c>
      <c r="D5298" s="1">
        <v>40814</v>
      </c>
      <c r="E5298">
        <v>226</v>
      </c>
      <c r="F5298" t="s">
        <v>642</v>
      </c>
      <c r="G5298" t="s">
        <v>16</v>
      </c>
      <c r="H5298" t="s">
        <v>4072</v>
      </c>
      <c r="I5298">
        <v>1.8280000000000001</v>
      </c>
      <c r="J5298">
        <v>80230.289999999994</v>
      </c>
      <c r="K5298">
        <v>43889.655361050325</v>
      </c>
    </row>
    <row r="5299" spans="1:11" x14ac:dyDescent="0.25">
      <c r="A5299" t="s">
        <v>3227</v>
      </c>
      <c r="B5299" t="s">
        <v>3228</v>
      </c>
      <c r="C5299" s="1">
        <v>40884</v>
      </c>
      <c r="D5299" s="1">
        <v>40886</v>
      </c>
      <c r="E5299">
        <v>2628</v>
      </c>
      <c r="F5299" t="s">
        <v>1311</v>
      </c>
      <c r="G5299" t="s">
        <v>16</v>
      </c>
      <c r="H5299" t="s">
        <v>7248</v>
      </c>
      <c r="I5299">
        <v>1.7906</v>
      </c>
      <c r="J5299">
        <v>114526.78</v>
      </c>
      <c r="K5299">
        <v>63960.002233888081</v>
      </c>
    </row>
    <row r="5300" spans="1:11" x14ac:dyDescent="0.25">
      <c r="A5300" t="s">
        <v>651</v>
      </c>
      <c r="B5300" t="s">
        <v>652</v>
      </c>
      <c r="C5300" s="1">
        <v>40814</v>
      </c>
      <c r="D5300" s="1">
        <v>40819</v>
      </c>
      <c r="E5300">
        <v>141</v>
      </c>
      <c r="F5300" t="s">
        <v>331</v>
      </c>
      <c r="G5300" t="s">
        <v>16</v>
      </c>
      <c r="H5300" t="s">
        <v>4073</v>
      </c>
      <c r="I5300">
        <v>1.8008</v>
      </c>
      <c r="J5300">
        <v>58719.33</v>
      </c>
      <c r="K5300">
        <v>32607.357840959572</v>
      </c>
    </row>
    <row r="5301" spans="1:11" x14ac:dyDescent="0.25">
      <c r="A5301" t="s">
        <v>651</v>
      </c>
      <c r="B5301" t="s">
        <v>652</v>
      </c>
      <c r="C5301" s="1">
        <v>40814</v>
      </c>
      <c r="D5301" s="1">
        <v>40819</v>
      </c>
      <c r="E5301">
        <v>141</v>
      </c>
      <c r="F5301" t="s">
        <v>331</v>
      </c>
      <c r="G5301" t="s">
        <v>16</v>
      </c>
      <c r="H5301" t="s">
        <v>4074</v>
      </c>
      <c r="I5301">
        <v>1.8008</v>
      </c>
      <c r="J5301">
        <v>57194.19</v>
      </c>
      <c r="K5301">
        <v>31760.434251443803</v>
      </c>
    </row>
    <row r="5302" spans="1:11" x14ac:dyDescent="0.25">
      <c r="A5302" t="s">
        <v>651</v>
      </c>
      <c r="B5302" t="s">
        <v>652</v>
      </c>
      <c r="C5302" s="1">
        <v>40814</v>
      </c>
      <c r="D5302" s="1">
        <v>40819</v>
      </c>
      <c r="E5302">
        <v>141</v>
      </c>
      <c r="F5302" t="s">
        <v>331</v>
      </c>
      <c r="G5302" t="s">
        <v>16</v>
      </c>
      <c r="H5302" t="s">
        <v>7249</v>
      </c>
      <c r="I5302">
        <v>1.8008</v>
      </c>
      <c r="J5302">
        <v>79448.759999999995</v>
      </c>
      <c r="K5302">
        <v>44118.591737005772</v>
      </c>
    </row>
    <row r="5303" spans="1:11" x14ac:dyDescent="0.25">
      <c r="A5303" t="s">
        <v>654</v>
      </c>
      <c r="B5303" t="s">
        <v>655</v>
      </c>
      <c r="C5303" s="1">
        <v>40841</v>
      </c>
      <c r="D5303" s="1">
        <v>40843</v>
      </c>
      <c r="E5303">
        <v>116</v>
      </c>
      <c r="F5303" t="s">
        <v>301</v>
      </c>
      <c r="G5303" t="s">
        <v>16</v>
      </c>
      <c r="H5303" t="s">
        <v>4075</v>
      </c>
      <c r="I5303">
        <v>1.7767999999999999</v>
      </c>
      <c r="J5303">
        <v>16480</v>
      </c>
      <c r="K5303">
        <v>9275.1013057181444</v>
      </c>
    </row>
    <row r="5304" spans="1:11" x14ac:dyDescent="0.25">
      <c r="A5304" t="s">
        <v>4076</v>
      </c>
      <c r="C5304" s="1">
        <v>40831</v>
      </c>
      <c r="D5304" s="1">
        <v>40834</v>
      </c>
      <c r="E5304">
        <v>1543</v>
      </c>
      <c r="F5304" t="s">
        <v>283</v>
      </c>
      <c r="G5304" t="s">
        <v>16</v>
      </c>
      <c r="H5304" t="s">
        <v>4077</v>
      </c>
      <c r="I5304">
        <v>1.7376</v>
      </c>
      <c r="J5304">
        <v>2000</v>
      </c>
      <c r="K5304">
        <v>1151.012891344383</v>
      </c>
    </row>
    <row r="5305" spans="1:11" x14ac:dyDescent="0.25">
      <c r="A5305" t="s">
        <v>4078</v>
      </c>
      <c r="C5305" s="1">
        <v>40830</v>
      </c>
      <c r="D5305" s="1">
        <v>40835</v>
      </c>
      <c r="E5305">
        <v>1525</v>
      </c>
      <c r="F5305" t="s">
        <v>300</v>
      </c>
      <c r="G5305" t="s">
        <v>16</v>
      </c>
      <c r="H5305" t="s">
        <v>4079</v>
      </c>
      <c r="I5305">
        <v>1.7376</v>
      </c>
      <c r="J5305">
        <v>180</v>
      </c>
      <c r="K5305">
        <v>103.59116022099448</v>
      </c>
    </row>
    <row r="5306" spans="1:11" x14ac:dyDescent="0.25">
      <c r="A5306" t="s">
        <v>7250</v>
      </c>
      <c r="C5306" s="1">
        <v>40831</v>
      </c>
      <c r="D5306" s="1">
        <v>40834</v>
      </c>
      <c r="E5306">
        <v>1529</v>
      </c>
      <c r="F5306" t="s">
        <v>315</v>
      </c>
      <c r="G5306" t="s">
        <v>16</v>
      </c>
      <c r="H5306" t="s">
        <v>493</v>
      </c>
      <c r="I5306">
        <v>1.7376</v>
      </c>
      <c r="J5306">
        <v>360</v>
      </c>
      <c r="K5306">
        <v>207.18232044198896</v>
      </c>
    </row>
    <row r="5307" spans="1:11" x14ac:dyDescent="0.25">
      <c r="A5307" t="s">
        <v>7251</v>
      </c>
      <c r="C5307" s="1">
        <v>40830</v>
      </c>
      <c r="D5307" s="1">
        <v>40834</v>
      </c>
      <c r="E5307">
        <v>1524</v>
      </c>
      <c r="F5307" t="s">
        <v>294</v>
      </c>
      <c r="G5307" t="s">
        <v>16</v>
      </c>
      <c r="H5307" t="s">
        <v>7252</v>
      </c>
      <c r="I5307">
        <v>1.7376</v>
      </c>
      <c r="J5307">
        <v>370</v>
      </c>
      <c r="K5307">
        <v>212.93738489871086</v>
      </c>
    </row>
    <row r="5308" spans="1:11" x14ac:dyDescent="0.25">
      <c r="A5308" t="s">
        <v>7253</v>
      </c>
      <c r="C5308" s="1">
        <v>40827</v>
      </c>
      <c r="D5308" s="1">
        <v>40834</v>
      </c>
      <c r="E5308">
        <v>1527</v>
      </c>
      <c r="F5308" t="s">
        <v>284</v>
      </c>
      <c r="G5308" t="s">
        <v>16</v>
      </c>
      <c r="H5308" t="s">
        <v>5051</v>
      </c>
      <c r="I5308">
        <v>1.7478</v>
      </c>
      <c r="J5308">
        <v>267.91000000000003</v>
      </c>
      <c r="K5308">
        <v>153.2841286188351</v>
      </c>
    </row>
    <row r="5309" spans="1:11" x14ac:dyDescent="0.25">
      <c r="A5309" t="s">
        <v>7254</v>
      </c>
      <c r="C5309" s="1">
        <v>40829</v>
      </c>
      <c r="D5309" s="1">
        <v>40834</v>
      </c>
      <c r="E5309">
        <v>1523</v>
      </c>
      <c r="F5309" t="s">
        <v>284</v>
      </c>
      <c r="G5309" t="s">
        <v>16</v>
      </c>
      <c r="H5309" t="s">
        <v>7255</v>
      </c>
      <c r="I5309">
        <v>1.7658</v>
      </c>
      <c r="J5309">
        <v>535.80999999999995</v>
      </c>
      <c r="K5309">
        <v>303.43753539472192</v>
      </c>
    </row>
    <row r="5310" spans="1:11" x14ac:dyDescent="0.25">
      <c r="A5310" t="s">
        <v>654</v>
      </c>
      <c r="B5310" t="s">
        <v>655</v>
      </c>
      <c r="C5310" s="1">
        <v>40841</v>
      </c>
      <c r="D5310" s="1">
        <v>40844</v>
      </c>
      <c r="E5310">
        <v>116</v>
      </c>
      <c r="F5310" t="s">
        <v>301</v>
      </c>
      <c r="G5310" t="s">
        <v>16</v>
      </c>
      <c r="H5310" t="s">
        <v>7256</v>
      </c>
      <c r="I5310">
        <v>1.7767999999999999</v>
      </c>
      <c r="J5310">
        <v>37080</v>
      </c>
      <c r="K5310">
        <v>20868.977937865828</v>
      </c>
    </row>
    <row r="5311" spans="1:11" x14ac:dyDescent="0.25">
      <c r="A5311" t="s">
        <v>654</v>
      </c>
      <c r="B5311" t="s">
        <v>655</v>
      </c>
      <c r="C5311" s="1">
        <v>40841</v>
      </c>
      <c r="D5311" s="1">
        <v>40844</v>
      </c>
      <c r="E5311">
        <v>116</v>
      </c>
      <c r="F5311" t="s">
        <v>301</v>
      </c>
      <c r="G5311" t="s">
        <v>16</v>
      </c>
      <c r="H5311" t="s">
        <v>4080</v>
      </c>
      <c r="I5311">
        <v>1.7767999999999999</v>
      </c>
      <c r="J5311">
        <v>37080</v>
      </c>
      <c r="K5311">
        <v>20868.977937865828</v>
      </c>
    </row>
    <row r="5312" spans="1:11" x14ac:dyDescent="0.25">
      <c r="A5312" t="s">
        <v>654</v>
      </c>
      <c r="B5312" t="s">
        <v>655</v>
      </c>
      <c r="C5312" s="1">
        <v>40841</v>
      </c>
      <c r="D5312" s="1">
        <v>40845</v>
      </c>
      <c r="E5312">
        <v>116</v>
      </c>
      <c r="F5312" t="s">
        <v>301</v>
      </c>
      <c r="G5312" t="s">
        <v>16</v>
      </c>
      <c r="H5312" t="s">
        <v>4081</v>
      </c>
      <c r="I5312">
        <v>1.7767999999999999</v>
      </c>
      <c r="J5312">
        <v>37080</v>
      </c>
      <c r="K5312">
        <v>20868.977937865828</v>
      </c>
    </row>
    <row r="5313" spans="1:11" x14ac:dyDescent="0.25">
      <c r="A5313" t="s">
        <v>654</v>
      </c>
      <c r="B5313" t="s">
        <v>655</v>
      </c>
      <c r="C5313" s="1">
        <v>40844</v>
      </c>
      <c r="D5313" s="1">
        <v>40847</v>
      </c>
      <c r="E5313">
        <v>116</v>
      </c>
      <c r="F5313" t="s">
        <v>301</v>
      </c>
      <c r="G5313" t="s">
        <v>16</v>
      </c>
      <c r="H5313" t="s">
        <v>4082</v>
      </c>
      <c r="I5313">
        <v>1.7323</v>
      </c>
      <c r="J5313">
        <v>19120.8</v>
      </c>
      <c r="K5313">
        <v>11037.811002713155</v>
      </c>
    </row>
    <row r="5314" spans="1:11" x14ac:dyDescent="0.25">
      <c r="A5314" t="s">
        <v>668</v>
      </c>
      <c r="B5314" t="s">
        <v>476</v>
      </c>
      <c r="C5314" s="1">
        <v>40872</v>
      </c>
      <c r="D5314" s="1">
        <v>40882</v>
      </c>
      <c r="E5314">
        <v>1687</v>
      </c>
      <c r="F5314" t="s">
        <v>311</v>
      </c>
      <c r="G5314" t="s">
        <v>16</v>
      </c>
      <c r="H5314" t="s">
        <v>7257</v>
      </c>
      <c r="I5314">
        <v>1.8936999999999999</v>
      </c>
      <c r="J5314">
        <v>315000.94</v>
      </c>
      <c r="K5314">
        <v>166341.5218883667</v>
      </c>
    </row>
    <row r="5315" spans="1:11" x14ac:dyDescent="0.25">
      <c r="A5315" t="s">
        <v>1326</v>
      </c>
      <c r="B5315" t="s">
        <v>1327</v>
      </c>
      <c r="C5315" s="1">
        <v>40842</v>
      </c>
      <c r="D5315" s="1">
        <v>40845</v>
      </c>
      <c r="E5315">
        <v>1666</v>
      </c>
      <c r="F5315" t="s">
        <v>665</v>
      </c>
      <c r="G5315" t="s">
        <v>16</v>
      </c>
      <c r="H5315" t="s">
        <v>4083</v>
      </c>
      <c r="I5315">
        <v>1.7547999999999999</v>
      </c>
      <c r="J5315">
        <v>115834.95</v>
      </c>
      <c r="K5315">
        <v>66010.343059038074</v>
      </c>
    </row>
    <row r="5316" spans="1:11" x14ac:dyDescent="0.25">
      <c r="A5316" t="s">
        <v>668</v>
      </c>
      <c r="B5316" t="s">
        <v>476</v>
      </c>
      <c r="C5316" s="1">
        <v>40843</v>
      </c>
      <c r="D5316" s="1">
        <v>40851</v>
      </c>
      <c r="E5316">
        <v>1687</v>
      </c>
      <c r="F5316" t="s">
        <v>311</v>
      </c>
      <c r="G5316" t="s">
        <v>16</v>
      </c>
      <c r="H5316" t="s">
        <v>4084</v>
      </c>
      <c r="I5316">
        <v>1.7605999999999999</v>
      </c>
      <c r="J5316">
        <v>69742.720000000001</v>
      </c>
      <c r="K5316">
        <v>39613.041008747015</v>
      </c>
    </row>
    <row r="5317" spans="1:11" x14ac:dyDescent="0.25">
      <c r="A5317" t="s">
        <v>654</v>
      </c>
      <c r="B5317" t="s">
        <v>655</v>
      </c>
      <c r="C5317" s="1">
        <v>40841</v>
      </c>
      <c r="D5317" s="1">
        <v>40844</v>
      </c>
      <c r="E5317">
        <v>116</v>
      </c>
      <c r="F5317" t="s">
        <v>301</v>
      </c>
      <c r="G5317" t="s">
        <v>16</v>
      </c>
      <c r="H5317" t="s">
        <v>4085</v>
      </c>
      <c r="I5317">
        <v>1.7767999999999999</v>
      </c>
      <c r="J5317">
        <v>37080</v>
      </c>
      <c r="K5317">
        <v>20868.977937865828</v>
      </c>
    </row>
    <row r="5318" spans="1:11" x14ac:dyDescent="0.25">
      <c r="A5318" t="s">
        <v>654</v>
      </c>
      <c r="B5318" t="s">
        <v>655</v>
      </c>
      <c r="C5318" s="1">
        <v>40841</v>
      </c>
      <c r="D5318" s="1">
        <v>40844</v>
      </c>
      <c r="E5318">
        <v>116</v>
      </c>
      <c r="F5318" t="s">
        <v>301</v>
      </c>
      <c r="G5318" t="s">
        <v>16</v>
      </c>
      <c r="H5318" t="s">
        <v>7258</v>
      </c>
      <c r="I5318">
        <v>1.7767999999999999</v>
      </c>
      <c r="J5318">
        <v>37080</v>
      </c>
      <c r="K5318">
        <v>20868.977937865828</v>
      </c>
    </row>
    <row r="5319" spans="1:11" x14ac:dyDescent="0.25">
      <c r="A5319" t="s">
        <v>654</v>
      </c>
      <c r="B5319" t="s">
        <v>655</v>
      </c>
      <c r="C5319" s="1">
        <v>40845</v>
      </c>
      <c r="D5319" s="1">
        <v>40845</v>
      </c>
      <c r="E5319">
        <v>116</v>
      </c>
      <c r="F5319" t="s">
        <v>301</v>
      </c>
      <c r="G5319" t="s">
        <v>16</v>
      </c>
      <c r="H5319" t="s">
        <v>4086</v>
      </c>
      <c r="I5319">
        <v>1.6986000000000001</v>
      </c>
      <c r="J5319">
        <v>37080</v>
      </c>
      <c r="K5319">
        <v>21829.742140586364</v>
      </c>
    </row>
    <row r="5320" spans="1:11" x14ac:dyDescent="0.25">
      <c r="A5320" t="s">
        <v>654</v>
      </c>
      <c r="B5320" t="s">
        <v>655</v>
      </c>
      <c r="C5320" s="1">
        <v>40841</v>
      </c>
      <c r="D5320" s="1">
        <v>40845</v>
      </c>
      <c r="E5320">
        <v>116</v>
      </c>
      <c r="F5320" t="s">
        <v>301</v>
      </c>
      <c r="G5320" t="s">
        <v>16</v>
      </c>
      <c r="H5320" t="s">
        <v>4087</v>
      </c>
      <c r="I5320">
        <v>1.7767999999999999</v>
      </c>
      <c r="J5320">
        <v>37080</v>
      </c>
      <c r="K5320">
        <v>20868.977937865828</v>
      </c>
    </row>
    <row r="5321" spans="1:11" x14ac:dyDescent="0.25">
      <c r="A5321" t="s">
        <v>672</v>
      </c>
      <c r="B5321" t="s">
        <v>673</v>
      </c>
      <c r="C5321" s="1">
        <v>40843</v>
      </c>
      <c r="D5321" s="1">
        <v>40855</v>
      </c>
      <c r="E5321">
        <v>118</v>
      </c>
      <c r="F5321" t="s">
        <v>370</v>
      </c>
      <c r="G5321" t="s">
        <v>16</v>
      </c>
      <c r="H5321" t="s">
        <v>4088</v>
      </c>
      <c r="I5321">
        <v>1.7605999999999999</v>
      </c>
      <c r="J5321">
        <v>14741.5</v>
      </c>
      <c r="K5321">
        <v>8372.9978416448939</v>
      </c>
    </row>
    <row r="5322" spans="1:11" x14ac:dyDescent="0.25">
      <c r="A5322" t="s">
        <v>1828</v>
      </c>
      <c r="B5322" t="s">
        <v>549</v>
      </c>
      <c r="C5322" s="1">
        <v>40847</v>
      </c>
      <c r="D5322" s="1">
        <v>40855</v>
      </c>
      <c r="E5322">
        <v>1685</v>
      </c>
      <c r="F5322" t="s">
        <v>311</v>
      </c>
      <c r="G5322" t="s">
        <v>16</v>
      </c>
      <c r="H5322" t="s">
        <v>7259</v>
      </c>
      <c r="I5322">
        <v>1.6986000000000001</v>
      </c>
      <c r="J5322">
        <v>173185.8</v>
      </c>
      <c r="K5322">
        <v>101957.9653832568</v>
      </c>
    </row>
    <row r="5323" spans="1:11" x14ac:dyDescent="0.25">
      <c r="A5323" t="s">
        <v>654</v>
      </c>
      <c r="B5323" t="s">
        <v>655</v>
      </c>
      <c r="C5323" s="1">
        <v>40841</v>
      </c>
      <c r="D5323" s="1">
        <v>40844</v>
      </c>
      <c r="E5323">
        <v>116</v>
      </c>
      <c r="F5323" t="s">
        <v>301</v>
      </c>
      <c r="G5323" t="s">
        <v>16</v>
      </c>
      <c r="H5323" t="s">
        <v>7260</v>
      </c>
      <c r="I5323">
        <v>1.7767999999999999</v>
      </c>
      <c r="J5323">
        <v>37080</v>
      </c>
      <c r="K5323">
        <v>20868.977937865828</v>
      </c>
    </row>
    <row r="5324" spans="1:11" x14ac:dyDescent="0.25">
      <c r="A5324" t="s">
        <v>7261</v>
      </c>
      <c r="B5324" t="s">
        <v>7262</v>
      </c>
      <c r="C5324" s="1">
        <v>40854</v>
      </c>
      <c r="D5324" s="1">
        <v>40856</v>
      </c>
      <c r="E5324">
        <v>1707</v>
      </c>
      <c r="F5324" t="s">
        <v>642</v>
      </c>
      <c r="G5324" t="s">
        <v>16</v>
      </c>
      <c r="H5324" t="s">
        <v>7263</v>
      </c>
      <c r="I5324">
        <v>1.7415</v>
      </c>
      <c r="J5324">
        <v>51234.49</v>
      </c>
      <c r="K5324">
        <v>29419.747344243468</v>
      </c>
    </row>
    <row r="5325" spans="1:11" x14ac:dyDescent="0.25">
      <c r="A5325" t="s">
        <v>3205</v>
      </c>
      <c r="B5325" t="s">
        <v>3206</v>
      </c>
      <c r="C5325" s="1">
        <v>40815</v>
      </c>
      <c r="D5325" s="1">
        <v>40827</v>
      </c>
      <c r="E5325">
        <v>111</v>
      </c>
      <c r="F5325" t="s">
        <v>311</v>
      </c>
      <c r="G5325" t="s">
        <v>16</v>
      </c>
      <c r="H5325" t="s">
        <v>7264</v>
      </c>
      <c r="I5325">
        <v>1.8123</v>
      </c>
      <c r="J5325">
        <v>313093.45</v>
      </c>
      <c r="K5325">
        <v>172760.27699608234</v>
      </c>
    </row>
    <row r="5326" spans="1:11" x14ac:dyDescent="0.25">
      <c r="A5326" t="s">
        <v>4089</v>
      </c>
      <c r="B5326" t="s">
        <v>1822</v>
      </c>
      <c r="C5326" s="1">
        <v>40869</v>
      </c>
      <c r="D5326" s="1">
        <v>40872</v>
      </c>
      <c r="E5326">
        <v>117</v>
      </c>
      <c r="F5326" t="s">
        <v>370</v>
      </c>
      <c r="G5326" t="s">
        <v>16</v>
      </c>
      <c r="H5326" t="s">
        <v>4090</v>
      </c>
      <c r="I5326">
        <v>1.8061</v>
      </c>
      <c r="J5326">
        <v>89582.56</v>
      </c>
      <c r="K5326">
        <v>49600</v>
      </c>
    </row>
    <row r="5327" spans="1:11" x14ac:dyDescent="0.25">
      <c r="A5327" t="s">
        <v>670</v>
      </c>
      <c r="C5327" s="1">
        <v>40858</v>
      </c>
      <c r="D5327" s="1">
        <v>40871</v>
      </c>
      <c r="E5327">
        <v>352</v>
      </c>
      <c r="F5327" t="s">
        <v>478</v>
      </c>
      <c r="G5327" t="s">
        <v>16</v>
      </c>
      <c r="H5327" t="s">
        <v>4091</v>
      </c>
      <c r="I5327">
        <v>1.7609999999999999</v>
      </c>
      <c r="J5327">
        <v>566.95000000000005</v>
      </c>
      <c r="K5327">
        <v>321.94775695627482</v>
      </c>
    </row>
    <row r="5328" spans="1:11" x14ac:dyDescent="0.25">
      <c r="A5328" t="s">
        <v>4092</v>
      </c>
      <c r="C5328" s="1">
        <v>40872</v>
      </c>
      <c r="D5328" s="1">
        <v>40878</v>
      </c>
      <c r="E5328">
        <v>1570</v>
      </c>
      <c r="F5328" t="s">
        <v>276</v>
      </c>
      <c r="G5328" t="s">
        <v>16</v>
      </c>
      <c r="H5328" t="s">
        <v>4093</v>
      </c>
      <c r="I5328">
        <v>1.8936999999999999</v>
      </c>
      <c r="J5328">
        <v>9708</v>
      </c>
      <c r="K5328">
        <v>5126.4719860590376</v>
      </c>
    </row>
    <row r="5329" spans="1:11" x14ac:dyDescent="0.25">
      <c r="A5329" t="s">
        <v>3210</v>
      </c>
      <c r="B5329" t="s">
        <v>3211</v>
      </c>
      <c r="C5329" s="1">
        <v>40816</v>
      </c>
      <c r="D5329" s="1">
        <v>40817</v>
      </c>
      <c r="E5329">
        <v>223</v>
      </c>
      <c r="F5329" t="s">
        <v>278</v>
      </c>
      <c r="G5329" t="s">
        <v>16</v>
      </c>
      <c r="H5329" t="s">
        <v>7265</v>
      </c>
      <c r="I5329">
        <v>1.8290999999999999</v>
      </c>
      <c r="J5329">
        <v>108000</v>
      </c>
      <c r="K5329">
        <v>59045.432179760537</v>
      </c>
    </row>
    <row r="5330" spans="1:11" x14ac:dyDescent="0.25">
      <c r="A5330" t="s">
        <v>677</v>
      </c>
      <c r="B5330" t="s">
        <v>678</v>
      </c>
      <c r="C5330" s="1">
        <v>40906</v>
      </c>
      <c r="D5330" s="1">
        <v>40910</v>
      </c>
      <c r="E5330">
        <v>2629</v>
      </c>
      <c r="F5330" t="s">
        <v>331</v>
      </c>
      <c r="G5330" t="s">
        <v>16</v>
      </c>
      <c r="H5330" t="s">
        <v>4094</v>
      </c>
      <c r="I5330">
        <v>1.8633999999999999</v>
      </c>
      <c r="J5330">
        <v>79472.39</v>
      </c>
      <c r="K5330">
        <v>42649.130621444674</v>
      </c>
    </row>
    <row r="5331" spans="1:11" x14ac:dyDescent="0.25">
      <c r="A5331" t="s">
        <v>677</v>
      </c>
      <c r="B5331" t="s">
        <v>678</v>
      </c>
      <c r="C5331" s="1">
        <v>40904</v>
      </c>
      <c r="D5331" s="1">
        <v>40911</v>
      </c>
      <c r="E5331">
        <v>2629</v>
      </c>
      <c r="F5331" t="s">
        <v>331</v>
      </c>
      <c r="G5331" t="s">
        <v>16</v>
      </c>
      <c r="H5331" t="s">
        <v>7266</v>
      </c>
      <c r="I5331">
        <v>1.8566</v>
      </c>
      <c r="J5331">
        <v>58744.5</v>
      </c>
      <c r="K5331">
        <v>31640.902725412045</v>
      </c>
    </row>
    <row r="5332" spans="1:11" x14ac:dyDescent="0.25">
      <c r="A5332" t="s">
        <v>4095</v>
      </c>
      <c r="C5332" s="1">
        <v>40895</v>
      </c>
      <c r="D5332" s="1">
        <v>40907</v>
      </c>
      <c r="E5332">
        <v>3131</v>
      </c>
      <c r="F5332" t="s">
        <v>4096</v>
      </c>
      <c r="G5332" t="s">
        <v>16</v>
      </c>
      <c r="H5332" t="s">
        <v>4097</v>
      </c>
      <c r="I5332">
        <v>1.8465</v>
      </c>
      <c r="J5332">
        <v>995.47</v>
      </c>
      <c r="K5332">
        <v>539.11183319794202</v>
      </c>
    </row>
    <row r="5333" spans="1:11" x14ac:dyDescent="0.25">
      <c r="A5333" t="s">
        <v>7267</v>
      </c>
      <c r="C5333" s="1">
        <v>40897</v>
      </c>
      <c r="D5333" s="1">
        <v>40906</v>
      </c>
      <c r="E5333">
        <v>3047</v>
      </c>
      <c r="F5333" t="s">
        <v>305</v>
      </c>
      <c r="G5333" t="s">
        <v>16</v>
      </c>
      <c r="H5333" t="s">
        <v>7268</v>
      </c>
      <c r="I5333">
        <v>1.8615999999999999</v>
      </c>
      <c r="J5333">
        <v>140</v>
      </c>
      <c r="K5333">
        <v>75.204125483455087</v>
      </c>
    </row>
    <row r="5334" spans="1:11" x14ac:dyDescent="0.25">
      <c r="A5334" t="s">
        <v>1368</v>
      </c>
      <c r="B5334" t="s">
        <v>1369</v>
      </c>
      <c r="C5334" s="1">
        <v>40933</v>
      </c>
      <c r="D5334" s="1">
        <v>40935</v>
      </c>
      <c r="E5334">
        <v>3413</v>
      </c>
      <c r="F5334" t="s">
        <v>689</v>
      </c>
      <c r="G5334" t="s">
        <v>16</v>
      </c>
      <c r="H5334" t="s">
        <v>4098</v>
      </c>
      <c r="I5334">
        <v>1.7648999999999999</v>
      </c>
      <c r="J5334">
        <v>49904.14</v>
      </c>
      <c r="K5334">
        <v>28275.90231741175</v>
      </c>
    </row>
    <row r="5335" spans="1:11" x14ac:dyDescent="0.25">
      <c r="A5335" t="s">
        <v>1841</v>
      </c>
      <c r="B5335" t="s">
        <v>286</v>
      </c>
      <c r="C5335" s="1">
        <v>40926</v>
      </c>
      <c r="D5335" s="1">
        <v>40928</v>
      </c>
      <c r="E5335">
        <v>1686</v>
      </c>
      <c r="F5335" t="s">
        <v>311</v>
      </c>
      <c r="G5335" t="s">
        <v>16</v>
      </c>
      <c r="H5335" t="s">
        <v>7269</v>
      </c>
      <c r="I5335">
        <v>1.776</v>
      </c>
      <c r="J5335">
        <v>18327.45</v>
      </c>
      <c r="K5335">
        <v>10319.510135135135</v>
      </c>
    </row>
    <row r="5336" spans="1:11" x14ac:dyDescent="0.25">
      <c r="A5336" t="s">
        <v>654</v>
      </c>
      <c r="B5336" t="s">
        <v>655</v>
      </c>
      <c r="C5336" s="1">
        <v>40904</v>
      </c>
      <c r="D5336" s="1">
        <v>40911</v>
      </c>
      <c r="E5336">
        <v>116</v>
      </c>
      <c r="F5336" t="s">
        <v>675</v>
      </c>
      <c r="G5336" t="s">
        <v>16</v>
      </c>
      <c r="H5336" t="s">
        <v>7270</v>
      </c>
      <c r="I5336">
        <v>1.8566</v>
      </c>
      <c r="J5336">
        <v>112439.81</v>
      </c>
      <c r="K5336">
        <v>60562.215878487557</v>
      </c>
    </row>
    <row r="5337" spans="1:11" x14ac:dyDescent="0.25">
      <c r="A5337" t="s">
        <v>4099</v>
      </c>
      <c r="B5337" t="s">
        <v>4100</v>
      </c>
      <c r="C5337" s="1">
        <v>40918</v>
      </c>
      <c r="D5337" s="1">
        <v>40927</v>
      </c>
      <c r="E5337">
        <v>2751</v>
      </c>
      <c r="F5337" t="s">
        <v>309</v>
      </c>
      <c r="G5337" t="s">
        <v>16</v>
      </c>
      <c r="H5337" t="s">
        <v>4101</v>
      </c>
      <c r="I5337">
        <v>1.8442000000000001</v>
      </c>
      <c r="J5337">
        <v>45555.58</v>
      </c>
      <c r="K5337">
        <v>24702.082203665545</v>
      </c>
    </row>
    <row r="5338" spans="1:11" x14ac:dyDescent="0.25">
      <c r="A5338" t="s">
        <v>4102</v>
      </c>
      <c r="B5338" t="s">
        <v>710</v>
      </c>
      <c r="C5338" s="1">
        <v>40900</v>
      </c>
      <c r="D5338" s="1">
        <v>40903</v>
      </c>
      <c r="E5338">
        <v>351</v>
      </c>
      <c r="F5338" t="s">
        <v>278</v>
      </c>
      <c r="G5338" t="s">
        <v>16</v>
      </c>
      <c r="H5338" t="s">
        <v>4103</v>
      </c>
      <c r="I5338">
        <v>1.8577999999999999</v>
      </c>
      <c r="J5338">
        <v>35836.720000000001</v>
      </c>
      <c r="K5338">
        <v>19289.869738400259</v>
      </c>
    </row>
    <row r="5339" spans="1:11" x14ac:dyDescent="0.25">
      <c r="A5339" t="s">
        <v>654</v>
      </c>
      <c r="B5339" t="s">
        <v>655</v>
      </c>
      <c r="C5339" s="1">
        <v>40897</v>
      </c>
      <c r="D5339" s="1">
        <v>40899</v>
      </c>
      <c r="E5339">
        <v>116</v>
      </c>
      <c r="F5339" t="s">
        <v>675</v>
      </c>
      <c r="G5339" t="s">
        <v>16</v>
      </c>
      <c r="H5339" t="s">
        <v>4104</v>
      </c>
      <c r="I5339">
        <v>1.8615999999999999</v>
      </c>
      <c r="J5339">
        <v>42537.2</v>
      </c>
      <c r="K5339">
        <v>22849.806617963044</v>
      </c>
    </row>
    <row r="5340" spans="1:11" x14ac:dyDescent="0.25">
      <c r="A5340" t="s">
        <v>3224</v>
      </c>
      <c r="B5340" t="s">
        <v>2856</v>
      </c>
      <c r="C5340" s="1">
        <v>40892</v>
      </c>
      <c r="D5340" s="1">
        <v>40898</v>
      </c>
      <c r="E5340">
        <v>2717</v>
      </c>
      <c r="F5340" t="s">
        <v>311</v>
      </c>
      <c r="G5340" t="s">
        <v>16</v>
      </c>
      <c r="H5340" t="s">
        <v>4105</v>
      </c>
      <c r="I5340">
        <v>1.8728</v>
      </c>
      <c r="J5340">
        <v>8013.34</v>
      </c>
      <c r="K5340">
        <v>4278.801794105083</v>
      </c>
    </row>
    <row r="5341" spans="1:11" x14ac:dyDescent="0.25">
      <c r="A5341" t="s">
        <v>672</v>
      </c>
      <c r="B5341" t="s">
        <v>673</v>
      </c>
      <c r="C5341" s="1">
        <v>40931</v>
      </c>
      <c r="D5341" s="1">
        <v>40933</v>
      </c>
      <c r="E5341">
        <v>118</v>
      </c>
      <c r="F5341" t="s">
        <v>370</v>
      </c>
      <c r="G5341" t="s">
        <v>16</v>
      </c>
      <c r="H5341" t="s">
        <v>7271</v>
      </c>
      <c r="I5341">
        <v>1.7669999999999999</v>
      </c>
      <c r="J5341">
        <v>43821.599999999999</v>
      </c>
      <c r="K5341">
        <v>24800</v>
      </c>
    </row>
    <row r="5342" spans="1:11" x14ac:dyDescent="0.25">
      <c r="A5342" t="s">
        <v>684</v>
      </c>
      <c r="B5342" t="s">
        <v>685</v>
      </c>
      <c r="C5342" s="1">
        <v>40925</v>
      </c>
      <c r="D5342" s="1">
        <v>40931</v>
      </c>
      <c r="E5342">
        <v>3636</v>
      </c>
      <c r="F5342" t="s">
        <v>309</v>
      </c>
      <c r="G5342" t="s">
        <v>16</v>
      </c>
      <c r="H5342" t="s">
        <v>7272</v>
      </c>
      <c r="I5342">
        <v>1.7836000000000001</v>
      </c>
      <c r="J5342">
        <v>25862.43</v>
      </c>
      <c r="K5342">
        <v>14500.128952679974</v>
      </c>
    </row>
    <row r="5343" spans="1:11" x14ac:dyDescent="0.25">
      <c r="A5343" t="s">
        <v>709</v>
      </c>
      <c r="B5343" t="s">
        <v>710</v>
      </c>
      <c r="C5343" s="1">
        <v>40942</v>
      </c>
      <c r="D5343" s="1">
        <v>40946</v>
      </c>
      <c r="E5343">
        <v>4</v>
      </c>
      <c r="F5343" t="s">
        <v>278</v>
      </c>
      <c r="G5343" t="s">
        <v>16</v>
      </c>
      <c r="H5343" t="s">
        <v>4106</v>
      </c>
      <c r="I5343">
        <v>1.7325999999999999</v>
      </c>
      <c r="J5343">
        <v>139065.9</v>
      </c>
      <c r="K5343">
        <v>80264.284889761053</v>
      </c>
    </row>
    <row r="5344" spans="1:11" x14ac:dyDescent="0.25">
      <c r="A5344" t="s">
        <v>709</v>
      </c>
      <c r="B5344" t="s">
        <v>710</v>
      </c>
      <c r="C5344" s="1">
        <v>40825</v>
      </c>
      <c r="D5344" s="1">
        <v>40919</v>
      </c>
      <c r="E5344">
        <v>4</v>
      </c>
      <c r="F5344" t="s">
        <v>278</v>
      </c>
      <c r="G5344" t="s">
        <v>16</v>
      </c>
      <c r="H5344" t="s">
        <v>4107</v>
      </c>
      <c r="I5344">
        <v>1.7665999999999999</v>
      </c>
      <c r="J5344">
        <v>109600.78</v>
      </c>
      <c r="K5344">
        <v>62040.518510132461</v>
      </c>
    </row>
    <row r="5345" spans="1:11" x14ac:dyDescent="0.25">
      <c r="A5345" t="s">
        <v>4108</v>
      </c>
      <c r="B5345" t="s">
        <v>4109</v>
      </c>
      <c r="C5345" s="1">
        <v>40931</v>
      </c>
      <c r="D5345" s="1">
        <v>40932</v>
      </c>
      <c r="E5345">
        <v>3706</v>
      </c>
      <c r="F5345" t="s">
        <v>4110</v>
      </c>
      <c r="G5345" t="s">
        <v>16</v>
      </c>
      <c r="H5345" t="s">
        <v>4111</v>
      </c>
      <c r="I5345">
        <v>1.7669999999999999</v>
      </c>
      <c r="J5345">
        <v>124202.43</v>
      </c>
      <c r="K5345">
        <v>70290</v>
      </c>
    </row>
    <row r="5346" spans="1:11" x14ac:dyDescent="0.25">
      <c r="A5346" t="s">
        <v>1841</v>
      </c>
      <c r="B5346" t="s">
        <v>286</v>
      </c>
      <c r="C5346" s="1">
        <v>40896</v>
      </c>
      <c r="D5346" s="1">
        <v>40897</v>
      </c>
      <c r="E5346">
        <v>1686</v>
      </c>
      <c r="F5346" t="s">
        <v>311</v>
      </c>
      <c r="G5346" t="s">
        <v>16</v>
      </c>
      <c r="H5346" t="s">
        <v>7273</v>
      </c>
      <c r="I5346">
        <v>1.8465</v>
      </c>
      <c r="J5346">
        <v>203038</v>
      </c>
      <c r="K5346">
        <v>109958.29948551314</v>
      </c>
    </row>
    <row r="5347" spans="1:11" x14ac:dyDescent="0.25">
      <c r="A5347" t="s">
        <v>731</v>
      </c>
      <c r="B5347" t="s">
        <v>732</v>
      </c>
      <c r="C5347" s="1">
        <v>40970</v>
      </c>
      <c r="D5347" s="1">
        <v>40976</v>
      </c>
      <c r="E5347">
        <v>1716</v>
      </c>
      <c r="F5347" t="s">
        <v>689</v>
      </c>
      <c r="G5347" t="s">
        <v>16</v>
      </c>
      <c r="H5347" t="s">
        <v>7274</v>
      </c>
      <c r="I5347">
        <v>1.7152000000000001</v>
      </c>
      <c r="J5347">
        <v>49810.76</v>
      </c>
      <c r="K5347">
        <v>29040.788246268658</v>
      </c>
    </row>
    <row r="5348" spans="1:11" x14ac:dyDescent="0.25">
      <c r="A5348" t="s">
        <v>731</v>
      </c>
      <c r="B5348" t="s">
        <v>732</v>
      </c>
      <c r="C5348" s="1">
        <v>40966</v>
      </c>
      <c r="D5348" s="1">
        <v>40976</v>
      </c>
      <c r="E5348">
        <v>1716</v>
      </c>
      <c r="F5348" t="s">
        <v>689</v>
      </c>
      <c r="G5348" t="s">
        <v>16</v>
      </c>
      <c r="H5348" t="s">
        <v>7275</v>
      </c>
      <c r="I5348">
        <v>1.7098</v>
      </c>
      <c r="J5348">
        <v>51276.18</v>
      </c>
      <c r="K5348">
        <v>29989.577728389286</v>
      </c>
    </row>
    <row r="5349" spans="1:11" x14ac:dyDescent="0.25">
      <c r="A5349" t="s">
        <v>717</v>
      </c>
      <c r="B5349" t="s">
        <v>718</v>
      </c>
      <c r="C5349" s="1">
        <v>40995</v>
      </c>
      <c r="D5349" s="1">
        <v>41000</v>
      </c>
      <c r="E5349">
        <v>3</v>
      </c>
      <c r="F5349" t="s">
        <v>309</v>
      </c>
      <c r="G5349" t="s">
        <v>16</v>
      </c>
      <c r="H5349" t="s">
        <v>4112</v>
      </c>
      <c r="I5349">
        <v>1.8143</v>
      </c>
      <c r="J5349">
        <v>41531.08</v>
      </c>
      <c r="K5349">
        <v>22890.966212864467</v>
      </c>
    </row>
    <row r="5350" spans="1:11" x14ac:dyDescent="0.25">
      <c r="A5350" t="s">
        <v>736</v>
      </c>
      <c r="B5350" t="s">
        <v>737</v>
      </c>
      <c r="C5350" s="1">
        <v>40968</v>
      </c>
      <c r="D5350" s="1">
        <v>40971</v>
      </c>
      <c r="E5350">
        <v>3415</v>
      </c>
      <c r="F5350" t="s">
        <v>689</v>
      </c>
      <c r="G5350" t="s">
        <v>16</v>
      </c>
      <c r="H5350" t="s">
        <v>7276</v>
      </c>
      <c r="I5350">
        <v>1.7023999999999999</v>
      </c>
      <c r="J5350">
        <v>49609.1</v>
      </c>
      <c r="K5350">
        <v>29140.683740601504</v>
      </c>
    </row>
    <row r="5351" spans="1:11" x14ac:dyDescent="0.25">
      <c r="A5351" t="s">
        <v>654</v>
      </c>
      <c r="B5351" t="s">
        <v>655</v>
      </c>
      <c r="C5351" s="1">
        <v>40953</v>
      </c>
      <c r="D5351" s="1">
        <v>40970</v>
      </c>
      <c r="E5351">
        <v>116</v>
      </c>
      <c r="F5351" t="s">
        <v>675</v>
      </c>
      <c r="G5351" t="s">
        <v>16</v>
      </c>
      <c r="H5351" t="s">
        <v>4113</v>
      </c>
      <c r="I5351">
        <v>1.7169000000000001</v>
      </c>
      <c r="J5351">
        <v>271468.79999999999</v>
      </c>
      <c r="K5351">
        <v>158115.67359776341</v>
      </c>
    </row>
    <row r="5352" spans="1:11" x14ac:dyDescent="0.25">
      <c r="A5352" t="s">
        <v>4114</v>
      </c>
      <c r="C5352" s="1">
        <v>41002</v>
      </c>
      <c r="D5352" s="1">
        <v>41012</v>
      </c>
      <c r="E5352">
        <v>5129</v>
      </c>
      <c r="F5352" t="s">
        <v>285</v>
      </c>
      <c r="G5352" t="s">
        <v>16</v>
      </c>
      <c r="H5352" t="s">
        <v>4115</v>
      </c>
      <c r="I5352">
        <v>1.8313999999999999</v>
      </c>
      <c r="J5352">
        <v>95</v>
      </c>
      <c r="K5352">
        <v>51.872884132357761</v>
      </c>
    </row>
    <row r="5353" spans="1:11" x14ac:dyDescent="0.25">
      <c r="A5353" t="s">
        <v>1851</v>
      </c>
      <c r="B5353" t="s">
        <v>144</v>
      </c>
      <c r="C5353" s="1">
        <v>41003</v>
      </c>
      <c r="D5353" s="1">
        <v>41008</v>
      </c>
      <c r="E5353">
        <v>3513</v>
      </c>
      <c r="F5353" t="s">
        <v>689</v>
      </c>
      <c r="G5353" t="s">
        <v>16</v>
      </c>
      <c r="H5353" t="s">
        <v>7277</v>
      </c>
      <c r="I5353">
        <v>1.8255999999999999</v>
      </c>
      <c r="J5353">
        <v>22374</v>
      </c>
      <c r="K5353">
        <v>12255.6967572305</v>
      </c>
    </row>
    <row r="5354" spans="1:11" x14ac:dyDescent="0.25">
      <c r="A5354" t="s">
        <v>687</v>
      </c>
      <c r="B5354" t="s">
        <v>688</v>
      </c>
      <c r="C5354" s="1">
        <v>40963</v>
      </c>
      <c r="D5354" s="1">
        <v>40964</v>
      </c>
      <c r="E5354">
        <v>3414</v>
      </c>
      <c r="F5354" t="s">
        <v>689</v>
      </c>
      <c r="G5354" t="s">
        <v>16</v>
      </c>
      <c r="H5354" t="s">
        <v>7278</v>
      </c>
      <c r="I5354">
        <v>1.704</v>
      </c>
      <c r="J5354">
        <v>46021.86</v>
      </c>
      <c r="K5354">
        <v>27008.133802816901</v>
      </c>
    </row>
    <row r="5355" spans="1:11" x14ac:dyDescent="0.25">
      <c r="A5355" t="s">
        <v>717</v>
      </c>
      <c r="B5355" t="s">
        <v>718</v>
      </c>
      <c r="C5355" s="1">
        <v>40992</v>
      </c>
      <c r="D5355" s="1">
        <v>40998</v>
      </c>
      <c r="E5355">
        <v>3</v>
      </c>
      <c r="F5355" t="s">
        <v>309</v>
      </c>
      <c r="G5355" t="s">
        <v>16</v>
      </c>
      <c r="H5355" t="s">
        <v>4116</v>
      </c>
      <c r="I5355">
        <v>1.8193999999999999</v>
      </c>
      <c r="J5355">
        <v>57211.64</v>
      </c>
      <c r="K5355">
        <v>31445.333626470267</v>
      </c>
    </row>
    <row r="5356" spans="1:11" x14ac:dyDescent="0.25">
      <c r="A5356" t="s">
        <v>4117</v>
      </c>
      <c r="B5356" t="s">
        <v>455</v>
      </c>
      <c r="C5356" s="1">
        <v>41008</v>
      </c>
      <c r="D5356" s="1">
        <v>41011</v>
      </c>
      <c r="E5356">
        <v>5007</v>
      </c>
      <c r="F5356" t="s">
        <v>311</v>
      </c>
      <c r="G5356" t="s">
        <v>16</v>
      </c>
      <c r="H5356" t="s">
        <v>4118</v>
      </c>
      <c r="I5356">
        <v>1.8301000000000001</v>
      </c>
      <c r="J5356">
        <v>105379.2</v>
      </c>
      <c r="K5356">
        <v>57581.115786022623</v>
      </c>
    </row>
    <row r="5357" spans="1:11" x14ac:dyDescent="0.25">
      <c r="A5357" t="s">
        <v>736</v>
      </c>
      <c r="B5357" t="s">
        <v>737</v>
      </c>
      <c r="C5357" s="1">
        <v>40964</v>
      </c>
      <c r="D5357" s="1">
        <v>40966</v>
      </c>
      <c r="E5357">
        <v>3415</v>
      </c>
      <c r="F5357" t="s">
        <v>689</v>
      </c>
      <c r="G5357" t="s">
        <v>16</v>
      </c>
      <c r="H5357" t="s">
        <v>4119</v>
      </c>
      <c r="I5357">
        <v>1.7098</v>
      </c>
      <c r="J5357">
        <v>49528.43</v>
      </c>
      <c r="K5357">
        <v>28967.382149959059</v>
      </c>
    </row>
    <row r="5358" spans="1:11" x14ac:dyDescent="0.25">
      <c r="A5358" t="s">
        <v>1857</v>
      </c>
      <c r="B5358" t="s">
        <v>1858</v>
      </c>
      <c r="C5358" s="1">
        <v>40942</v>
      </c>
      <c r="D5358" s="1">
        <v>40949</v>
      </c>
      <c r="E5358">
        <v>1714</v>
      </c>
      <c r="F5358" t="s">
        <v>689</v>
      </c>
      <c r="G5358" t="s">
        <v>16</v>
      </c>
      <c r="H5358" t="s">
        <v>7279</v>
      </c>
      <c r="I5358">
        <v>1.7325999999999999</v>
      </c>
      <c r="J5358">
        <v>37236.120000000003</v>
      </c>
      <c r="K5358">
        <v>21491.469467851784</v>
      </c>
    </row>
    <row r="5359" spans="1:11" x14ac:dyDescent="0.25">
      <c r="A5359" t="s">
        <v>687</v>
      </c>
      <c r="B5359" t="s">
        <v>688</v>
      </c>
      <c r="C5359" s="1">
        <v>40963</v>
      </c>
      <c r="D5359" s="1">
        <v>40964</v>
      </c>
      <c r="E5359">
        <v>3414</v>
      </c>
      <c r="F5359" t="s">
        <v>689</v>
      </c>
      <c r="G5359" t="s">
        <v>16</v>
      </c>
      <c r="H5359" t="s">
        <v>4120</v>
      </c>
      <c r="I5359">
        <v>1.704</v>
      </c>
      <c r="J5359">
        <v>46098.54</v>
      </c>
      <c r="K5359">
        <v>27053.133802816901</v>
      </c>
    </row>
    <row r="5360" spans="1:11" x14ac:dyDescent="0.25">
      <c r="A5360" t="s">
        <v>720</v>
      </c>
      <c r="B5360" t="s">
        <v>721</v>
      </c>
      <c r="C5360" s="1">
        <v>41079</v>
      </c>
      <c r="D5360" s="1">
        <v>41081</v>
      </c>
      <c r="E5360">
        <v>4819</v>
      </c>
      <c r="F5360" t="s">
        <v>689</v>
      </c>
      <c r="G5360" t="s">
        <v>16</v>
      </c>
      <c r="H5360" t="s">
        <v>7280</v>
      </c>
      <c r="I5360">
        <v>2.0634000000000001</v>
      </c>
      <c r="J5360">
        <v>42008.28</v>
      </c>
      <c r="K5360">
        <v>20358.767083454492</v>
      </c>
    </row>
    <row r="5361" spans="1:11" x14ac:dyDescent="0.25">
      <c r="A5361" t="s">
        <v>731</v>
      </c>
      <c r="B5361" t="s">
        <v>732</v>
      </c>
      <c r="C5361" s="1">
        <v>40971</v>
      </c>
      <c r="D5361" s="1">
        <v>40987</v>
      </c>
      <c r="E5361">
        <v>1716</v>
      </c>
      <c r="F5361" t="s">
        <v>689</v>
      </c>
      <c r="G5361" t="s">
        <v>16</v>
      </c>
      <c r="H5361" t="s">
        <v>7281</v>
      </c>
      <c r="I5361">
        <v>1.7244999999999999</v>
      </c>
      <c r="J5361">
        <v>59919.56</v>
      </c>
      <c r="K5361">
        <v>34746.048129892726</v>
      </c>
    </row>
    <row r="5362" spans="1:11" x14ac:dyDescent="0.25">
      <c r="A5362" t="s">
        <v>704</v>
      </c>
      <c r="B5362" t="s">
        <v>705</v>
      </c>
      <c r="C5362" s="1">
        <v>40975</v>
      </c>
      <c r="D5362" s="1">
        <v>40977</v>
      </c>
      <c r="E5362">
        <v>3416</v>
      </c>
      <c r="F5362" t="s">
        <v>689</v>
      </c>
      <c r="G5362" t="s">
        <v>16</v>
      </c>
      <c r="H5362" t="s">
        <v>7282</v>
      </c>
      <c r="I5362">
        <v>1.7556</v>
      </c>
      <c r="J5362">
        <v>40258.589999999997</v>
      </c>
      <c r="K5362">
        <v>22931.527682843473</v>
      </c>
    </row>
    <row r="5363" spans="1:11" x14ac:dyDescent="0.25">
      <c r="A5363" t="s">
        <v>727</v>
      </c>
      <c r="B5363" t="s">
        <v>728</v>
      </c>
      <c r="C5363" s="1">
        <v>40964</v>
      </c>
      <c r="D5363" s="1">
        <v>40976</v>
      </c>
      <c r="E5363">
        <v>1715</v>
      </c>
      <c r="F5363" t="s">
        <v>689</v>
      </c>
      <c r="G5363" t="s">
        <v>16</v>
      </c>
      <c r="H5363" t="s">
        <v>3955</v>
      </c>
      <c r="I5363">
        <v>1.7098</v>
      </c>
      <c r="J5363">
        <v>39170.519999999997</v>
      </c>
      <c r="K5363">
        <v>22909.416306000701</v>
      </c>
    </row>
    <row r="5364" spans="1:11" x14ac:dyDescent="0.25">
      <c r="A5364" t="s">
        <v>727</v>
      </c>
      <c r="B5364" t="s">
        <v>728</v>
      </c>
      <c r="C5364" s="1">
        <v>40970</v>
      </c>
      <c r="D5364" s="1">
        <v>40976</v>
      </c>
      <c r="E5364">
        <v>1715</v>
      </c>
      <c r="F5364" t="s">
        <v>689</v>
      </c>
      <c r="G5364" t="s">
        <v>16</v>
      </c>
      <c r="H5364" t="s">
        <v>7283</v>
      </c>
      <c r="I5364">
        <v>1.7152000000000001</v>
      </c>
      <c r="J5364">
        <v>39170.519999999997</v>
      </c>
      <c r="K5364">
        <v>22837.2901119403</v>
      </c>
    </row>
    <row r="5365" spans="1:11" x14ac:dyDescent="0.25">
      <c r="A5365" t="s">
        <v>704</v>
      </c>
      <c r="B5365" t="s">
        <v>705</v>
      </c>
      <c r="C5365" s="1">
        <v>40973</v>
      </c>
      <c r="D5365" s="1">
        <v>40975</v>
      </c>
      <c r="E5365">
        <v>3416</v>
      </c>
      <c r="F5365" t="s">
        <v>689</v>
      </c>
      <c r="G5365" t="s">
        <v>16</v>
      </c>
      <c r="H5365" t="s">
        <v>7284</v>
      </c>
      <c r="I5365">
        <v>1.7244999999999999</v>
      </c>
      <c r="J5365">
        <v>40258.589999999997</v>
      </c>
      <c r="K5365">
        <v>23345.079733256018</v>
      </c>
    </row>
    <row r="5366" spans="1:11" x14ac:dyDescent="0.25">
      <c r="A5366" t="s">
        <v>1372</v>
      </c>
      <c r="B5366" t="s">
        <v>1373</v>
      </c>
      <c r="C5366" s="1">
        <v>40966</v>
      </c>
      <c r="D5366" s="1">
        <v>40969</v>
      </c>
      <c r="E5366">
        <v>4280</v>
      </c>
      <c r="F5366" t="s">
        <v>301</v>
      </c>
      <c r="G5366" t="s">
        <v>16</v>
      </c>
      <c r="H5366" t="s">
        <v>4121</v>
      </c>
      <c r="I5366">
        <v>1.7098</v>
      </c>
      <c r="J5366">
        <v>35700</v>
      </c>
      <c r="K5366">
        <v>20879.635045034505</v>
      </c>
    </row>
    <row r="5367" spans="1:11" x14ac:dyDescent="0.25">
      <c r="A5367" t="s">
        <v>704</v>
      </c>
      <c r="B5367" t="s">
        <v>705</v>
      </c>
      <c r="C5367" s="1">
        <v>40971</v>
      </c>
      <c r="D5367" s="1">
        <v>40974</v>
      </c>
      <c r="E5367">
        <v>3416</v>
      </c>
      <c r="F5367" t="s">
        <v>689</v>
      </c>
      <c r="G5367" t="s">
        <v>16</v>
      </c>
      <c r="H5367" t="s">
        <v>4122</v>
      </c>
      <c r="I5367">
        <v>1.7244999999999999</v>
      </c>
      <c r="J5367">
        <v>40258.589999999997</v>
      </c>
      <c r="K5367">
        <v>23345.079733256018</v>
      </c>
    </row>
    <row r="5368" spans="1:11" x14ac:dyDescent="0.25">
      <c r="A5368" t="s">
        <v>687</v>
      </c>
      <c r="B5368" t="s">
        <v>688</v>
      </c>
      <c r="C5368" s="1">
        <v>40970</v>
      </c>
      <c r="D5368" s="1">
        <v>40974</v>
      </c>
      <c r="E5368">
        <v>3414</v>
      </c>
      <c r="F5368" t="s">
        <v>689</v>
      </c>
      <c r="G5368" t="s">
        <v>16</v>
      </c>
      <c r="H5368" t="s">
        <v>7285</v>
      </c>
      <c r="I5368">
        <v>1.7152000000000001</v>
      </c>
      <c r="J5368">
        <v>48560.45</v>
      </c>
      <c r="K5368">
        <v>28311.829524253732</v>
      </c>
    </row>
    <row r="5369" spans="1:11" x14ac:dyDescent="0.25">
      <c r="A5369" t="s">
        <v>731</v>
      </c>
      <c r="B5369" t="s">
        <v>732</v>
      </c>
      <c r="C5369" s="1">
        <v>40934</v>
      </c>
      <c r="D5369" s="1">
        <v>40951</v>
      </c>
      <c r="E5369">
        <v>1716</v>
      </c>
      <c r="F5369" t="s">
        <v>689</v>
      </c>
      <c r="G5369" t="s">
        <v>16</v>
      </c>
      <c r="H5369" t="s">
        <v>4123</v>
      </c>
      <c r="I5369">
        <v>1.7632000000000001</v>
      </c>
      <c r="J5369">
        <v>49770.43</v>
      </c>
      <c r="K5369">
        <v>28227.330989110709</v>
      </c>
    </row>
    <row r="5370" spans="1:11" x14ac:dyDescent="0.25">
      <c r="A5370" t="s">
        <v>704</v>
      </c>
      <c r="B5370" t="s">
        <v>705</v>
      </c>
      <c r="C5370" s="1">
        <v>40976</v>
      </c>
      <c r="D5370" s="1">
        <v>40979</v>
      </c>
      <c r="E5370">
        <v>3416</v>
      </c>
      <c r="F5370" t="s">
        <v>689</v>
      </c>
      <c r="G5370" t="s">
        <v>16</v>
      </c>
      <c r="H5370" t="s">
        <v>7286</v>
      </c>
      <c r="I5370">
        <v>1.7692000000000001</v>
      </c>
      <c r="J5370">
        <v>39170.519999999997</v>
      </c>
      <c r="K5370">
        <v>22140.244178159621</v>
      </c>
    </row>
    <row r="5371" spans="1:11" x14ac:dyDescent="0.25">
      <c r="A5371" t="s">
        <v>704</v>
      </c>
      <c r="B5371" t="s">
        <v>705</v>
      </c>
      <c r="C5371" s="1">
        <v>40966</v>
      </c>
      <c r="D5371" s="1">
        <v>40968</v>
      </c>
      <c r="E5371">
        <v>3416</v>
      </c>
      <c r="F5371" t="s">
        <v>689</v>
      </c>
      <c r="G5371" t="s">
        <v>16</v>
      </c>
      <c r="H5371" t="s">
        <v>7287</v>
      </c>
      <c r="I5371">
        <v>1.7098</v>
      </c>
      <c r="J5371">
        <v>40258.589999999997</v>
      </c>
      <c r="K5371">
        <v>23545.788981167389</v>
      </c>
    </row>
    <row r="5372" spans="1:11" x14ac:dyDescent="0.25">
      <c r="A5372" t="s">
        <v>4124</v>
      </c>
      <c r="B5372" t="s">
        <v>4125</v>
      </c>
      <c r="C5372" s="1">
        <v>40966</v>
      </c>
      <c r="D5372" s="1">
        <v>40968</v>
      </c>
      <c r="E5372">
        <v>4018</v>
      </c>
      <c r="F5372" t="s">
        <v>338</v>
      </c>
      <c r="G5372" t="s">
        <v>16</v>
      </c>
      <c r="H5372" t="s">
        <v>4126</v>
      </c>
      <c r="I5372">
        <v>1.7098</v>
      </c>
      <c r="J5372">
        <v>196930.41</v>
      </c>
      <c r="K5372">
        <v>115177.45350333372</v>
      </c>
    </row>
    <row r="5373" spans="1:11" x14ac:dyDescent="0.25">
      <c r="A5373" t="s">
        <v>1879</v>
      </c>
      <c r="B5373" t="s">
        <v>1880</v>
      </c>
      <c r="C5373" s="1">
        <v>40985</v>
      </c>
      <c r="D5373" s="1">
        <v>40987</v>
      </c>
      <c r="E5373">
        <v>4591</v>
      </c>
      <c r="F5373" t="s">
        <v>1881</v>
      </c>
      <c r="G5373" t="s">
        <v>16</v>
      </c>
      <c r="H5373" t="s">
        <v>4127</v>
      </c>
      <c r="I5373">
        <v>1.8016000000000001</v>
      </c>
      <c r="J5373">
        <v>14594.56</v>
      </c>
      <c r="K5373">
        <v>8100.8880994671399</v>
      </c>
    </row>
    <row r="5374" spans="1:11" x14ac:dyDescent="0.25">
      <c r="A5374" t="s">
        <v>704</v>
      </c>
      <c r="B5374" t="s">
        <v>705</v>
      </c>
      <c r="C5374" s="1">
        <v>40975</v>
      </c>
      <c r="D5374" s="1">
        <v>40977</v>
      </c>
      <c r="E5374">
        <v>3416</v>
      </c>
      <c r="F5374" t="s">
        <v>689</v>
      </c>
      <c r="G5374" t="s">
        <v>16</v>
      </c>
      <c r="H5374" t="s">
        <v>4128</v>
      </c>
      <c r="I5374">
        <v>1.7556</v>
      </c>
      <c r="J5374">
        <v>40258.589999999997</v>
      </c>
      <c r="K5374">
        <v>22931.527682843473</v>
      </c>
    </row>
    <row r="5375" spans="1:11" x14ac:dyDescent="0.25">
      <c r="A5375" t="s">
        <v>704</v>
      </c>
      <c r="B5375" t="s">
        <v>705</v>
      </c>
      <c r="C5375" s="1">
        <v>40971</v>
      </c>
      <c r="D5375" s="1">
        <v>40973</v>
      </c>
      <c r="E5375">
        <v>3416</v>
      </c>
      <c r="F5375" t="s">
        <v>689</v>
      </c>
      <c r="G5375" t="s">
        <v>16</v>
      </c>
      <c r="H5375" t="s">
        <v>4129</v>
      </c>
      <c r="I5375">
        <v>1.7244999999999999</v>
      </c>
      <c r="J5375">
        <v>40258.589999999997</v>
      </c>
      <c r="K5375">
        <v>23345.079733256018</v>
      </c>
    </row>
    <row r="5376" spans="1:11" x14ac:dyDescent="0.25">
      <c r="A5376" t="s">
        <v>704</v>
      </c>
      <c r="B5376" t="s">
        <v>705</v>
      </c>
      <c r="C5376" s="1">
        <v>40976</v>
      </c>
      <c r="D5376" s="1">
        <v>40978</v>
      </c>
      <c r="E5376">
        <v>3416</v>
      </c>
      <c r="F5376" t="s">
        <v>689</v>
      </c>
      <c r="G5376" t="s">
        <v>16</v>
      </c>
      <c r="H5376" t="s">
        <v>4130</v>
      </c>
      <c r="I5376">
        <v>1.7692000000000001</v>
      </c>
      <c r="J5376">
        <v>40258.589999999997</v>
      </c>
      <c r="K5376">
        <v>22755.250960886275</v>
      </c>
    </row>
    <row r="5377" spans="1:11" x14ac:dyDescent="0.25">
      <c r="A5377" t="s">
        <v>687</v>
      </c>
      <c r="B5377" t="s">
        <v>688</v>
      </c>
      <c r="C5377" s="1">
        <v>40957</v>
      </c>
      <c r="D5377" s="1">
        <v>40959</v>
      </c>
      <c r="E5377">
        <v>3414</v>
      </c>
      <c r="F5377" t="s">
        <v>689</v>
      </c>
      <c r="G5377" t="s">
        <v>16</v>
      </c>
      <c r="H5377" t="s">
        <v>4131</v>
      </c>
      <c r="I5377">
        <v>1.7136</v>
      </c>
      <c r="J5377">
        <v>47287.11</v>
      </c>
      <c r="K5377">
        <v>27595.18557422969</v>
      </c>
    </row>
    <row r="5378" spans="1:11" x14ac:dyDescent="0.25">
      <c r="A5378" t="s">
        <v>7288</v>
      </c>
      <c r="B5378" t="s">
        <v>7289</v>
      </c>
      <c r="C5378" s="1">
        <v>40991</v>
      </c>
      <c r="D5378" s="1">
        <v>40996</v>
      </c>
      <c r="E5378">
        <v>4699</v>
      </c>
      <c r="F5378" t="s">
        <v>665</v>
      </c>
      <c r="G5378" t="s">
        <v>16</v>
      </c>
      <c r="H5378" t="s">
        <v>7290</v>
      </c>
      <c r="I5378">
        <v>1.825</v>
      </c>
      <c r="J5378">
        <v>91494</v>
      </c>
      <c r="K5378">
        <v>50133.698630136983</v>
      </c>
    </row>
    <row r="5379" spans="1:11" x14ac:dyDescent="0.25">
      <c r="A5379" t="s">
        <v>736</v>
      </c>
      <c r="B5379" t="s">
        <v>737</v>
      </c>
      <c r="C5379" s="1">
        <v>40968</v>
      </c>
      <c r="D5379" s="1">
        <v>40969</v>
      </c>
      <c r="E5379">
        <v>3415</v>
      </c>
      <c r="F5379" t="s">
        <v>689</v>
      </c>
      <c r="G5379" t="s">
        <v>16</v>
      </c>
      <c r="H5379" t="s">
        <v>4132</v>
      </c>
      <c r="I5379">
        <v>1.7023999999999999</v>
      </c>
      <c r="J5379">
        <v>51020.74</v>
      </c>
      <c r="K5379">
        <v>29969.889567669172</v>
      </c>
    </row>
    <row r="5380" spans="1:11" x14ac:dyDescent="0.25">
      <c r="A5380" t="s">
        <v>736</v>
      </c>
      <c r="B5380" t="s">
        <v>737</v>
      </c>
      <c r="C5380" s="1">
        <v>40967</v>
      </c>
      <c r="D5380" s="1">
        <v>40969</v>
      </c>
      <c r="E5380">
        <v>3415</v>
      </c>
      <c r="F5380" t="s">
        <v>689</v>
      </c>
      <c r="G5380" t="s">
        <v>16</v>
      </c>
      <c r="H5380" t="s">
        <v>4133</v>
      </c>
      <c r="I5380">
        <v>1.7088000000000001</v>
      </c>
      <c r="J5380">
        <v>49810.76</v>
      </c>
      <c r="K5380">
        <v>29149.555243445691</v>
      </c>
    </row>
    <row r="5381" spans="1:11" x14ac:dyDescent="0.25">
      <c r="A5381" t="s">
        <v>736</v>
      </c>
      <c r="B5381" t="s">
        <v>737</v>
      </c>
      <c r="C5381" s="1">
        <v>40968</v>
      </c>
      <c r="D5381" s="1">
        <v>40970</v>
      </c>
      <c r="E5381">
        <v>3415</v>
      </c>
      <c r="F5381" t="s">
        <v>689</v>
      </c>
      <c r="G5381" t="s">
        <v>16</v>
      </c>
      <c r="H5381" t="s">
        <v>7291</v>
      </c>
      <c r="I5381">
        <v>1.7023999999999999</v>
      </c>
      <c r="J5381">
        <v>67274.78</v>
      </c>
      <c r="K5381">
        <v>39517.610432330825</v>
      </c>
    </row>
    <row r="5382" spans="1:11" x14ac:dyDescent="0.25">
      <c r="A5382" t="s">
        <v>687</v>
      </c>
      <c r="B5382" t="s">
        <v>688</v>
      </c>
      <c r="C5382" s="1">
        <v>40961</v>
      </c>
      <c r="D5382" s="1">
        <v>40962</v>
      </c>
      <c r="E5382">
        <v>3414</v>
      </c>
      <c r="F5382" t="s">
        <v>689</v>
      </c>
      <c r="G5382" t="s">
        <v>16</v>
      </c>
      <c r="H5382" t="s">
        <v>7292</v>
      </c>
      <c r="I5382">
        <v>1.7136</v>
      </c>
      <c r="J5382">
        <v>45906.84</v>
      </c>
      <c r="K5382">
        <v>26789.705882352941</v>
      </c>
    </row>
    <row r="5383" spans="1:11" x14ac:dyDescent="0.25">
      <c r="A5383" t="s">
        <v>704</v>
      </c>
      <c r="B5383" t="s">
        <v>705</v>
      </c>
      <c r="C5383" s="1">
        <v>40974</v>
      </c>
      <c r="D5383" s="1">
        <v>40978</v>
      </c>
      <c r="E5383">
        <v>3416</v>
      </c>
      <c r="F5383" t="s">
        <v>689</v>
      </c>
      <c r="G5383" t="s">
        <v>16</v>
      </c>
      <c r="H5383" t="s">
        <v>4134</v>
      </c>
      <c r="I5383">
        <v>1.7314000000000001</v>
      </c>
      <c r="J5383">
        <v>40258.589999999997</v>
      </c>
      <c r="K5383">
        <v>23252.044588194523</v>
      </c>
    </row>
    <row r="5384" spans="1:11" x14ac:dyDescent="0.25">
      <c r="A5384" t="s">
        <v>704</v>
      </c>
      <c r="B5384" t="s">
        <v>705</v>
      </c>
      <c r="C5384" s="1">
        <v>40981</v>
      </c>
      <c r="D5384" s="1">
        <v>40983</v>
      </c>
      <c r="E5384">
        <v>3416</v>
      </c>
      <c r="F5384" t="s">
        <v>689</v>
      </c>
      <c r="G5384" t="s">
        <v>16</v>
      </c>
      <c r="H5384" t="s">
        <v>4135</v>
      </c>
      <c r="I5384">
        <v>1.8157000000000001</v>
      </c>
      <c r="J5384">
        <v>40258.589999999997</v>
      </c>
      <c r="K5384">
        <v>22172.489948780083</v>
      </c>
    </row>
    <row r="5385" spans="1:11" x14ac:dyDescent="0.25">
      <c r="A5385" t="s">
        <v>704</v>
      </c>
      <c r="B5385" t="s">
        <v>705</v>
      </c>
      <c r="C5385" s="1">
        <v>40981</v>
      </c>
      <c r="D5385" s="1">
        <v>40983</v>
      </c>
      <c r="E5385">
        <v>3416</v>
      </c>
      <c r="F5385" t="s">
        <v>689</v>
      </c>
      <c r="G5385" t="s">
        <v>16</v>
      </c>
      <c r="H5385" t="s">
        <v>4136</v>
      </c>
      <c r="I5385">
        <v>1.8157000000000001</v>
      </c>
      <c r="J5385">
        <v>40258.589999999997</v>
      </c>
      <c r="K5385">
        <v>22172.489948780083</v>
      </c>
    </row>
    <row r="5386" spans="1:11" x14ac:dyDescent="0.25">
      <c r="A5386" t="s">
        <v>1879</v>
      </c>
      <c r="B5386" t="s">
        <v>1880</v>
      </c>
      <c r="C5386" s="1">
        <v>40983</v>
      </c>
      <c r="D5386" s="1">
        <v>40984</v>
      </c>
      <c r="E5386">
        <v>4591</v>
      </c>
      <c r="F5386" t="s">
        <v>1881</v>
      </c>
      <c r="G5386" t="s">
        <v>16</v>
      </c>
      <c r="H5386" t="s">
        <v>7293</v>
      </c>
      <c r="I5386">
        <v>1.8146</v>
      </c>
      <c r="J5386">
        <v>7076.94</v>
      </c>
      <c r="K5386">
        <v>3900</v>
      </c>
    </row>
    <row r="5387" spans="1:11" x14ac:dyDescent="0.25">
      <c r="A5387" t="s">
        <v>1851</v>
      </c>
      <c r="B5387" t="s">
        <v>144</v>
      </c>
      <c r="C5387" s="1">
        <v>41004</v>
      </c>
      <c r="D5387" s="1">
        <v>41009</v>
      </c>
      <c r="E5387">
        <v>3513</v>
      </c>
      <c r="F5387" t="s">
        <v>689</v>
      </c>
      <c r="G5387" t="s">
        <v>16</v>
      </c>
      <c r="H5387" t="s">
        <v>7294</v>
      </c>
      <c r="I5387">
        <v>1.8315999999999999</v>
      </c>
      <c r="J5387">
        <v>22212</v>
      </c>
      <c r="K5387">
        <v>12127.101987333479</v>
      </c>
    </row>
    <row r="5388" spans="1:11" x14ac:dyDescent="0.25">
      <c r="A5388" t="s">
        <v>720</v>
      </c>
      <c r="B5388" t="s">
        <v>721</v>
      </c>
      <c r="C5388" s="1">
        <v>41079</v>
      </c>
      <c r="D5388" s="1">
        <v>41083</v>
      </c>
      <c r="E5388">
        <v>4819</v>
      </c>
      <c r="F5388" t="s">
        <v>689</v>
      </c>
      <c r="G5388" t="s">
        <v>16</v>
      </c>
      <c r="H5388" t="s">
        <v>4137</v>
      </c>
      <c r="I5388">
        <v>2.0634000000000001</v>
      </c>
      <c r="J5388">
        <v>39055.480000000003</v>
      </c>
      <c r="K5388">
        <v>18927.73092953378</v>
      </c>
    </row>
    <row r="5389" spans="1:11" x14ac:dyDescent="0.25">
      <c r="A5389" t="s">
        <v>720</v>
      </c>
      <c r="B5389" t="s">
        <v>721</v>
      </c>
      <c r="C5389" s="1">
        <v>41079</v>
      </c>
      <c r="D5389" s="1">
        <v>41082</v>
      </c>
      <c r="E5389">
        <v>4819</v>
      </c>
      <c r="F5389" t="s">
        <v>689</v>
      </c>
      <c r="G5389" t="s">
        <v>16</v>
      </c>
      <c r="H5389" t="s">
        <v>7295</v>
      </c>
      <c r="I5389">
        <v>2.0634000000000001</v>
      </c>
      <c r="J5389">
        <v>43138.66</v>
      </c>
      <c r="K5389">
        <v>20906.591063293592</v>
      </c>
    </row>
    <row r="5390" spans="1:11" x14ac:dyDescent="0.25">
      <c r="A5390" t="s">
        <v>720</v>
      </c>
      <c r="B5390" t="s">
        <v>721</v>
      </c>
      <c r="C5390" s="1">
        <v>41080</v>
      </c>
      <c r="D5390" s="1">
        <v>41082</v>
      </c>
      <c r="E5390">
        <v>4819</v>
      </c>
      <c r="F5390" t="s">
        <v>689</v>
      </c>
      <c r="G5390" t="s">
        <v>16</v>
      </c>
      <c r="H5390" t="s">
        <v>7296</v>
      </c>
      <c r="I5390">
        <v>2.044</v>
      </c>
      <c r="J5390">
        <v>44061.41</v>
      </c>
      <c r="K5390">
        <v>21556.462818003914</v>
      </c>
    </row>
    <row r="5391" spans="1:11" x14ac:dyDescent="0.25">
      <c r="A5391" t="s">
        <v>720</v>
      </c>
      <c r="B5391" t="s">
        <v>721</v>
      </c>
      <c r="C5391" s="1">
        <v>41080</v>
      </c>
      <c r="D5391" s="1">
        <v>41082</v>
      </c>
      <c r="E5391">
        <v>4819</v>
      </c>
      <c r="F5391" t="s">
        <v>689</v>
      </c>
      <c r="G5391" t="s">
        <v>16</v>
      </c>
      <c r="H5391" t="s">
        <v>4138</v>
      </c>
      <c r="I5391">
        <v>2.044</v>
      </c>
      <c r="J5391">
        <v>43000.24</v>
      </c>
      <c r="K5391">
        <v>21037.299412915851</v>
      </c>
    </row>
    <row r="5392" spans="1:11" x14ac:dyDescent="0.25">
      <c r="A5392" t="s">
        <v>4139</v>
      </c>
      <c r="B5392" t="s">
        <v>4140</v>
      </c>
      <c r="C5392" s="1">
        <v>41080</v>
      </c>
      <c r="D5392" s="1">
        <v>41088</v>
      </c>
      <c r="E5392">
        <v>6454</v>
      </c>
      <c r="F5392" t="s">
        <v>402</v>
      </c>
      <c r="G5392" t="s">
        <v>16</v>
      </c>
      <c r="H5392" t="s">
        <v>4141</v>
      </c>
      <c r="I5392">
        <v>2.044</v>
      </c>
      <c r="J5392">
        <v>29433.599999999999</v>
      </c>
      <c r="K5392">
        <v>14400</v>
      </c>
    </row>
    <row r="5393" spans="1:11" x14ac:dyDescent="0.25">
      <c r="A5393" t="s">
        <v>720</v>
      </c>
      <c r="B5393" t="s">
        <v>721</v>
      </c>
      <c r="C5393" s="1">
        <v>41082</v>
      </c>
      <c r="D5393" s="1">
        <v>41084</v>
      </c>
      <c r="E5393">
        <v>4819</v>
      </c>
      <c r="F5393" t="s">
        <v>689</v>
      </c>
      <c r="G5393" t="s">
        <v>16</v>
      </c>
      <c r="H5393" t="s">
        <v>4142</v>
      </c>
      <c r="I5393">
        <v>2.0363000000000002</v>
      </c>
      <c r="J5393">
        <v>42400.45</v>
      </c>
      <c r="K5393">
        <v>20822.300250454256</v>
      </c>
    </row>
    <row r="5394" spans="1:11" x14ac:dyDescent="0.25">
      <c r="A5394" t="s">
        <v>720</v>
      </c>
      <c r="B5394" t="s">
        <v>721</v>
      </c>
      <c r="C5394" s="1">
        <v>41082</v>
      </c>
      <c r="D5394" s="1">
        <v>41086</v>
      </c>
      <c r="E5394">
        <v>4819</v>
      </c>
      <c r="F5394" t="s">
        <v>689</v>
      </c>
      <c r="G5394" t="s">
        <v>16</v>
      </c>
      <c r="H5394" t="s">
        <v>7297</v>
      </c>
      <c r="I5394">
        <v>2.0363000000000002</v>
      </c>
      <c r="J5394">
        <v>42907.97</v>
      </c>
      <c r="K5394">
        <v>21071.536610519077</v>
      </c>
    </row>
    <row r="5395" spans="1:11" x14ac:dyDescent="0.25">
      <c r="A5395" t="s">
        <v>720</v>
      </c>
      <c r="B5395" t="s">
        <v>721</v>
      </c>
      <c r="C5395" s="1">
        <v>41082</v>
      </c>
      <c r="D5395" s="1">
        <v>41086</v>
      </c>
      <c r="E5395">
        <v>4819</v>
      </c>
      <c r="F5395" t="s">
        <v>689</v>
      </c>
      <c r="G5395" t="s">
        <v>16</v>
      </c>
      <c r="H5395" t="s">
        <v>4143</v>
      </c>
      <c r="I5395">
        <v>2.0363000000000002</v>
      </c>
      <c r="J5395">
        <v>42792.62</v>
      </c>
      <c r="K5395">
        <v>21014.889751019004</v>
      </c>
    </row>
    <row r="5396" spans="1:11" x14ac:dyDescent="0.25">
      <c r="A5396" t="s">
        <v>720</v>
      </c>
      <c r="B5396" t="s">
        <v>721</v>
      </c>
      <c r="C5396" s="1">
        <v>41078</v>
      </c>
      <c r="D5396" s="1">
        <v>41080</v>
      </c>
      <c r="E5396">
        <v>4819</v>
      </c>
      <c r="F5396" t="s">
        <v>689</v>
      </c>
      <c r="G5396" t="s">
        <v>16</v>
      </c>
      <c r="H5396" t="s">
        <v>4144</v>
      </c>
      <c r="I5396">
        <v>2.0442999999999998</v>
      </c>
      <c r="J5396">
        <v>42262.04</v>
      </c>
      <c r="K5396">
        <v>20673.110600205448</v>
      </c>
    </row>
    <row r="5397" spans="1:11" x14ac:dyDescent="0.25">
      <c r="A5397" t="s">
        <v>7298</v>
      </c>
      <c r="B5397" t="s">
        <v>7299</v>
      </c>
      <c r="C5397" s="1">
        <v>41024</v>
      </c>
      <c r="D5397" s="1">
        <v>41030</v>
      </c>
      <c r="E5397">
        <v>5419</v>
      </c>
      <c r="F5397" t="s">
        <v>311</v>
      </c>
      <c r="G5397" t="s">
        <v>16</v>
      </c>
      <c r="H5397" t="s">
        <v>7300</v>
      </c>
      <c r="I5397">
        <v>1.8779999999999999</v>
      </c>
      <c r="J5397">
        <v>498280.73</v>
      </c>
      <c r="K5397">
        <v>265325.20234291803</v>
      </c>
    </row>
    <row r="5398" spans="1:11" x14ac:dyDescent="0.25">
      <c r="A5398" t="s">
        <v>720</v>
      </c>
      <c r="B5398" t="s">
        <v>721</v>
      </c>
      <c r="C5398" s="1">
        <v>41068</v>
      </c>
      <c r="D5398" s="1">
        <v>41072</v>
      </c>
      <c r="E5398">
        <v>4819</v>
      </c>
      <c r="F5398" t="s">
        <v>689</v>
      </c>
      <c r="G5398" t="s">
        <v>16</v>
      </c>
      <c r="H5398" t="s">
        <v>4145</v>
      </c>
      <c r="I5398">
        <v>2.0183</v>
      </c>
      <c r="J5398">
        <v>44689.61</v>
      </c>
      <c r="K5398">
        <v>22142.203834910568</v>
      </c>
    </row>
    <row r="5399" spans="1:11" x14ac:dyDescent="0.25">
      <c r="A5399" t="s">
        <v>720</v>
      </c>
      <c r="B5399" t="s">
        <v>721</v>
      </c>
      <c r="C5399" s="1">
        <v>41041</v>
      </c>
      <c r="D5399" s="1">
        <v>41045</v>
      </c>
      <c r="E5399">
        <v>4819</v>
      </c>
      <c r="F5399" t="s">
        <v>689</v>
      </c>
      <c r="G5399" t="s">
        <v>16</v>
      </c>
      <c r="H5399" t="s">
        <v>7301</v>
      </c>
      <c r="I5399">
        <v>1.9513</v>
      </c>
      <c r="J5399">
        <v>43966.13</v>
      </c>
      <c r="K5399">
        <v>22531.712191872084</v>
      </c>
    </row>
    <row r="5400" spans="1:11" x14ac:dyDescent="0.25">
      <c r="A5400" t="s">
        <v>720</v>
      </c>
      <c r="B5400" t="s">
        <v>721</v>
      </c>
      <c r="C5400" s="1">
        <v>41071</v>
      </c>
      <c r="D5400" s="1">
        <v>41073</v>
      </c>
      <c r="E5400">
        <v>4819</v>
      </c>
      <c r="F5400" t="s">
        <v>689</v>
      </c>
      <c r="G5400" t="s">
        <v>16</v>
      </c>
      <c r="H5400" t="s">
        <v>7302</v>
      </c>
      <c r="I5400">
        <v>2.0352999999999999</v>
      </c>
      <c r="J5400">
        <v>43876.86</v>
      </c>
      <c r="K5400">
        <v>21557.932491524592</v>
      </c>
    </row>
    <row r="5401" spans="1:11" x14ac:dyDescent="0.25">
      <c r="A5401" t="s">
        <v>720</v>
      </c>
      <c r="B5401" t="s">
        <v>721</v>
      </c>
      <c r="C5401" s="1">
        <v>41078</v>
      </c>
      <c r="D5401" s="1">
        <v>41079</v>
      </c>
      <c r="E5401">
        <v>4819</v>
      </c>
      <c r="F5401" t="s">
        <v>689</v>
      </c>
      <c r="G5401" t="s">
        <v>16</v>
      </c>
      <c r="H5401" t="s">
        <v>4146</v>
      </c>
      <c r="I5401">
        <v>2.0442999999999998</v>
      </c>
      <c r="J5401">
        <v>58640.89</v>
      </c>
      <c r="K5401">
        <v>28685.07068434183</v>
      </c>
    </row>
    <row r="5402" spans="1:11" x14ac:dyDescent="0.25">
      <c r="A5402" t="s">
        <v>720</v>
      </c>
      <c r="B5402" t="s">
        <v>721</v>
      </c>
      <c r="C5402" s="1">
        <v>41071</v>
      </c>
      <c r="D5402" s="1">
        <v>41073</v>
      </c>
      <c r="E5402">
        <v>4819</v>
      </c>
      <c r="F5402" t="s">
        <v>689</v>
      </c>
      <c r="G5402" t="s">
        <v>16</v>
      </c>
      <c r="H5402" t="s">
        <v>7303</v>
      </c>
      <c r="I5402">
        <v>2.0352999999999999</v>
      </c>
      <c r="J5402">
        <v>43738.44</v>
      </c>
      <c r="K5402">
        <v>21489.922861494619</v>
      </c>
    </row>
    <row r="5403" spans="1:11" x14ac:dyDescent="0.25">
      <c r="A5403" t="s">
        <v>720</v>
      </c>
      <c r="B5403" t="s">
        <v>721</v>
      </c>
      <c r="C5403" s="1">
        <v>41072</v>
      </c>
      <c r="D5403" s="1">
        <v>41073</v>
      </c>
      <c r="E5403">
        <v>4819</v>
      </c>
      <c r="F5403" t="s">
        <v>689</v>
      </c>
      <c r="G5403" t="s">
        <v>16</v>
      </c>
      <c r="H5403" t="s">
        <v>7304</v>
      </c>
      <c r="I5403">
        <v>2.0348000000000002</v>
      </c>
      <c r="J5403">
        <v>43415.48</v>
      </c>
      <c r="K5403">
        <v>21336.485158246509</v>
      </c>
    </row>
    <row r="5404" spans="1:11" x14ac:dyDescent="0.25">
      <c r="A5404" t="s">
        <v>751</v>
      </c>
      <c r="B5404" t="s">
        <v>752</v>
      </c>
      <c r="C5404" s="1">
        <v>41108</v>
      </c>
      <c r="D5404" s="1">
        <v>41109</v>
      </c>
      <c r="E5404">
        <v>4250</v>
      </c>
      <c r="F5404" t="s">
        <v>689</v>
      </c>
      <c r="G5404" t="s">
        <v>16</v>
      </c>
      <c r="H5404" t="s">
        <v>4147</v>
      </c>
      <c r="I5404">
        <v>2.0348999999999999</v>
      </c>
      <c r="J5404">
        <v>32994.629999999997</v>
      </c>
      <c r="K5404">
        <v>16214.374170720919</v>
      </c>
    </row>
    <row r="5405" spans="1:11" x14ac:dyDescent="0.25">
      <c r="A5405" t="s">
        <v>751</v>
      </c>
      <c r="B5405" t="s">
        <v>752</v>
      </c>
      <c r="C5405" s="1">
        <v>41108</v>
      </c>
      <c r="D5405" s="1">
        <v>41109</v>
      </c>
      <c r="E5405">
        <v>4250</v>
      </c>
      <c r="F5405" t="s">
        <v>689</v>
      </c>
      <c r="G5405" t="s">
        <v>16</v>
      </c>
      <c r="H5405" t="s">
        <v>4148</v>
      </c>
      <c r="I5405">
        <v>2.0348999999999999</v>
      </c>
      <c r="J5405">
        <v>24703.200000000001</v>
      </c>
      <c r="K5405">
        <v>12139.761167624945</v>
      </c>
    </row>
    <row r="5406" spans="1:11" x14ac:dyDescent="0.25">
      <c r="A5406" t="s">
        <v>751</v>
      </c>
      <c r="B5406" t="s">
        <v>752</v>
      </c>
      <c r="C5406" s="1">
        <v>41103</v>
      </c>
      <c r="D5406" s="1">
        <v>41106</v>
      </c>
      <c r="E5406">
        <v>4250</v>
      </c>
      <c r="F5406" t="s">
        <v>689</v>
      </c>
      <c r="G5406" t="s">
        <v>16</v>
      </c>
      <c r="H5406" t="s">
        <v>7305</v>
      </c>
      <c r="I5406">
        <v>2.0470999999999999</v>
      </c>
      <c r="J5406">
        <v>24222.82</v>
      </c>
      <c r="K5406">
        <v>11832.7487665478</v>
      </c>
    </row>
    <row r="5407" spans="1:11" x14ac:dyDescent="0.25">
      <c r="A5407" t="s">
        <v>751</v>
      </c>
      <c r="B5407" t="s">
        <v>752</v>
      </c>
      <c r="C5407" s="1">
        <v>41110</v>
      </c>
      <c r="D5407" s="1">
        <v>41112</v>
      </c>
      <c r="E5407">
        <v>4250</v>
      </c>
      <c r="F5407" t="s">
        <v>689</v>
      </c>
      <c r="G5407" t="s">
        <v>16</v>
      </c>
      <c r="H5407" t="s">
        <v>4149</v>
      </c>
      <c r="I5407">
        <v>2.0238999999999998</v>
      </c>
      <c r="J5407">
        <v>24314.95</v>
      </c>
      <c r="K5407">
        <v>12013.908789959978</v>
      </c>
    </row>
    <row r="5408" spans="1:11" x14ac:dyDescent="0.25">
      <c r="A5408" t="s">
        <v>751</v>
      </c>
      <c r="B5408" t="s">
        <v>752</v>
      </c>
      <c r="C5408" s="1">
        <v>41110</v>
      </c>
      <c r="D5408" s="1">
        <v>41112</v>
      </c>
      <c r="E5408">
        <v>4250</v>
      </c>
      <c r="F5408" t="s">
        <v>689</v>
      </c>
      <c r="G5408" t="s">
        <v>16</v>
      </c>
      <c r="H5408" t="s">
        <v>4150</v>
      </c>
      <c r="I5408">
        <v>2.0238999999999998</v>
      </c>
      <c r="J5408">
        <v>24959.84</v>
      </c>
      <c r="K5408">
        <v>12332.546074410791</v>
      </c>
    </row>
    <row r="5409" spans="1:11" x14ac:dyDescent="0.25">
      <c r="A5409" t="s">
        <v>751</v>
      </c>
      <c r="B5409" t="s">
        <v>752</v>
      </c>
      <c r="C5409" s="1">
        <v>41110</v>
      </c>
      <c r="D5409" s="1">
        <v>41112</v>
      </c>
      <c r="E5409">
        <v>4250</v>
      </c>
      <c r="F5409" t="s">
        <v>689</v>
      </c>
      <c r="G5409" t="s">
        <v>16</v>
      </c>
      <c r="H5409" t="s">
        <v>7306</v>
      </c>
      <c r="I5409">
        <v>2.0238999999999998</v>
      </c>
      <c r="J5409">
        <v>24815.07</v>
      </c>
      <c r="K5409">
        <v>12261.015860467414</v>
      </c>
    </row>
    <row r="5410" spans="1:11" x14ac:dyDescent="0.25">
      <c r="A5410" t="s">
        <v>751</v>
      </c>
      <c r="B5410" t="s">
        <v>752</v>
      </c>
      <c r="C5410" s="1">
        <v>41113</v>
      </c>
      <c r="D5410" s="1">
        <v>41115</v>
      </c>
      <c r="E5410">
        <v>4250</v>
      </c>
      <c r="F5410" t="s">
        <v>689</v>
      </c>
      <c r="G5410" t="s">
        <v>16</v>
      </c>
      <c r="H5410" t="s">
        <v>7307</v>
      </c>
      <c r="I5410">
        <v>2.0226999999999999</v>
      </c>
      <c r="J5410">
        <v>24847.97</v>
      </c>
      <c r="K5410">
        <v>12284.555297374796</v>
      </c>
    </row>
    <row r="5411" spans="1:11" x14ac:dyDescent="0.25">
      <c r="A5411" t="s">
        <v>751</v>
      </c>
      <c r="B5411" t="s">
        <v>752</v>
      </c>
      <c r="C5411" s="1">
        <v>41111</v>
      </c>
      <c r="D5411" s="1">
        <v>41113</v>
      </c>
      <c r="E5411">
        <v>4250</v>
      </c>
      <c r="F5411" t="s">
        <v>689</v>
      </c>
      <c r="G5411" t="s">
        <v>16</v>
      </c>
      <c r="H5411" t="s">
        <v>7308</v>
      </c>
      <c r="I5411">
        <v>2.0226999999999999</v>
      </c>
      <c r="J5411">
        <v>24742.68</v>
      </c>
      <c r="K5411">
        <v>12232.501112374548</v>
      </c>
    </row>
    <row r="5412" spans="1:11" x14ac:dyDescent="0.25">
      <c r="A5412" t="s">
        <v>751</v>
      </c>
      <c r="B5412" t="s">
        <v>752</v>
      </c>
      <c r="C5412" s="1">
        <v>41111</v>
      </c>
      <c r="D5412" s="1">
        <v>41114</v>
      </c>
      <c r="E5412">
        <v>4250</v>
      </c>
      <c r="F5412" t="s">
        <v>689</v>
      </c>
      <c r="G5412" t="s">
        <v>16</v>
      </c>
      <c r="H5412" t="s">
        <v>7309</v>
      </c>
      <c r="I5412">
        <v>2.0226999999999999</v>
      </c>
      <c r="J5412">
        <v>24729.52</v>
      </c>
      <c r="K5412">
        <v>12225.994957235378</v>
      </c>
    </row>
    <row r="5413" spans="1:11" x14ac:dyDescent="0.25">
      <c r="A5413" t="s">
        <v>751</v>
      </c>
      <c r="B5413" t="s">
        <v>752</v>
      </c>
      <c r="C5413" s="1">
        <v>41117</v>
      </c>
      <c r="D5413" s="1">
        <v>41120</v>
      </c>
      <c r="E5413">
        <v>4250</v>
      </c>
      <c r="F5413" t="s">
        <v>689</v>
      </c>
      <c r="G5413" t="s">
        <v>16</v>
      </c>
      <c r="H5413" t="s">
        <v>7310</v>
      </c>
      <c r="I5413">
        <v>2.0255000000000001</v>
      </c>
      <c r="J5413">
        <v>24926.93</v>
      </c>
      <c r="K5413">
        <v>12306.556405825722</v>
      </c>
    </row>
    <row r="5414" spans="1:11" x14ac:dyDescent="0.25">
      <c r="A5414" t="s">
        <v>751</v>
      </c>
      <c r="B5414" t="s">
        <v>752</v>
      </c>
      <c r="C5414" s="1">
        <v>41113</v>
      </c>
      <c r="D5414" s="1">
        <v>41115</v>
      </c>
      <c r="E5414">
        <v>4250</v>
      </c>
      <c r="F5414" t="s">
        <v>689</v>
      </c>
      <c r="G5414" t="s">
        <v>16</v>
      </c>
      <c r="H5414" t="s">
        <v>7311</v>
      </c>
      <c r="I5414">
        <v>2.0226999999999999</v>
      </c>
      <c r="J5414">
        <v>32941.980000000003</v>
      </c>
      <c r="K5414">
        <v>16286.142285064518</v>
      </c>
    </row>
    <row r="5415" spans="1:11" x14ac:dyDescent="0.25">
      <c r="A5415" t="s">
        <v>759</v>
      </c>
      <c r="B5415" t="s">
        <v>760</v>
      </c>
      <c r="C5415" s="1">
        <v>41094</v>
      </c>
      <c r="D5415" s="1">
        <v>41100</v>
      </c>
      <c r="E5415">
        <v>8</v>
      </c>
      <c r="F5415" t="s">
        <v>689</v>
      </c>
      <c r="G5415" t="s">
        <v>16</v>
      </c>
      <c r="H5415" t="s">
        <v>3835</v>
      </c>
      <c r="I5415">
        <v>1.9887999999999999</v>
      </c>
      <c r="J5415">
        <v>42280.84</v>
      </c>
      <c r="K5415">
        <v>21259.473049074819</v>
      </c>
    </row>
    <row r="5416" spans="1:11" x14ac:dyDescent="0.25">
      <c r="A5416" t="s">
        <v>759</v>
      </c>
      <c r="B5416" t="s">
        <v>760</v>
      </c>
      <c r="C5416" s="1">
        <v>41092</v>
      </c>
      <c r="D5416" s="1">
        <v>41100</v>
      </c>
      <c r="E5416">
        <v>8</v>
      </c>
      <c r="F5416" t="s">
        <v>689</v>
      </c>
      <c r="G5416" t="s">
        <v>16</v>
      </c>
      <c r="H5416" t="s">
        <v>7312</v>
      </c>
      <c r="I5416">
        <v>2.0213000000000001</v>
      </c>
      <c r="J5416">
        <v>43992.09</v>
      </c>
      <c r="K5416">
        <v>21764.255677039528</v>
      </c>
    </row>
    <row r="5417" spans="1:11" x14ac:dyDescent="0.25">
      <c r="A5417" t="s">
        <v>759</v>
      </c>
      <c r="B5417" t="s">
        <v>760</v>
      </c>
      <c r="C5417" s="1">
        <v>41087</v>
      </c>
      <c r="D5417" s="1">
        <v>41100</v>
      </c>
      <c r="E5417">
        <v>8</v>
      </c>
      <c r="F5417" t="s">
        <v>689</v>
      </c>
      <c r="G5417" t="s">
        <v>16</v>
      </c>
      <c r="H5417" t="s">
        <v>7313</v>
      </c>
      <c r="I5417">
        <v>2.0743</v>
      </c>
      <c r="J5417">
        <v>41500.769999999997</v>
      </c>
      <c r="K5417">
        <v>20007.120474376898</v>
      </c>
    </row>
    <row r="5418" spans="1:11" x14ac:dyDescent="0.25">
      <c r="A5418" t="s">
        <v>1388</v>
      </c>
      <c r="B5418" t="s">
        <v>1389</v>
      </c>
      <c r="C5418" s="1">
        <v>41109</v>
      </c>
      <c r="D5418" s="1">
        <v>41116</v>
      </c>
      <c r="E5418">
        <v>4846</v>
      </c>
      <c r="F5418" t="s">
        <v>665</v>
      </c>
      <c r="G5418" t="s">
        <v>16</v>
      </c>
      <c r="H5418" t="s">
        <v>7314</v>
      </c>
      <c r="I5418">
        <v>2.0257999999999998</v>
      </c>
      <c r="J5418">
        <v>32897.370000000003</v>
      </c>
      <c r="K5418">
        <v>16239.199328660283</v>
      </c>
    </row>
    <row r="5419" spans="1:11" x14ac:dyDescent="0.25">
      <c r="A5419" t="s">
        <v>751</v>
      </c>
      <c r="B5419" t="s">
        <v>752</v>
      </c>
      <c r="C5419" s="1">
        <v>41106</v>
      </c>
      <c r="D5419" s="1">
        <v>41111</v>
      </c>
      <c r="E5419">
        <v>4250</v>
      </c>
      <c r="F5419" t="s">
        <v>689</v>
      </c>
      <c r="G5419" t="s">
        <v>16</v>
      </c>
      <c r="H5419" t="s">
        <v>7315</v>
      </c>
      <c r="I5419">
        <v>2.0337999999999998</v>
      </c>
      <c r="J5419">
        <v>24670.29</v>
      </c>
      <c r="K5419">
        <v>12130.145540367785</v>
      </c>
    </row>
    <row r="5420" spans="1:11" x14ac:dyDescent="0.25">
      <c r="A5420" t="s">
        <v>751</v>
      </c>
      <c r="B5420" t="s">
        <v>752</v>
      </c>
      <c r="C5420" s="1">
        <v>41106</v>
      </c>
      <c r="D5420" s="1">
        <v>41111</v>
      </c>
      <c r="E5420">
        <v>4250</v>
      </c>
      <c r="F5420" t="s">
        <v>689</v>
      </c>
      <c r="G5420" t="s">
        <v>16</v>
      </c>
      <c r="H5420" t="s">
        <v>4151</v>
      </c>
      <c r="I5420">
        <v>2.0337999999999998</v>
      </c>
      <c r="J5420">
        <v>24295.21</v>
      </c>
      <c r="K5420">
        <v>11945.722293244173</v>
      </c>
    </row>
    <row r="5421" spans="1:11" x14ac:dyDescent="0.25">
      <c r="A5421" t="s">
        <v>751</v>
      </c>
      <c r="B5421" t="s">
        <v>752</v>
      </c>
      <c r="C5421" s="1">
        <v>41121</v>
      </c>
      <c r="D5421" s="1">
        <v>41122</v>
      </c>
      <c r="E5421">
        <v>4250</v>
      </c>
      <c r="F5421" t="s">
        <v>689</v>
      </c>
      <c r="G5421" t="s">
        <v>16</v>
      </c>
      <c r="H5421" t="s">
        <v>7316</v>
      </c>
      <c r="I5421">
        <v>2.0312999999999999</v>
      </c>
      <c r="J5421">
        <v>33106.5</v>
      </c>
      <c r="K5421">
        <v>16298.183429330971</v>
      </c>
    </row>
    <row r="5422" spans="1:11" x14ac:dyDescent="0.25">
      <c r="A5422" t="s">
        <v>1398</v>
      </c>
      <c r="B5422" t="s">
        <v>1399</v>
      </c>
      <c r="C5422" s="1">
        <v>41132</v>
      </c>
      <c r="D5422" s="1">
        <v>41135</v>
      </c>
      <c r="E5422">
        <v>1905</v>
      </c>
      <c r="F5422" t="s">
        <v>689</v>
      </c>
      <c r="G5422" t="s">
        <v>16</v>
      </c>
      <c r="H5422" t="s">
        <v>7317</v>
      </c>
      <c r="I5422">
        <v>2.0175000000000001</v>
      </c>
      <c r="J5422">
        <v>24874.29</v>
      </c>
      <c r="K5422">
        <v>12329.263940520446</v>
      </c>
    </row>
    <row r="5423" spans="1:11" x14ac:dyDescent="0.25">
      <c r="A5423" t="s">
        <v>1398</v>
      </c>
      <c r="B5423" t="s">
        <v>1399</v>
      </c>
      <c r="C5423" s="1">
        <v>41141</v>
      </c>
      <c r="D5423" s="1">
        <v>41143</v>
      </c>
      <c r="E5423">
        <v>1905</v>
      </c>
      <c r="F5423" t="s">
        <v>689</v>
      </c>
      <c r="G5423" t="s">
        <v>16</v>
      </c>
      <c r="H5423" t="s">
        <v>4152</v>
      </c>
      <c r="I5423">
        <v>2.0182000000000002</v>
      </c>
      <c r="J5423">
        <v>22432.92</v>
      </c>
      <c r="K5423">
        <v>11115.310672876822</v>
      </c>
    </row>
    <row r="5424" spans="1:11" x14ac:dyDescent="0.25">
      <c r="A5424" t="s">
        <v>751</v>
      </c>
      <c r="B5424" t="s">
        <v>752</v>
      </c>
      <c r="C5424" s="1">
        <v>41129</v>
      </c>
      <c r="D5424" s="1">
        <v>41131</v>
      </c>
      <c r="E5424">
        <v>4250</v>
      </c>
      <c r="F5424" t="s">
        <v>689</v>
      </c>
      <c r="G5424" t="s">
        <v>16</v>
      </c>
      <c r="H5424" t="s">
        <v>7318</v>
      </c>
      <c r="I5424">
        <v>2.0280999999999998</v>
      </c>
      <c r="J5424">
        <v>33238.11</v>
      </c>
      <c r="K5424">
        <v>16388.792465854742</v>
      </c>
    </row>
    <row r="5425" spans="1:11" x14ac:dyDescent="0.25">
      <c r="A5425" t="s">
        <v>751</v>
      </c>
      <c r="B5425" t="s">
        <v>752</v>
      </c>
      <c r="C5425" s="1">
        <v>41131</v>
      </c>
      <c r="D5425" s="1">
        <v>41135</v>
      </c>
      <c r="E5425">
        <v>4250</v>
      </c>
      <c r="F5425" t="s">
        <v>689</v>
      </c>
      <c r="G5425" t="s">
        <v>16</v>
      </c>
      <c r="H5425" t="s">
        <v>7319</v>
      </c>
      <c r="I5425">
        <v>2.0182000000000002</v>
      </c>
      <c r="J5425">
        <v>33593.449999999997</v>
      </c>
      <c r="K5425">
        <v>16645.253195917154</v>
      </c>
    </row>
    <row r="5426" spans="1:11" x14ac:dyDescent="0.25">
      <c r="A5426" t="s">
        <v>779</v>
      </c>
      <c r="B5426" t="s">
        <v>771</v>
      </c>
      <c r="C5426" s="1">
        <v>41157</v>
      </c>
      <c r="D5426" s="1">
        <v>41157</v>
      </c>
      <c r="E5426">
        <v>4822</v>
      </c>
      <c r="F5426" t="s">
        <v>331</v>
      </c>
      <c r="G5426" t="s">
        <v>16</v>
      </c>
      <c r="H5426" t="s">
        <v>4153</v>
      </c>
      <c r="I5426">
        <v>2.0392000000000001</v>
      </c>
      <c r="J5426">
        <v>57786.13</v>
      </c>
      <c r="K5426">
        <v>28337.64711651628</v>
      </c>
    </row>
    <row r="5427" spans="1:11" x14ac:dyDescent="0.25">
      <c r="A5427" t="s">
        <v>1895</v>
      </c>
      <c r="B5427" t="s">
        <v>1896</v>
      </c>
      <c r="C5427" s="1">
        <v>41166</v>
      </c>
      <c r="D5427" s="1">
        <v>41169</v>
      </c>
      <c r="E5427">
        <v>4871</v>
      </c>
      <c r="F5427" t="s">
        <v>278</v>
      </c>
      <c r="G5427" t="s">
        <v>16</v>
      </c>
      <c r="H5427" t="s">
        <v>4154</v>
      </c>
      <c r="I5427">
        <v>2.0253999999999999</v>
      </c>
      <c r="J5427">
        <v>302670</v>
      </c>
      <c r="K5427">
        <v>149437.14821763602</v>
      </c>
    </row>
    <row r="5428" spans="1:11" x14ac:dyDescent="0.25">
      <c r="A5428" t="s">
        <v>751</v>
      </c>
      <c r="B5428" t="s">
        <v>752</v>
      </c>
      <c r="C5428" s="1">
        <v>41123</v>
      </c>
      <c r="D5428" s="1">
        <v>41128</v>
      </c>
      <c r="E5428">
        <v>4250</v>
      </c>
      <c r="F5428" t="s">
        <v>689</v>
      </c>
      <c r="G5428" t="s">
        <v>16</v>
      </c>
      <c r="H5428" t="s">
        <v>7320</v>
      </c>
      <c r="I5428">
        <v>2.0432000000000001</v>
      </c>
      <c r="J5428">
        <v>33363.14</v>
      </c>
      <c r="K5428">
        <v>16328.866483946751</v>
      </c>
    </row>
    <row r="5429" spans="1:11" x14ac:dyDescent="0.25">
      <c r="A5429" t="s">
        <v>770</v>
      </c>
      <c r="B5429" t="s">
        <v>771</v>
      </c>
      <c r="C5429" s="1">
        <v>41163</v>
      </c>
      <c r="D5429" s="1">
        <v>41169</v>
      </c>
      <c r="E5429">
        <v>4824</v>
      </c>
      <c r="F5429" t="s">
        <v>331</v>
      </c>
      <c r="G5429" t="s">
        <v>16</v>
      </c>
      <c r="H5429" t="s">
        <v>4872</v>
      </c>
      <c r="I5429">
        <v>2.0240999999999998</v>
      </c>
      <c r="J5429">
        <v>57014.02</v>
      </c>
      <c r="K5429">
        <v>28167.590534064522</v>
      </c>
    </row>
    <row r="5430" spans="1:11" x14ac:dyDescent="0.25">
      <c r="A5430" t="s">
        <v>751</v>
      </c>
      <c r="B5430" t="s">
        <v>752</v>
      </c>
      <c r="C5430" s="1">
        <v>41129</v>
      </c>
      <c r="D5430" s="1">
        <v>41132</v>
      </c>
      <c r="E5430">
        <v>4250</v>
      </c>
      <c r="F5430" t="s">
        <v>689</v>
      </c>
      <c r="G5430" t="s">
        <v>16</v>
      </c>
      <c r="H5430" t="s">
        <v>7321</v>
      </c>
      <c r="I5430">
        <v>2.0280999999999998</v>
      </c>
      <c r="J5430">
        <v>28901.56</v>
      </c>
      <c r="K5430">
        <v>14250.559637098762</v>
      </c>
    </row>
    <row r="5431" spans="1:11" x14ac:dyDescent="0.25">
      <c r="A5431" t="s">
        <v>751</v>
      </c>
      <c r="B5431" t="s">
        <v>752</v>
      </c>
      <c r="C5431" s="1">
        <v>41129</v>
      </c>
      <c r="D5431" s="1">
        <v>41131</v>
      </c>
      <c r="E5431">
        <v>4250</v>
      </c>
      <c r="F5431" t="s">
        <v>689</v>
      </c>
      <c r="G5431" t="s">
        <v>16</v>
      </c>
      <c r="H5431" t="s">
        <v>7322</v>
      </c>
      <c r="I5431">
        <v>2.0280999999999998</v>
      </c>
      <c r="J5431">
        <v>24597.91</v>
      </c>
      <c r="K5431">
        <v>12128.548888121888</v>
      </c>
    </row>
    <row r="5432" spans="1:11" x14ac:dyDescent="0.25">
      <c r="A5432" t="s">
        <v>770</v>
      </c>
      <c r="B5432" t="s">
        <v>771</v>
      </c>
      <c r="C5432" s="1">
        <v>41165</v>
      </c>
      <c r="D5432" s="1">
        <v>41169</v>
      </c>
      <c r="E5432">
        <v>4824</v>
      </c>
      <c r="F5432" t="s">
        <v>331</v>
      </c>
      <c r="G5432" t="s">
        <v>16</v>
      </c>
      <c r="H5432" t="s">
        <v>7323</v>
      </c>
      <c r="I5432">
        <v>2.0204</v>
      </c>
      <c r="J5432">
        <v>56330.74</v>
      </c>
      <c r="K5432">
        <v>27880.983963571569</v>
      </c>
    </row>
    <row r="5433" spans="1:11" x14ac:dyDescent="0.25">
      <c r="A5433" t="s">
        <v>774</v>
      </c>
      <c r="B5433" t="s">
        <v>775</v>
      </c>
      <c r="C5433" s="1">
        <v>41143</v>
      </c>
      <c r="D5433" s="1">
        <v>41149</v>
      </c>
      <c r="E5433">
        <v>4826</v>
      </c>
      <c r="F5433" t="s">
        <v>311</v>
      </c>
      <c r="G5433" t="s">
        <v>16</v>
      </c>
      <c r="H5433" t="s">
        <v>7324</v>
      </c>
      <c r="I5433">
        <v>2.0173000000000001</v>
      </c>
      <c r="J5433">
        <v>507401.72</v>
      </c>
      <c r="K5433">
        <v>251525.16730283052</v>
      </c>
    </row>
    <row r="5434" spans="1:11" x14ac:dyDescent="0.25">
      <c r="A5434" t="s">
        <v>786</v>
      </c>
      <c r="B5434" t="s">
        <v>771</v>
      </c>
      <c r="C5434" s="1">
        <v>41163</v>
      </c>
      <c r="D5434" s="1">
        <v>41167</v>
      </c>
      <c r="E5434">
        <v>4823</v>
      </c>
      <c r="F5434" t="s">
        <v>331</v>
      </c>
      <c r="G5434" t="s">
        <v>16</v>
      </c>
      <c r="H5434" t="s">
        <v>4155</v>
      </c>
      <c r="I5434">
        <v>2.0240999999999998</v>
      </c>
      <c r="J5434">
        <v>42026.28</v>
      </c>
      <c r="K5434">
        <v>20762.946494738404</v>
      </c>
    </row>
    <row r="5435" spans="1:11" x14ac:dyDescent="0.25">
      <c r="A5435" t="s">
        <v>779</v>
      </c>
      <c r="B5435" t="s">
        <v>771</v>
      </c>
      <c r="C5435" s="1">
        <v>41158</v>
      </c>
      <c r="D5435" s="1">
        <v>41158</v>
      </c>
      <c r="E5435">
        <v>4822</v>
      </c>
      <c r="F5435" t="s">
        <v>331</v>
      </c>
      <c r="G5435" t="s">
        <v>16</v>
      </c>
      <c r="H5435" t="s">
        <v>7325</v>
      </c>
      <c r="I5435">
        <v>2.0385</v>
      </c>
      <c r="J5435">
        <v>42003.5</v>
      </c>
      <c r="K5435">
        <v>20605.101790532255</v>
      </c>
    </row>
    <row r="5436" spans="1:11" x14ac:dyDescent="0.25">
      <c r="A5436" t="s">
        <v>748</v>
      </c>
      <c r="B5436" t="s">
        <v>749</v>
      </c>
      <c r="C5436" s="1">
        <v>41153</v>
      </c>
      <c r="D5436" s="1">
        <v>41164</v>
      </c>
      <c r="E5436">
        <v>4855</v>
      </c>
      <c r="F5436" t="s">
        <v>309</v>
      </c>
      <c r="G5436" t="s">
        <v>16</v>
      </c>
      <c r="H5436" t="s">
        <v>4156</v>
      </c>
      <c r="I5436">
        <v>2.0371999999999999</v>
      </c>
      <c r="J5436">
        <v>45281.52</v>
      </c>
      <c r="K5436">
        <v>22227.331631651286</v>
      </c>
    </row>
    <row r="5437" spans="1:11" x14ac:dyDescent="0.25">
      <c r="A5437" t="s">
        <v>786</v>
      </c>
      <c r="B5437" t="s">
        <v>771</v>
      </c>
      <c r="C5437" s="1">
        <v>41164</v>
      </c>
      <c r="D5437" s="1">
        <v>41167</v>
      </c>
      <c r="E5437">
        <v>4823</v>
      </c>
      <c r="F5437" t="s">
        <v>331</v>
      </c>
      <c r="G5437" t="s">
        <v>16</v>
      </c>
      <c r="H5437" t="s">
        <v>4157</v>
      </c>
      <c r="I5437">
        <v>2.0196999999999998</v>
      </c>
      <c r="J5437">
        <v>41297.440000000002</v>
      </c>
      <c r="K5437">
        <v>20447.313957518443</v>
      </c>
    </row>
    <row r="5438" spans="1:11" x14ac:dyDescent="0.25">
      <c r="A5438" t="s">
        <v>786</v>
      </c>
      <c r="B5438" t="s">
        <v>771</v>
      </c>
      <c r="C5438" s="1">
        <v>41163</v>
      </c>
      <c r="D5438" s="1">
        <v>41167</v>
      </c>
      <c r="E5438">
        <v>4823</v>
      </c>
      <c r="F5438" t="s">
        <v>331</v>
      </c>
      <c r="G5438" t="s">
        <v>16</v>
      </c>
      <c r="H5438" t="s">
        <v>1384</v>
      </c>
      <c r="I5438">
        <v>2.0240999999999998</v>
      </c>
      <c r="J5438">
        <v>56877.37</v>
      </c>
      <c r="K5438">
        <v>28100.079047477891</v>
      </c>
    </row>
    <row r="5439" spans="1:11" x14ac:dyDescent="0.25">
      <c r="A5439" t="s">
        <v>4158</v>
      </c>
      <c r="B5439" t="s">
        <v>286</v>
      </c>
      <c r="C5439" s="1">
        <v>41155</v>
      </c>
      <c r="D5439" s="1">
        <v>41171</v>
      </c>
      <c r="E5439">
        <v>1</v>
      </c>
      <c r="F5439" t="s">
        <v>642</v>
      </c>
      <c r="G5439" t="s">
        <v>16</v>
      </c>
      <c r="H5439" t="s">
        <v>7326</v>
      </c>
      <c r="I5439">
        <v>2.0371999999999999</v>
      </c>
      <c r="J5439">
        <v>136604.76</v>
      </c>
      <c r="K5439">
        <v>67055.154133123899</v>
      </c>
    </row>
    <row r="5440" spans="1:11" x14ac:dyDescent="0.25">
      <c r="A5440" t="s">
        <v>4158</v>
      </c>
      <c r="B5440" t="s">
        <v>286</v>
      </c>
      <c r="C5440" s="1">
        <v>41156</v>
      </c>
      <c r="D5440" s="1">
        <v>41171</v>
      </c>
      <c r="E5440">
        <v>1</v>
      </c>
      <c r="F5440" t="s">
        <v>642</v>
      </c>
      <c r="G5440" t="s">
        <v>16</v>
      </c>
      <c r="H5440" t="s">
        <v>4159</v>
      </c>
      <c r="I5440">
        <v>2.0335000000000001</v>
      </c>
      <c r="J5440">
        <v>5611.87</v>
      </c>
      <c r="K5440">
        <v>2759.7098598475536</v>
      </c>
    </row>
    <row r="5441" spans="1:11" x14ac:dyDescent="0.25">
      <c r="A5441" t="s">
        <v>751</v>
      </c>
      <c r="B5441" t="s">
        <v>752</v>
      </c>
      <c r="C5441" s="1">
        <v>41124</v>
      </c>
      <c r="D5441" s="1">
        <v>41125</v>
      </c>
      <c r="E5441">
        <v>4250</v>
      </c>
      <c r="F5441" t="s">
        <v>689</v>
      </c>
      <c r="G5441" t="s">
        <v>16</v>
      </c>
      <c r="H5441" t="s">
        <v>4160</v>
      </c>
      <c r="I5441">
        <v>2.0474999999999999</v>
      </c>
      <c r="J5441">
        <v>28769.95</v>
      </c>
      <c r="K5441">
        <v>14051.257631257631</v>
      </c>
    </row>
    <row r="5442" spans="1:11" x14ac:dyDescent="0.25">
      <c r="A5442" t="s">
        <v>799</v>
      </c>
      <c r="B5442" t="s">
        <v>800</v>
      </c>
      <c r="C5442" s="1">
        <v>41162</v>
      </c>
      <c r="D5442" s="1">
        <v>41165</v>
      </c>
      <c r="E5442">
        <v>4856</v>
      </c>
      <c r="F5442" t="s">
        <v>301</v>
      </c>
      <c r="G5442" t="s">
        <v>16</v>
      </c>
      <c r="H5442" t="s">
        <v>4161</v>
      </c>
      <c r="I5442">
        <v>2.0381</v>
      </c>
      <c r="J5442">
        <v>9440</v>
      </c>
      <c r="K5442">
        <v>4631.7648790540206</v>
      </c>
    </row>
    <row r="5443" spans="1:11" x14ac:dyDescent="0.25">
      <c r="A5443" t="s">
        <v>811</v>
      </c>
      <c r="B5443" t="s">
        <v>812</v>
      </c>
      <c r="C5443" s="1">
        <v>41149</v>
      </c>
      <c r="D5443" s="1">
        <v>41163</v>
      </c>
      <c r="E5443">
        <v>5271</v>
      </c>
      <c r="F5443" t="s">
        <v>331</v>
      </c>
      <c r="G5443" t="s">
        <v>16</v>
      </c>
      <c r="H5443" t="s">
        <v>7327</v>
      </c>
      <c r="I5443">
        <v>2.0293000000000001</v>
      </c>
      <c r="J5443">
        <v>64381.2</v>
      </c>
      <c r="K5443">
        <v>31725.816784112747</v>
      </c>
    </row>
    <row r="5444" spans="1:11" x14ac:dyDescent="0.25">
      <c r="A5444" t="s">
        <v>4162</v>
      </c>
      <c r="B5444" t="s">
        <v>4163</v>
      </c>
      <c r="C5444" s="1">
        <v>41126</v>
      </c>
      <c r="D5444" s="1">
        <v>41131</v>
      </c>
      <c r="E5444">
        <v>4923</v>
      </c>
      <c r="F5444" t="s">
        <v>331</v>
      </c>
      <c r="G5444" t="s">
        <v>16</v>
      </c>
      <c r="H5444" t="s">
        <v>4164</v>
      </c>
      <c r="I5444">
        <v>2.0312999999999999</v>
      </c>
      <c r="J5444">
        <v>56900.14</v>
      </c>
      <c r="K5444">
        <v>28011.687096932998</v>
      </c>
    </row>
    <row r="5445" spans="1:11" x14ac:dyDescent="0.25">
      <c r="A5445" t="s">
        <v>1398</v>
      </c>
      <c r="B5445" t="s">
        <v>1399</v>
      </c>
      <c r="C5445" s="1">
        <v>41134</v>
      </c>
      <c r="D5445" s="1">
        <v>41139</v>
      </c>
      <c r="E5445">
        <v>1905</v>
      </c>
      <c r="F5445" t="s">
        <v>689</v>
      </c>
      <c r="G5445" t="s">
        <v>16</v>
      </c>
      <c r="H5445" t="s">
        <v>4165</v>
      </c>
      <c r="I5445">
        <v>2.0175000000000001</v>
      </c>
      <c r="J5445">
        <v>24492.62</v>
      </c>
      <c r="K5445">
        <v>12140.084262701363</v>
      </c>
    </row>
    <row r="5446" spans="1:11" x14ac:dyDescent="0.25">
      <c r="A5446" t="s">
        <v>811</v>
      </c>
      <c r="B5446" t="s">
        <v>812</v>
      </c>
      <c r="C5446" s="1">
        <v>41143</v>
      </c>
      <c r="D5446" s="1">
        <v>41146</v>
      </c>
      <c r="E5446">
        <v>5271</v>
      </c>
      <c r="F5446" t="s">
        <v>331</v>
      </c>
      <c r="G5446" t="s">
        <v>16</v>
      </c>
      <c r="H5446" t="s">
        <v>4166</v>
      </c>
      <c r="I5446">
        <v>2.0173000000000001</v>
      </c>
      <c r="J5446">
        <v>54045.42</v>
      </c>
      <c r="K5446">
        <v>26790.968125712585</v>
      </c>
    </row>
    <row r="5447" spans="1:11" x14ac:dyDescent="0.25">
      <c r="A5447" t="s">
        <v>751</v>
      </c>
      <c r="B5447" t="s">
        <v>752</v>
      </c>
      <c r="C5447" s="1">
        <v>41127</v>
      </c>
      <c r="D5447" s="1">
        <v>41129</v>
      </c>
      <c r="E5447">
        <v>4250</v>
      </c>
      <c r="F5447" t="s">
        <v>689</v>
      </c>
      <c r="G5447" t="s">
        <v>16</v>
      </c>
      <c r="H5447" t="s">
        <v>7328</v>
      </c>
      <c r="I5447">
        <v>2.0312999999999999</v>
      </c>
      <c r="J5447">
        <v>33093.33</v>
      </c>
      <c r="K5447">
        <v>16291.699896617929</v>
      </c>
    </row>
    <row r="5448" spans="1:11" x14ac:dyDescent="0.25">
      <c r="A5448" t="s">
        <v>751</v>
      </c>
      <c r="B5448" t="s">
        <v>752</v>
      </c>
      <c r="C5448" s="1">
        <v>41136</v>
      </c>
      <c r="D5448" s="1">
        <v>41138</v>
      </c>
      <c r="E5448">
        <v>4250</v>
      </c>
      <c r="F5448" t="s">
        <v>689</v>
      </c>
      <c r="G5448" t="s">
        <v>16</v>
      </c>
      <c r="H5448" t="s">
        <v>7329</v>
      </c>
      <c r="I5448">
        <v>2.0257999999999998</v>
      </c>
      <c r="J5448">
        <v>33652.68</v>
      </c>
      <c r="K5448">
        <v>16612.044624345937</v>
      </c>
    </row>
    <row r="5449" spans="1:11" x14ac:dyDescent="0.25">
      <c r="A5449" t="s">
        <v>751</v>
      </c>
      <c r="B5449" t="s">
        <v>752</v>
      </c>
      <c r="C5449" s="1">
        <v>41125</v>
      </c>
      <c r="D5449" s="1">
        <v>41127</v>
      </c>
      <c r="E5449">
        <v>4250</v>
      </c>
      <c r="F5449" t="s">
        <v>689</v>
      </c>
      <c r="G5449" t="s">
        <v>16</v>
      </c>
      <c r="H5449" t="s">
        <v>4167</v>
      </c>
      <c r="I5449">
        <v>2.0312999999999999</v>
      </c>
      <c r="J5449">
        <v>24143.85</v>
      </c>
      <c r="K5449">
        <v>11885.910500664599</v>
      </c>
    </row>
    <row r="5450" spans="1:11" x14ac:dyDescent="0.25">
      <c r="A5450" t="s">
        <v>751</v>
      </c>
      <c r="B5450" t="s">
        <v>752</v>
      </c>
      <c r="C5450" s="1">
        <v>41125</v>
      </c>
      <c r="D5450" s="1">
        <v>41127</v>
      </c>
      <c r="E5450">
        <v>4250</v>
      </c>
      <c r="F5450" t="s">
        <v>689</v>
      </c>
      <c r="G5450" t="s">
        <v>16</v>
      </c>
      <c r="H5450" t="s">
        <v>4168</v>
      </c>
      <c r="I5450">
        <v>2.0312999999999999</v>
      </c>
      <c r="J5450">
        <v>33198.620000000003</v>
      </c>
      <c r="K5450">
        <v>16343.533697632058</v>
      </c>
    </row>
    <row r="5451" spans="1:11" x14ac:dyDescent="0.25">
      <c r="A5451" t="s">
        <v>759</v>
      </c>
      <c r="B5451" t="s">
        <v>760</v>
      </c>
      <c r="C5451" s="1">
        <v>41116</v>
      </c>
      <c r="D5451" s="1">
        <v>41127</v>
      </c>
      <c r="E5451">
        <v>8</v>
      </c>
      <c r="F5451" t="s">
        <v>689</v>
      </c>
      <c r="G5451" t="s">
        <v>16</v>
      </c>
      <c r="H5451" t="s">
        <v>4169</v>
      </c>
      <c r="I5451">
        <v>1</v>
      </c>
      <c r="J5451">
        <v>43258.7</v>
      </c>
      <c r="K5451">
        <v>43258.7</v>
      </c>
    </row>
    <row r="5452" spans="1:11" x14ac:dyDescent="0.25">
      <c r="A5452" t="s">
        <v>793</v>
      </c>
      <c r="B5452" t="s">
        <v>794</v>
      </c>
      <c r="C5452" s="1">
        <v>41149</v>
      </c>
      <c r="D5452" s="1">
        <v>41163</v>
      </c>
      <c r="E5452">
        <v>3</v>
      </c>
      <c r="F5452" t="s">
        <v>309</v>
      </c>
      <c r="G5452" t="s">
        <v>16</v>
      </c>
      <c r="H5452" t="s">
        <v>7330</v>
      </c>
      <c r="I5452">
        <v>2.0293000000000001</v>
      </c>
      <c r="J5452">
        <v>48351.97</v>
      </c>
      <c r="K5452">
        <v>23826.920613019269</v>
      </c>
    </row>
    <row r="5453" spans="1:11" x14ac:dyDescent="0.25">
      <c r="A5453" t="s">
        <v>793</v>
      </c>
      <c r="B5453" t="s">
        <v>794</v>
      </c>
      <c r="C5453" s="1">
        <v>41149</v>
      </c>
      <c r="D5453" s="1">
        <v>41163</v>
      </c>
      <c r="E5453">
        <v>3</v>
      </c>
      <c r="F5453" t="s">
        <v>309</v>
      </c>
      <c r="G5453" t="s">
        <v>16</v>
      </c>
      <c r="H5453" t="s">
        <v>7331</v>
      </c>
      <c r="I5453">
        <v>2.0293000000000001</v>
      </c>
      <c r="J5453">
        <v>48351.97</v>
      </c>
      <c r="K5453">
        <v>23826.920613019269</v>
      </c>
    </row>
    <row r="5454" spans="1:11" x14ac:dyDescent="0.25">
      <c r="A5454" t="s">
        <v>793</v>
      </c>
      <c r="B5454" t="s">
        <v>794</v>
      </c>
      <c r="C5454" s="1">
        <v>41149</v>
      </c>
      <c r="D5454" s="1">
        <v>41163</v>
      </c>
      <c r="E5454">
        <v>3</v>
      </c>
      <c r="F5454" t="s">
        <v>309</v>
      </c>
      <c r="G5454" t="s">
        <v>16</v>
      </c>
      <c r="H5454" t="s">
        <v>7332</v>
      </c>
      <c r="I5454">
        <v>2.0293000000000001</v>
      </c>
      <c r="J5454">
        <v>48351.97</v>
      </c>
      <c r="K5454">
        <v>23826.920613019269</v>
      </c>
    </row>
    <row r="5455" spans="1:11" x14ac:dyDescent="0.25">
      <c r="A5455" t="s">
        <v>4170</v>
      </c>
      <c r="B5455" t="s">
        <v>4171</v>
      </c>
      <c r="C5455" s="1">
        <v>41158</v>
      </c>
      <c r="D5455" s="1">
        <v>41164</v>
      </c>
      <c r="E5455">
        <v>4868</v>
      </c>
      <c r="F5455" t="s">
        <v>278</v>
      </c>
      <c r="G5455" t="s">
        <v>16</v>
      </c>
      <c r="H5455" t="s">
        <v>4172</v>
      </c>
      <c r="I5455">
        <v>2.0385</v>
      </c>
      <c r="J5455">
        <v>157139.20000000001</v>
      </c>
      <c r="K5455">
        <v>77085.700269806228</v>
      </c>
    </row>
    <row r="5456" spans="1:11" x14ac:dyDescent="0.25">
      <c r="A5456" t="s">
        <v>748</v>
      </c>
      <c r="B5456" t="s">
        <v>749</v>
      </c>
      <c r="C5456" s="1">
        <v>41153</v>
      </c>
      <c r="D5456" s="1">
        <v>41159</v>
      </c>
      <c r="E5456">
        <v>4855</v>
      </c>
      <c r="F5456" t="s">
        <v>309</v>
      </c>
      <c r="G5456" t="s">
        <v>16</v>
      </c>
      <c r="H5456" t="s">
        <v>7333</v>
      </c>
      <c r="I5456">
        <v>2.0371999999999999</v>
      </c>
      <c r="J5456">
        <v>64148.82</v>
      </c>
      <c r="K5456">
        <v>31488.719811505987</v>
      </c>
    </row>
    <row r="5457" spans="1:11" x14ac:dyDescent="0.25">
      <c r="A5457" t="s">
        <v>748</v>
      </c>
      <c r="B5457" t="s">
        <v>749</v>
      </c>
      <c r="C5457" s="1">
        <v>41153</v>
      </c>
      <c r="D5457" s="1">
        <v>41159</v>
      </c>
      <c r="E5457">
        <v>4855</v>
      </c>
      <c r="F5457" t="s">
        <v>309</v>
      </c>
      <c r="G5457" t="s">
        <v>16</v>
      </c>
      <c r="H5457" t="s">
        <v>4173</v>
      </c>
      <c r="I5457">
        <v>2.0371999999999999</v>
      </c>
      <c r="J5457">
        <v>46539.34</v>
      </c>
      <c r="K5457">
        <v>22844.757510308267</v>
      </c>
    </row>
    <row r="5458" spans="1:11" x14ac:dyDescent="0.25">
      <c r="A5458" t="s">
        <v>748</v>
      </c>
      <c r="B5458" t="s">
        <v>749</v>
      </c>
      <c r="C5458" s="1">
        <v>41153</v>
      </c>
      <c r="D5458" s="1">
        <v>41159</v>
      </c>
      <c r="E5458">
        <v>4855</v>
      </c>
      <c r="F5458" t="s">
        <v>309</v>
      </c>
      <c r="G5458" t="s">
        <v>16</v>
      </c>
      <c r="H5458" t="s">
        <v>7334</v>
      </c>
      <c r="I5458">
        <v>2.0371999999999999</v>
      </c>
      <c r="J5458">
        <v>40250.239999999998</v>
      </c>
      <c r="K5458">
        <v>19757.628117023367</v>
      </c>
    </row>
    <row r="5459" spans="1:11" x14ac:dyDescent="0.25">
      <c r="A5459" t="s">
        <v>1421</v>
      </c>
      <c r="B5459" t="s">
        <v>1422</v>
      </c>
      <c r="C5459" s="1">
        <v>41207</v>
      </c>
      <c r="D5459" s="1">
        <v>41209</v>
      </c>
      <c r="E5459">
        <v>5710</v>
      </c>
      <c r="F5459" t="s">
        <v>309</v>
      </c>
      <c r="G5459" t="s">
        <v>16</v>
      </c>
      <c r="H5459" t="s">
        <v>416</v>
      </c>
      <c r="I5459">
        <v>2.0263</v>
      </c>
      <c r="J5459">
        <v>60935.66</v>
      </c>
      <c r="K5459">
        <v>30072.378226323843</v>
      </c>
    </row>
    <row r="5460" spans="1:11" x14ac:dyDescent="0.25">
      <c r="A5460" t="s">
        <v>4162</v>
      </c>
      <c r="B5460" t="s">
        <v>4163</v>
      </c>
      <c r="C5460" s="1">
        <v>41186</v>
      </c>
      <c r="D5460" s="1">
        <v>41193</v>
      </c>
      <c r="E5460">
        <v>4923</v>
      </c>
      <c r="F5460" t="s">
        <v>331</v>
      </c>
      <c r="G5460" t="s">
        <v>16</v>
      </c>
      <c r="H5460" t="s">
        <v>7335</v>
      </c>
      <c r="I5460">
        <v>2.0266000000000002</v>
      </c>
      <c r="J5460">
        <v>2106.7800000000002</v>
      </c>
      <c r="K5460">
        <v>1039.5638014408369</v>
      </c>
    </row>
    <row r="5461" spans="1:11" x14ac:dyDescent="0.25">
      <c r="A5461" t="s">
        <v>1429</v>
      </c>
      <c r="B5461" t="s">
        <v>1430</v>
      </c>
      <c r="C5461" s="1">
        <v>41180</v>
      </c>
      <c r="D5461" s="1">
        <v>41193</v>
      </c>
      <c r="E5461">
        <v>5441</v>
      </c>
      <c r="F5461" t="s">
        <v>301</v>
      </c>
      <c r="G5461" t="s">
        <v>16</v>
      </c>
      <c r="H5461" t="s">
        <v>7336</v>
      </c>
      <c r="I5461">
        <v>2.0310999999999999</v>
      </c>
      <c r="J5461">
        <v>42389.99</v>
      </c>
      <c r="K5461">
        <v>20870.459356998672</v>
      </c>
    </row>
    <row r="5462" spans="1:11" x14ac:dyDescent="0.25">
      <c r="A5462" t="s">
        <v>1429</v>
      </c>
      <c r="B5462" t="s">
        <v>1430</v>
      </c>
      <c r="C5462" s="1">
        <v>41207</v>
      </c>
      <c r="D5462" s="1">
        <v>41217</v>
      </c>
      <c r="E5462">
        <v>5441</v>
      </c>
      <c r="F5462" t="s">
        <v>301</v>
      </c>
      <c r="G5462" t="s">
        <v>16</v>
      </c>
      <c r="H5462" t="s">
        <v>7337</v>
      </c>
      <c r="I5462">
        <v>2.0263</v>
      </c>
      <c r="J5462">
        <v>9400.01</v>
      </c>
      <c r="K5462">
        <v>4639.0021220944582</v>
      </c>
    </row>
    <row r="5463" spans="1:11" x14ac:dyDescent="0.25">
      <c r="A5463" t="s">
        <v>1421</v>
      </c>
      <c r="B5463" t="s">
        <v>1422</v>
      </c>
      <c r="C5463" s="1">
        <v>41193</v>
      </c>
      <c r="D5463" s="1">
        <v>41199</v>
      </c>
      <c r="E5463">
        <v>5710</v>
      </c>
      <c r="F5463" t="s">
        <v>309</v>
      </c>
      <c r="G5463" t="s">
        <v>16</v>
      </c>
      <c r="H5463" t="s">
        <v>7338</v>
      </c>
      <c r="I5463">
        <v>2.0377999999999998</v>
      </c>
      <c r="J5463">
        <v>59332.09</v>
      </c>
      <c r="K5463">
        <v>29115.757189125528</v>
      </c>
    </row>
    <row r="5464" spans="1:11" x14ac:dyDescent="0.25">
      <c r="A5464" t="s">
        <v>1388</v>
      </c>
      <c r="B5464" t="s">
        <v>1389</v>
      </c>
      <c r="C5464" s="1">
        <v>41197</v>
      </c>
      <c r="D5464" s="1">
        <v>41204</v>
      </c>
      <c r="E5464">
        <v>4846</v>
      </c>
      <c r="F5464" t="s">
        <v>665</v>
      </c>
      <c r="G5464" t="s">
        <v>16</v>
      </c>
      <c r="H5464" t="s">
        <v>4174</v>
      </c>
      <c r="I5464">
        <v>2.0369000000000002</v>
      </c>
      <c r="J5464">
        <v>29400.19</v>
      </c>
      <c r="K5464">
        <v>14433.79154597673</v>
      </c>
    </row>
    <row r="5465" spans="1:11" x14ac:dyDescent="0.25">
      <c r="A5465" t="s">
        <v>793</v>
      </c>
      <c r="B5465" t="s">
        <v>794</v>
      </c>
      <c r="C5465" s="1">
        <v>41160</v>
      </c>
      <c r="D5465" s="1">
        <v>41182</v>
      </c>
      <c r="E5465">
        <v>3</v>
      </c>
      <c r="F5465" t="s">
        <v>309</v>
      </c>
      <c r="G5465" t="s">
        <v>16</v>
      </c>
      <c r="H5465" t="s">
        <v>4175</v>
      </c>
      <c r="I5465">
        <v>2.0381</v>
      </c>
      <c r="J5465">
        <v>6358.28</v>
      </c>
      <c r="K5465">
        <v>3119.7095333889406</v>
      </c>
    </row>
    <row r="5466" spans="1:11" x14ac:dyDescent="0.25">
      <c r="A5466" t="s">
        <v>793</v>
      </c>
      <c r="B5466" t="s">
        <v>794</v>
      </c>
      <c r="C5466" s="1">
        <v>41161</v>
      </c>
      <c r="D5466" s="1">
        <v>41182</v>
      </c>
      <c r="E5466">
        <v>3</v>
      </c>
      <c r="F5466" t="s">
        <v>309</v>
      </c>
      <c r="G5466" t="s">
        <v>16</v>
      </c>
      <c r="H5466" t="s">
        <v>4176</v>
      </c>
      <c r="I5466">
        <v>2.0381</v>
      </c>
      <c r="J5466">
        <v>47051.3</v>
      </c>
      <c r="K5466">
        <v>23085.864285363819</v>
      </c>
    </row>
    <row r="5467" spans="1:11" x14ac:dyDescent="0.25">
      <c r="A5467" t="s">
        <v>804</v>
      </c>
      <c r="B5467" t="s">
        <v>805</v>
      </c>
      <c r="C5467" s="1">
        <v>41169</v>
      </c>
      <c r="D5467" s="1">
        <v>41185</v>
      </c>
      <c r="E5467">
        <v>34</v>
      </c>
      <c r="F5467" t="s">
        <v>331</v>
      </c>
      <c r="G5467" t="s">
        <v>16</v>
      </c>
      <c r="H5467" t="s">
        <v>4177</v>
      </c>
      <c r="I5467">
        <v>2.0135999999999998</v>
      </c>
      <c r="J5467">
        <v>41641.040000000001</v>
      </c>
      <c r="K5467">
        <v>20679.896702423521</v>
      </c>
    </row>
    <row r="5468" spans="1:11" x14ac:dyDescent="0.25">
      <c r="A5468" t="s">
        <v>4178</v>
      </c>
      <c r="B5468" t="s">
        <v>321</v>
      </c>
      <c r="C5468" s="1">
        <v>41171</v>
      </c>
      <c r="D5468" s="1">
        <v>41185</v>
      </c>
      <c r="E5468">
        <v>2</v>
      </c>
      <c r="F5468" t="s">
        <v>642</v>
      </c>
      <c r="G5468" t="s">
        <v>16</v>
      </c>
      <c r="H5468" t="s">
        <v>7339</v>
      </c>
      <c r="I5468">
        <v>2.0274000000000001</v>
      </c>
      <c r="J5468">
        <v>140296.79999999999</v>
      </c>
      <c r="K5468">
        <v>69200.355134655227</v>
      </c>
    </row>
    <row r="5469" spans="1:11" x14ac:dyDescent="0.25">
      <c r="A5469" t="s">
        <v>804</v>
      </c>
      <c r="B5469" t="s">
        <v>805</v>
      </c>
      <c r="C5469" s="1">
        <v>41169</v>
      </c>
      <c r="D5469" s="1">
        <v>41185</v>
      </c>
      <c r="E5469">
        <v>34</v>
      </c>
      <c r="F5469" t="s">
        <v>331</v>
      </c>
      <c r="G5469" t="s">
        <v>16</v>
      </c>
      <c r="H5469" t="s">
        <v>7340</v>
      </c>
      <c r="I5469">
        <v>2.0135999999999998</v>
      </c>
      <c r="J5469">
        <v>51100.61</v>
      </c>
      <c r="K5469">
        <v>25377.736392530791</v>
      </c>
    </row>
    <row r="5470" spans="1:11" x14ac:dyDescent="0.25">
      <c r="A5470" t="s">
        <v>4178</v>
      </c>
      <c r="B5470" t="s">
        <v>321</v>
      </c>
      <c r="C5470" s="1">
        <v>41170</v>
      </c>
      <c r="D5470" s="1">
        <v>41185</v>
      </c>
      <c r="E5470">
        <v>2</v>
      </c>
      <c r="F5470" t="s">
        <v>642</v>
      </c>
      <c r="G5470" t="s">
        <v>16</v>
      </c>
      <c r="H5470" t="s">
        <v>4179</v>
      </c>
      <c r="I5470">
        <v>2.0312000000000001</v>
      </c>
      <c r="J5470">
        <v>162372.65</v>
      </c>
      <c r="K5470">
        <v>79939.272351319421</v>
      </c>
    </row>
    <row r="5471" spans="1:11" x14ac:dyDescent="0.25">
      <c r="A5471" t="s">
        <v>1910</v>
      </c>
      <c r="B5471" t="s">
        <v>297</v>
      </c>
      <c r="C5471" s="1">
        <v>41169</v>
      </c>
      <c r="D5471" s="1">
        <v>41172</v>
      </c>
      <c r="E5471">
        <v>7</v>
      </c>
      <c r="F5471" t="s">
        <v>642</v>
      </c>
      <c r="G5471" t="s">
        <v>16</v>
      </c>
      <c r="H5471" t="s">
        <v>7341</v>
      </c>
      <c r="I5471">
        <v>2.0135999999999998</v>
      </c>
      <c r="J5471">
        <v>124776.23</v>
      </c>
      <c r="K5471">
        <v>61966.741160111247</v>
      </c>
    </row>
    <row r="5472" spans="1:11" x14ac:dyDescent="0.25">
      <c r="A5472" t="s">
        <v>1924</v>
      </c>
      <c r="B5472" t="s">
        <v>297</v>
      </c>
      <c r="C5472" s="1">
        <v>41164</v>
      </c>
      <c r="D5472" s="1">
        <v>41172</v>
      </c>
      <c r="E5472">
        <v>8558</v>
      </c>
      <c r="F5472" t="s">
        <v>318</v>
      </c>
      <c r="G5472" t="s">
        <v>16</v>
      </c>
      <c r="H5472" t="s">
        <v>7342</v>
      </c>
      <c r="I5472">
        <v>2.0196999999999998</v>
      </c>
      <c r="J5472">
        <v>166173.85999999999</v>
      </c>
      <c r="K5472">
        <v>82276.506411843337</v>
      </c>
    </row>
    <row r="5473" spans="1:11" x14ac:dyDescent="0.25">
      <c r="A5473" t="s">
        <v>804</v>
      </c>
      <c r="B5473" t="s">
        <v>805</v>
      </c>
      <c r="C5473" s="1">
        <v>41171</v>
      </c>
      <c r="D5473" s="1">
        <v>41185</v>
      </c>
      <c r="E5473">
        <v>34</v>
      </c>
      <c r="F5473" t="s">
        <v>331</v>
      </c>
      <c r="G5473" t="s">
        <v>16</v>
      </c>
      <c r="H5473" t="s">
        <v>7343</v>
      </c>
      <c r="I5473">
        <v>2.0274000000000001</v>
      </c>
      <c r="J5473">
        <v>48326.34</v>
      </c>
      <c r="K5473">
        <v>23836.608464042616</v>
      </c>
    </row>
    <row r="5474" spans="1:11" x14ac:dyDescent="0.25">
      <c r="A5474" t="s">
        <v>779</v>
      </c>
      <c r="B5474" t="s">
        <v>771</v>
      </c>
      <c r="C5474" s="1">
        <v>41177</v>
      </c>
      <c r="D5474" s="1">
        <v>41177</v>
      </c>
      <c r="E5474">
        <v>4822</v>
      </c>
      <c r="F5474" t="s">
        <v>331</v>
      </c>
      <c r="G5474" t="s">
        <v>16</v>
      </c>
      <c r="H5474" t="s">
        <v>3833</v>
      </c>
      <c r="I5474">
        <v>2.0272999999999999</v>
      </c>
      <c r="J5474">
        <v>56877.37</v>
      </c>
      <c r="K5474">
        <v>28055.724362452522</v>
      </c>
    </row>
    <row r="5475" spans="1:11" x14ac:dyDescent="0.25">
      <c r="A5475" t="s">
        <v>799</v>
      </c>
      <c r="B5475" t="s">
        <v>800</v>
      </c>
      <c r="C5475" s="1">
        <v>41169</v>
      </c>
      <c r="D5475" s="1">
        <v>41178</v>
      </c>
      <c r="E5475">
        <v>4856</v>
      </c>
      <c r="F5475" t="s">
        <v>301</v>
      </c>
      <c r="G5475" t="s">
        <v>16</v>
      </c>
      <c r="H5475" t="s">
        <v>357</v>
      </c>
      <c r="I5475">
        <v>2.0135999999999998</v>
      </c>
      <c r="J5475">
        <v>42029.99</v>
      </c>
      <c r="K5475">
        <v>20873.058204211364</v>
      </c>
    </row>
    <row r="5476" spans="1:11" x14ac:dyDescent="0.25">
      <c r="A5476" t="s">
        <v>1425</v>
      </c>
      <c r="B5476" t="s">
        <v>1426</v>
      </c>
      <c r="C5476" s="1">
        <v>41170</v>
      </c>
      <c r="D5476" s="1">
        <v>41173</v>
      </c>
      <c r="E5476">
        <v>35</v>
      </c>
      <c r="F5476" t="s">
        <v>331</v>
      </c>
      <c r="G5476" t="s">
        <v>16</v>
      </c>
      <c r="H5476" t="s">
        <v>7344</v>
      </c>
      <c r="I5476">
        <v>2.0312000000000001</v>
      </c>
      <c r="J5476">
        <v>50287.21</v>
      </c>
      <c r="K5476">
        <v>24757.389720362349</v>
      </c>
    </row>
    <row r="5477" spans="1:11" x14ac:dyDescent="0.25">
      <c r="A5477" t="s">
        <v>1388</v>
      </c>
      <c r="B5477" t="s">
        <v>1389</v>
      </c>
      <c r="C5477" s="1">
        <v>41169</v>
      </c>
      <c r="D5477" s="1">
        <v>41173</v>
      </c>
      <c r="E5477">
        <v>4846</v>
      </c>
      <c r="F5477" t="s">
        <v>665</v>
      </c>
      <c r="G5477" t="s">
        <v>16</v>
      </c>
      <c r="H5477" t="s">
        <v>4180</v>
      </c>
      <c r="I5477">
        <v>2.0135999999999998</v>
      </c>
      <c r="J5477">
        <v>14692.13</v>
      </c>
      <c r="K5477">
        <v>7296.4491458085022</v>
      </c>
    </row>
    <row r="5478" spans="1:11" x14ac:dyDescent="0.25">
      <c r="A5478" t="s">
        <v>808</v>
      </c>
      <c r="B5478" t="s">
        <v>809</v>
      </c>
      <c r="C5478" s="1">
        <v>41170</v>
      </c>
      <c r="D5478" s="1">
        <v>41177</v>
      </c>
      <c r="E5478">
        <v>4825</v>
      </c>
      <c r="F5478" t="s">
        <v>331</v>
      </c>
      <c r="G5478" t="s">
        <v>16</v>
      </c>
      <c r="H5478" t="s">
        <v>4181</v>
      </c>
      <c r="I5478">
        <v>2.0312000000000001</v>
      </c>
      <c r="J5478">
        <v>40461.879999999997</v>
      </c>
      <c r="K5478">
        <v>19920.185112248917</v>
      </c>
    </row>
    <row r="5479" spans="1:11" x14ac:dyDescent="0.25">
      <c r="A5479" t="s">
        <v>4182</v>
      </c>
      <c r="B5479" t="s">
        <v>4183</v>
      </c>
      <c r="C5479" s="1">
        <v>41187</v>
      </c>
      <c r="D5479" s="1">
        <v>41199</v>
      </c>
      <c r="E5479">
        <v>4841</v>
      </c>
      <c r="F5479" t="s">
        <v>309</v>
      </c>
      <c r="G5479" t="s">
        <v>16</v>
      </c>
      <c r="H5479" t="s">
        <v>4184</v>
      </c>
      <c r="I5479">
        <v>2.0224000000000002</v>
      </c>
      <c r="J5479">
        <v>58745.5</v>
      </c>
      <c r="K5479">
        <v>29047.41890822785</v>
      </c>
    </row>
    <row r="5480" spans="1:11" x14ac:dyDescent="0.25">
      <c r="A5480" t="s">
        <v>787</v>
      </c>
      <c r="B5480" t="s">
        <v>788</v>
      </c>
      <c r="C5480" s="1">
        <v>41206</v>
      </c>
      <c r="D5480" s="1">
        <v>41208</v>
      </c>
      <c r="E5480">
        <v>5709</v>
      </c>
      <c r="F5480" t="s">
        <v>309</v>
      </c>
      <c r="G5480" t="s">
        <v>16</v>
      </c>
      <c r="H5480" t="s">
        <v>7345</v>
      </c>
      <c r="I5480">
        <v>2.0286</v>
      </c>
      <c r="J5480">
        <v>58083.38</v>
      </c>
      <c r="K5480">
        <v>28632.248841565612</v>
      </c>
    </row>
    <row r="5481" spans="1:11" x14ac:dyDescent="0.25">
      <c r="A5481" t="s">
        <v>1444</v>
      </c>
      <c r="C5481" s="1">
        <v>41204</v>
      </c>
      <c r="D5481" s="1">
        <v>41205</v>
      </c>
      <c r="E5481">
        <v>8826</v>
      </c>
      <c r="F5481" t="s">
        <v>421</v>
      </c>
      <c r="G5481" t="s">
        <v>16</v>
      </c>
      <c r="H5481" t="s">
        <v>7346</v>
      </c>
      <c r="I5481">
        <v>2.0272000000000001</v>
      </c>
      <c r="J5481">
        <v>641.25</v>
      </c>
      <c r="K5481">
        <v>316.32300710339382</v>
      </c>
    </row>
    <row r="5482" spans="1:11" x14ac:dyDescent="0.25">
      <c r="A5482" t="s">
        <v>770</v>
      </c>
      <c r="B5482" t="s">
        <v>771</v>
      </c>
      <c r="C5482" s="1">
        <v>41170</v>
      </c>
      <c r="D5482" s="1">
        <v>41173</v>
      </c>
      <c r="E5482">
        <v>4824</v>
      </c>
      <c r="F5482" t="s">
        <v>331</v>
      </c>
      <c r="G5482" t="s">
        <v>16</v>
      </c>
      <c r="H5482" t="s">
        <v>4185</v>
      </c>
      <c r="I5482">
        <v>2.0312000000000001</v>
      </c>
      <c r="J5482">
        <v>42117.38</v>
      </c>
      <c r="K5482">
        <v>20735.220559275305</v>
      </c>
    </row>
    <row r="5483" spans="1:11" x14ac:dyDescent="0.25">
      <c r="A5483" t="s">
        <v>7347</v>
      </c>
      <c r="B5483" t="s">
        <v>7348</v>
      </c>
      <c r="C5483" s="1">
        <v>41229</v>
      </c>
      <c r="D5483" s="1">
        <v>41243</v>
      </c>
      <c r="E5483">
        <v>10363</v>
      </c>
      <c r="F5483" t="s">
        <v>389</v>
      </c>
      <c r="G5483" t="s">
        <v>16</v>
      </c>
      <c r="H5483" t="s">
        <v>588</v>
      </c>
      <c r="I5483">
        <v>2.0619000000000001</v>
      </c>
      <c r="J5483">
        <v>9200</v>
      </c>
      <c r="K5483">
        <v>4461.9040690625152</v>
      </c>
    </row>
    <row r="5484" spans="1:11" x14ac:dyDescent="0.25">
      <c r="A5484" t="s">
        <v>799</v>
      </c>
      <c r="B5484" t="s">
        <v>800</v>
      </c>
      <c r="C5484" s="1">
        <v>41237</v>
      </c>
      <c r="D5484" s="1">
        <v>41243</v>
      </c>
      <c r="E5484">
        <v>4856</v>
      </c>
      <c r="F5484" t="s">
        <v>301</v>
      </c>
      <c r="G5484" t="s">
        <v>16</v>
      </c>
      <c r="H5484" t="s">
        <v>7349</v>
      </c>
      <c r="I5484">
        <v>2.0985</v>
      </c>
      <c r="J5484">
        <v>43740</v>
      </c>
      <c r="K5484">
        <v>20843.459614010007</v>
      </c>
    </row>
    <row r="5485" spans="1:11" x14ac:dyDescent="0.25">
      <c r="A5485" t="s">
        <v>799</v>
      </c>
      <c r="B5485" t="s">
        <v>800</v>
      </c>
      <c r="C5485" s="1">
        <v>41237</v>
      </c>
      <c r="D5485" s="1">
        <v>41247</v>
      </c>
      <c r="E5485">
        <v>4856</v>
      </c>
      <c r="F5485" t="s">
        <v>301</v>
      </c>
      <c r="G5485" t="s">
        <v>16</v>
      </c>
      <c r="H5485" t="s">
        <v>7350</v>
      </c>
      <c r="I5485">
        <v>2.0985</v>
      </c>
      <c r="J5485">
        <v>300552</v>
      </c>
      <c r="K5485">
        <v>143222.30164403145</v>
      </c>
    </row>
    <row r="5486" spans="1:11" x14ac:dyDescent="0.25">
      <c r="A5486" t="s">
        <v>799</v>
      </c>
      <c r="B5486" t="s">
        <v>800</v>
      </c>
      <c r="C5486" s="1">
        <v>41238</v>
      </c>
      <c r="D5486" s="1">
        <v>41247</v>
      </c>
      <c r="E5486">
        <v>4856</v>
      </c>
      <c r="F5486" t="s">
        <v>301</v>
      </c>
      <c r="G5486" t="s">
        <v>16</v>
      </c>
      <c r="H5486" t="s">
        <v>4186</v>
      </c>
      <c r="I5486">
        <v>2.0985</v>
      </c>
      <c r="J5486">
        <v>43740</v>
      </c>
      <c r="K5486">
        <v>20843.459614010007</v>
      </c>
    </row>
    <row r="5487" spans="1:11" x14ac:dyDescent="0.25">
      <c r="A5487" t="s">
        <v>1429</v>
      </c>
      <c r="B5487" t="s">
        <v>1430</v>
      </c>
      <c r="C5487" s="1">
        <v>41239</v>
      </c>
      <c r="D5487" s="1">
        <v>41247</v>
      </c>
      <c r="E5487">
        <v>5441</v>
      </c>
      <c r="F5487" t="s">
        <v>301</v>
      </c>
      <c r="G5487" t="s">
        <v>16</v>
      </c>
      <c r="H5487" t="s">
        <v>4187</v>
      </c>
      <c r="I5487">
        <v>2.0985</v>
      </c>
      <c r="J5487">
        <v>43740</v>
      </c>
      <c r="K5487">
        <v>20843.459614010007</v>
      </c>
    </row>
    <row r="5488" spans="1:11" x14ac:dyDescent="0.25">
      <c r="A5488" t="s">
        <v>817</v>
      </c>
      <c r="B5488" t="s">
        <v>818</v>
      </c>
      <c r="C5488" s="1">
        <v>41227</v>
      </c>
      <c r="D5488" s="1">
        <v>41227</v>
      </c>
      <c r="E5488">
        <v>5498</v>
      </c>
      <c r="F5488" t="s">
        <v>301</v>
      </c>
      <c r="G5488" t="s">
        <v>16</v>
      </c>
      <c r="H5488" t="s">
        <v>4188</v>
      </c>
      <c r="I5488">
        <v>2.0613999999999999</v>
      </c>
      <c r="J5488">
        <v>42185.99</v>
      </c>
      <c r="K5488">
        <v>20464.727854855922</v>
      </c>
    </row>
    <row r="5489" spans="1:11" x14ac:dyDescent="0.25">
      <c r="A5489" t="s">
        <v>835</v>
      </c>
      <c r="B5489" t="s">
        <v>836</v>
      </c>
      <c r="C5489" s="1">
        <v>41293</v>
      </c>
      <c r="D5489" s="1">
        <v>41298</v>
      </c>
      <c r="E5489">
        <v>11334</v>
      </c>
      <c r="F5489" t="s">
        <v>331</v>
      </c>
      <c r="G5489" t="s">
        <v>16</v>
      </c>
      <c r="H5489" t="s">
        <v>7351</v>
      </c>
      <c r="I5489">
        <v>2.0440999999999998</v>
      </c>
      <c r="J5489">
        <v>64250.36</v>
      </c>
      <c r="K5489">
        <v>31432.10214764444</v>
      </c>
    </row>
    <row r="5490" spans="1:11" x14ac:dyDescent="0.25">
      <c r="A5490" t="s">
        <v>835</v>
      </c>
      <c r="B5490" t="s">
        <v>836</v>
      </c>
      <c r="C5490" s="1">
        <v>41295</v>
      </c>
      <c r="D5490" s="1">
        <v>41298</v>
      </c>
      <c r="E5490">
        <v>11334</v>
      </c>
      <c r="F5490" t="s">
        <v>331</v>
      </c>
      <c r="G5490" t="s">
        <v>16</v>
      </c>
      <c r="H5490" t="s">
        <v>7352</v>
      </c>
      <c r="I5490">
        <v>2.0440999999999998</v>
      </c>
      <c r="J5490">
        <v>62279.49</v>
      </c>
      <c r="K5490">
        <v>30467.927205126951</v>
      </c>
    </row>
    <row r="5491" spans="1:11" x14ac:dyDescent="0.25">
      <c r="A5491" t="s">
        <v>821</v>
      </c>
      <c r="B5491" t="s">
        <v>822</v>
      </c>
      <c r="C5491" s="1">
        <v>41286</v>
      </c>
      <c r="D5491" s="1">
        <v>41290</v>
      </c>
      <c r="E5491">
        <v>11833</v>
      </c>
      <c r="F5491" t="s">
        <v>331</v>
      </c>
      <c r="G5491" t="s">
        <v>16</v>
      </c>
      <c r="H5491" t="s">
        <v>4189</v>
      </c>
      <c r="I5491">
        <v>2.0341</v>
      </c>
      <c r="J5491">
        <v>69395.210000000006</v>
      </c>
      <c r="K5491">
        <v>34115.928420431643</v>
      </c>
    </row>
    <row r="5492" spans="1:11" x14ac:dyDescent="0.25">
      <c r="A5492" t="s">
        <v>825</v>
      </c>
      <c r="B5492" t="s">
        <v>826</v>
      </c>
      <c r="C5492" s="1">
        <v>41271</v>
      </c>
      <c r="D5492" s="1">
        <v>41276</v>
      </c>
      <c r="E5492">
        <v>11411</v>
      </c>
      <c r="F5492" t="s">
        <v>331</v>
      </c>
      <c r="G5492" t="s">
        <v>16</v>
      </c>
      <c r="H5492" t="s">
        <v>4190</v>
      </c>
      <c r="I5492">
        <v>2.0482999999999998</v>
      </c>
      <c r="J5492">
        <v>44464.75</v>
      </c>
      <c r="K5492">
        <v>21708.123809988771</v>
      </c>
    </row>
    <row r="5493" spans="1:11" x14ac:dyDescent="0.25">
      <c r="A5493" t="s">
        <v>821</v>
      </c>
      <c r="B5493" t="s">
        <v>822</v>
      </c>
      <c r="C5493" s="1">
        <v>41290</v>
      </c>
      <c r="D5493" s="1">
        <v>41292</v>
      </c>
      <c r="E5493">
        <v>11833</v>
      </c>
      <c r="F5493" t="s">
        <v>331</v>
      </c>
      <c r="G5493" t="s">
        <v>16</v>
      </c>
      <c r="H5493" t="s">
        <v>7353</v>
      </c>
      <c r="I5493">
        <v>2.0373999999999999</v>
      </c>
      <c r="J5493">
        <v>52536.33</v>
      </c>
      <c r="K5493">
        <v>25785.967409443409</v>
      </c>
    </row>
    <row r="5494" spans="1:11" x14ac:dyDescent="0.25">
      <c r="A5494" t="s">
        <v>821</v>
      </c>
      <c r="B5494" t="s">
        <v>822</v>
      </c>
      <c r="C5494" s="1">
        <v>41290</v>
      </c>
      <c r="D5494" s="1">
        <v>41292</v>
      </c>
      <c r="E5494">
        <v>11833</v>
      </c>
      <c r="F5494" t="s">
        <v>331</v>
      </c>
      <c r="G5494" t="s">
        <v>16</v>
      </c>
      <c r="H5494" t="s">
        <v>4191</v>
      </c>
      <c r="I5494">
        <v>2.0373999999999999</v>
      </c>
      <c r="J5494">
        <v>59985.93</v>
      </c>
      <c r="K5494">
        <v>29442.392264651025</v>
      </c>
    </row>
    <row r="5495" spans="1:11" x14ac:dyDescent="0.25">
      <c r="A5495" t="s">
        <v>821</v>
      </c>
      <c r="B5495" t="s">
        <v>822</v>
      </c>
      <c r="C5495" s="1">
        <v>41286</v>
      </c>
      <c r="D5495" s="1">
        <v>41291</v>
      </c>
      <c r="E5495">
        <v>11833</v>
      </c>
      <c r="F5495" t="s">
        <v>331</v>
      </c>
      <c r="G5495" t="s">
        <v>16</v>
      </c>
      <c r="H5495" t="s">
        <v>7354</v>
      </c>
      <c r="I5495">
        <v>2.0341</v>
      </c>
      <c r="J5495">
        <v>51632.93</v>
      </c>
      <c r="K5495">
        <v>25383.673369057567</v>
      </c>
    </row>
    <row r="5496" spans="1:11" x14ac:dyDescent="0.25">
      <c r="A5496" t="s">
        <v>799</v>
      </c>
      <c r="B5496" t="s">
        <v>800</v>
      </c>
      <c r="C5496" s="1">
        <v>41260</v>
      </c>
      <c r="D5496" s="1">
        <v>41272</v>
      </c>
      <c r="E5496">
        <v>4856</v>
      </c>
      <c r="F5496" t="s">
        <v>301</v>
      </c>
      <c r="G5496" t="s">
        <v>16</v>
      </c>
      <c r="H5496" t="s">
        <v>4192</v>
      </c>
      <c r="I5496">
        <v>2.0840000000000001</v>
      </c>
      <c r="J5496">
        <v>96542.59</v>
      </c>
      <c r="K5496">
        <v>46325.619001919389</v>
      </c>
    </row>
    <row r="5497" spans="1:11" x14ac:dyDescent="0.25">
      <c r="A5497" t="s">
        <v>821</v>
      </c>
      <c r="B5497" t="s">
        <v>822</v>
      </c>
      <c r="C5497" s="1">
        <v>41290</v>
      </c>
      <c r="D5497" s="1">
        <v>41293</v>
      </c>
      <c r="E5497">
        <v>11833</v>
      </c>
      <c r="F5497" t="s">
        <v>331</v>
      </c>
      <c r="G5497" t="s">
        <v>16</v>
      </c>
      <c r="H5497" t="s">
        <v>4193</v>
      </c>
      <c r="I5497">
        <v>2.0373999999999999</v>
      </c>
      <c r="J5497">
        <v>52008.19</v>
      </c>
      <c r="K5497">
        <v>25526.74487091391</v>
      </c>
    </row>
    <row r="5498" spans="1:11" x14ac:dyDescent="0.25">
      <c r="A5498" t="s">
        <v>4194</v>
      </c>
      <c r="B5498" t="s">
        <v>4195</v>
      </c>
      <c r="C5498" s="1">
        <v>41257</v>
      </c>
      <c r="D5498" s="1">
        <v>41260</v>
      </c>
      <c r="E5498">
        <v>8442</v>
      </c>
      <c r="F5498" t="s">
        <v>278</v>
      </c>
      <c r="G5498" t="s">
        <v>16</v>
      </c>
      <c r="H5498" t="s">
        <v>4196</v>
      </c>
      <c r="I5498">
        <v>2.0750999999999999</v>
      </c>
      <c r="J5498">
        <v>155723.4</v>
      </c>
      <c r="K5498">
        <v>75043.805117825643</v>
      </c>
    </row>
    <row r="5499" spans="1:11" x14ac:dyDescent="0.25">
      <c r="A5499" t="s">
        <v>838</v>
      </c>
      <c r="B5499" t="s">
        <v>839</v>
      </c>
      <c r="C5499" s="1">
        <v>41265</v>
      </c>
      <c r="D5499" s="1">
        <v>41270</v>
      </c>
      <c r="E5499">
        <v>11333</v>
      </c>
      <c r="F5499" t="s">
        <v>331</v>
      </c>
      <c r="G5499" t="s">
        <v>16</v>
      </c>
      <c r="H5499" t="s">
        <v>4197</v>
      </c>
      <c r="I5499">
        <v>2.0758000000000001</v>
      </c>
      <c r="J5499">
        <v>60548.55</v>
      </c>
      <c r="K5499">
        <v>29168.778302341267</v>
      </c>
    </row>
    <row r="5500" spans="1:11" x14ac:dyDescent="0.25">
      <c r="A5500" t="s">
        <v>1453</v>
      </c>
      <c r="B5500" t="s">
        <v>1454</v>
      </c>
      <c r="C5500" s="1">
        <v>41291</v>
      </c>
      <c r="D5500" s="1">
        <v>41295</v>
      </c>
      <c r="E5500">
        <v>8781</v>
      </c>
      <c r="F5500" t="s">
        <v>309</v>
      </c>
      <c r="G5500" t="s">
        <v>16</v>
      </c>
      <c r="H5500" t="s">
        <v>4198</v>
      </c>
      <c r="I5500">
        <v>2.0409000000000002</v>
      </c>
      <c r="J5500">
        <v>81256.5</v>
      </c>
      <c r="K5500">
        <v>39814.052623842421</v>
      </c>
    </row>
    <row r="5501" spans="1:11" x14ac:dyDescent="0.25">
      <c r="A5501" t="s">
        <v>1453</v>
      </c>
      <c r="B5501" t="s">
        <v>1454</v>
      </c>
      <c r="C5501" s="1">
        <v>41290</v>
      </c>
      <c r="D5501" s="1">
        <v>41295</v>
      </c>
      <c r="E5501">
        <v>8781</v>
      </c>
      <c r="F5501" t="s">
        <v>309</v>
      </c>
      <c r="G5501" t="s">
        <v>16</v>
      </c>
      <c r="H5501" t="s">
        <v>4199</v>
      </c>
      <c r="I5501">
        <v>2.0373999999999999</v>
      </c>
      <c r="J5501">
        <v>60129.81</v>
      </c>
      <c r="K5501">
        <v>29513.011681554923</v>
      </c>
    </row>
    <row r="5502" spans="1:11" x14ac:dyDescent="0.25">
      <c r="A5502" t="s">
        <v>1453</v>
      </c>
      <c r="B5502" t="s">
        <v>1454</v>
      </c>
      <c r="C5502" s="1">
        <v>41290</v>
      </c>
      <c r="D5502" s="1">
        <v>41295</v>
      </c>
      <c r="E5502">
        <v>8781</v>
      </c>
      <c r="F5502" t="s">
        <v>309</v>
      </c>
      <c r="G5502" t="s">
        <v>16</v>
      </c>
      <c r="H5502" t="s">
        <v>4200</v>
      </c>
      <c r="I5502">
        <v>2.0373999999999999</v>
      </c>
      <c r="J5502">
        <v>60129.81</v>
      </c>
      <c r="K5502">
        <v>29513.011681554923</v>
      </c>
    </row>
    <row r="5503" spans="1:11" x14ac:dyDescent="0.25">
      <c r="A5503" t="s">
        <v>2419</v>
      </c>
      <c r="B5503" t="s">
        <v>2420</v>
      </c>
      <c r="C5503" s="1">
        <v>41269</v>
      </c>
      <c r="D5503" s="1">
        <v>41272</v>
      </c>
      <c r="E5503">
        <v>4845</v>
      </c>
      <c r="F5503" t="s">
        <v>280</v>
      </c>
      <c r="G5503" t="s">
        <v>16</v>
      </c>
      <c r="H5503" t="s">
        <v>7355</v>
      </c>
      <c r="I5503">
        <v>2.0773999999999999</v>
      </c>
      <c r="J5503">
        <v>10078.81</v>
      </c>
      <c r="K5503">
        <v>4851.6462886300187</v>
      </c>
    </row>
    <row r="5504" spans="1:11" x14ac:dyDescent="0.25">
      <c r="A5504" t="s">
        <v>825</v>
      </c>
      <c r="B5504" t="s">
        <v>826</v>
      </c>
      <c r="C5504" s="1">
        <v>41271</v>
      </c>
      <c r="D5504" s="1">
        <v>41281</v>
      </c>
      <c r="E5504">
        <v>11411</v>
      </c>
      <c r="F5504" t="s">
        <v>331</v>
      </c>
      <c r="G5504" t="s">
        <v>16</v>
      </c>
      <c r="H5504" t="s">
        <v>4201</v>
      </c>
      <c r="I5504">
        <v>2.0482999999999998</v>
      </c>
      <c r="J5504">
        <v>44464.75</v>
      </c>
      <c r="K5504">
        <v>21708.123809988771</v>
      </c>
    </row>
    <row r="5505" spans="1:11" x14ac:dyDescent="0.25">
      <c r="A5505" t="s">
        <v>799</v>
      </c>
      <c r="B5505" t="s">
        <v>800</v>
      </c>
      <c r="C5505" s="1">
        <v>41256</v>
      </c>
      <c r="D5505" s="1">
        <v>41263</v>
      </c>
      <c r="E5505">
        <v>4856</v>
      </c>
      <c r="F5505" t="s">
        <v>301</v>
      </c>
      <c r="G5505" t="s">
        <v>16</v>
      </c>
      <c r="H5505" t="s">
        <v>7356</v>
      </c>
      <c r="I5505">
        <v>2.0800999999999998</v>
      </c>
      <c r="J5505">
        <v>64761.21</v>
      </c>
      <c r="K5505">
        <v>31133.700302870053</v>
      </c>
    </row>
    <row r="5506" spans="1:11" x14ac:dyDescent="0.25">
      <c r="A5506" t="s">
        <v>835</v>
      </c>
      <c r="B5506" t="s">
        <v>836</v>
      </c>
      <c r="C5506" s="1">
        <v>41293</v>
      </c>
      <c r="D5506" s="1">
        <v>41296</v>
      </c>
      <c r="E5506">
        <v>11334</v>
      </c>
      <c r="F5506" t="s">
        <v>331</v>
      </c>
      <c r="G5506" t="s">
        <v>16</v>
      </c>
      <c r="H5506" t="s">
        <v>7357</v>
      </c>
      <c r="I5506">
        <v>2.0440999999999998</v>
      </c>
      <c r="J5506">
        <v>86152.73</v>
      </c>
      <c r="K5506">
        <v>42147.023139768113</v>
      </c>
    </row>
    <row r="5507" spans="1:11" x14ac:dyDescent="0.25">
      <c r="A5507" t="s">
        <v>838</v>
      </c>
      <c r="B5507" t="s">
        <v>839</v>
      </c>
      <c r="C5507" s="1">
        <v>41264</v>
      </c>
      <c r="D5507" s="1">
        <v>41270</v>
      </c>
      <c r="E5507">
        <v>11333</v>
      </c>
      <c r="F5507" t="s">
        <v>331</v>
      </c>
      <c r="G5507" t="s">
        <v>16</v>
      </c>
      <c r="H5507" t="s">
        <v>4202</v>
      </c>
      <c r="I5507">
        <v>2.0653999999999999</v>
      </c>
      <c r="J5507">
        <v>63770.5</v>
      </c>
      <c r="K5507">
        <v>30875.617313837512</v>
      </c>
    </row>
    <row r="5508" spans="1:11" x14ac:dyDescent="0.25">
      <c r="A5508" t="s">
        <v>838</v>
      </c>
      <c r="B5508" t="s">
        <v>839</v>
      </c>
      <c r="C5508" s="1">
        <v>41265</v>
      </c>
      <c r="D5508" s="1">
        <v>41270</v>
      </c>
      <c r="E5508">
        <v>11333</v>
      </c>
      <c r="F5508" t="s">
        <v>331</v>
      </c>
      <c r="G5508" t="s">
        <v>16</v>
      </c>
      <c r="H5508" t="s">
        <v>7358</v>
      </c>
      <c r="I5508">
        <v>2.0758000000000001</v>
      </c>
      <c r="J5508">
        <v>64164.67</v>
      </c>
      <c r="K5508">
        <v>30910.815107428461</v>
      </c>
    </row>
    <row r="5509" spans="1:11" x14ac:dyDescent="0.25">
      <c r="A5509" t="s">
        <v>838</v>
      </c>
      <c r="B5509" t="s">
        <v>839</v>
      </c>
      <c r="C5509" s="1">
        <v>41265</v>
      </c>
      <c r="D5509" s="1">
        <v>41270</v>
      </c>
      <c r="E5509">
        <v>11333</v>
      </c>
      <c r="F5509" t="s">
        <v>331</v>
      </c>
      <c r="G5509" t="s">
        <v>16</v>
      </c>
      <c r="H5509" t="s">
        <v>7359</v>
      </c>
      <c r="I5509">
        <v>2.0758000000000001</v>
      </c>
      <c r="J5509">
        <v>85244.41</v>
      </c>
      <c r="K5509">
        <v>41065.81077175065</v>
      </c>
    </row>
    <row r="5510" spans="1:11" x14ac:dyDescent="0.25">
      <c r="A5510" t="s">
        <v>838</v>
      </c>
      <c r="B5510" t="s">
        <v>839</v>
      </c>
      <c r="C5510" s="1">
        <v>41264</v>
      </c>
      <c r="D5510" s="1">
        <v>41270</v>
      </c>
      <c r="E5510">
        <v>11333</v>
      </c>
      <c r="F5510" t="s">
        <v>331</v>
      </c>
      <c r="G5510" t="s">
        <v>16</v>
      </c>
      <c r="H5510" t="s">
        <v>7360</v>
      </c>
      <c r="I5510">
        <v>2.0653999999999999</v>
      </c>
      <c r="J5510">
        <v>54104.67</v>
      </c>
      <c r="K5510">
        <v>26195.734482424712</v>
      </c>
    </row>
    <row r="5511" spans="1:11" x14ac:dyDescent="0.25">
      <c r="A5511" t="s">
        <v>821</v>
      </c>
      <c r="B5511" t="s">
        <v>822</v>
      </c>
      <c r="C5511" s="1">
        <v>41286</v>
      </c>
      <c r="D5511" s="1">
        <v>41289</v>
      </c>
      <c r="E5511">
        <v>11833</v>
      </c>
      <c r="F5511" t="s">
        <v>331</v>
      </c>
      <c r="G5511" t="s">
        <v>16</v>
      </c>
      <c r="H5511" t="s">
        <v>7361</v>
      </c>
      <c r="I5511">
        <v>2.0341</v>
      </c>
      <c r="J5511">
        <v>51424.45</v>
      </c>
      <c r="K5511">
        <v>25281.180866230767</v>
      </c>
    </row>
    <row r="5512" spans="1:11" x14ac:dyDescent="0.25">
      <c r="A5512" t="s">
        <v>852</v>
      </c>
      <c r="B5512" t="s">
        <v>853</v>
      </c>
      <c r="C5512" s="1">
        <v>41312</v>
      </c>
      <c r="D5512" s="1">
        <v>41318</v>
      </c>
      <c r="E5512">
        <v>11335</v>
      </c>
      <c r="F5512" t="s">
        <v>331</v>
      </c>
      <c r="G5512" t="s">
        <v>16</v>
      </c>
      <c r="H5512" t="s">
        <v>7362</v>
      </c>
      <c r="I5512">
        <v>1.9883999999999999</v>
      </c>
      <c r="J5512">
        <v>47112.78</v>
      </c>
      <c r="K5512">
        <v>23693.81412190706</v>
      </c>
    </row>
    <row r="5513" spans="1:11" x14ac:dyDescent="0.25">
      <c r="A5513" t="s">
        <v>848</v>
      </c>
      <c r="B5513" t="s">
        <v>849</v>
      </c>
      <c r="C5513" s="1">
        <v>41310</v>
      </c>
      <c r="D5513" s="1">
        <v>41317</v>
      </c>
      <c r="E5513">
        <v>11834</v>
      </c>
      <c r="F5513" t="s">
        <v>331</v>
      </c>
      <c r="G5513" t="s">
        <v>16</v>
      </c>
      <c r="H5513" t="s">
        <v>7363</v>
      </c>
      <c r="I5513">
        <v>1.9893000000000001</v>
      </c>
      <c r="J5513">
        <v>24195.83</v>
      </c>
      <c r="K5513">
        <v>12162.986980344846</v>
      </c>
    </row>
    <row r="5514" spans="1:11" x14ac:dyDescent="0.25">
      <c r="A5514" t="s">
        <v>852</v>
      </c>
      <c r="B5514" t="s">
        <v>853</v>
      </c>
      <c r="C5514" s="1">
        <v>41312</v>
      </c>
      <c r="D5514" s="1">
        <v>41317</v>
      </c>
      <c r="E5514">
        <v>11335</v>
      </c>
      <c r="F5514" t="s">
        <v>331</v>
      </c>
      <c r="G5514" t="s">
        <v>16</v>
      </c>
      <c r="H5514" t="s">
        <v>7364</v>
      </c>
      <c r="I5514">
        <v>1.9883999999999999</v>
      </c>
      <c r="J5514">
        <v>45407.34</v>
      </c>
      <c r="K5514">
        <v>22836.119493059745</v>
      </c>
    </row>
    <row r="5515" spans="1:11" x14ac:dyDescent="0.25">
      <c r="A5515" t="s">
        <v>852</v>
      </c>
      <c r="B5515" t="s">
        <v>853</v>
      </c>
      <c r="C5515" s="1">
        <v>41314</v>
      </c>
      <c r="D5515" s="1">
        <v>41318</v>
      </c>
      <c r="E5515">
        <v>11335</v>
      </c>
      <c r="F5515" t="s">
        <v>331</v>
      </c>
      <c r="G5515" t="s">
        <v>16</v>
      </c>
      <c r="H5515" t="s">
        <v>4203</v>
      </c>
      <c r="I5515">
        <v>1.9636</v>
      </c>
      <c r="J5515">
        <v>48009.39</v>
      </c>
      <c r="K5515">
        <v>24449.679160725198</v>
      </c>
    </row>
    <row r="5516" spans="1:11" x14ac:dyDescent="0.25">
      <c r="A5516" t="s">
        <v>852</v>
      </c>
      <c r="B5516" t="s">
        <v>853</v>
      </c>
      <c r="C5516" s="1">
        <v>41311</v>
      </c>
      <c r="D5516" s="1">
        <v>41318</v>
      </c>
      <c r="E5516">
        <v>11335</v>
      </c>
      <c r="F5516" t="s">
        <v>331</v>
      </c>
      <c r="G5516" t="s">
        <v>16</v>
      </c>
      <c r="H5516" t="s">
        <v>7365</v>
      </c>
      <c r="I5516">
        <v>1.9881</v>
      </c>
      <c r="J5516">
        <v>56950.41</v>
      </c>
      <c r="K5516">
        <v>28645.646597253661</v>
      </c>
    </row>
    <row r="5517" spans="1:11" x14ac:dyDescent="0.25">
      <c r="A5517" t="s">
        <v>848</v>
      </c>
      <c r="B5517" t="s">
        <v>849</v>
      </c>
      <c r="C5517" s="1">
        <v>41310</v>
      </c>
      <c r="D5517" s="1">
        <v>41316</v>
      </c>
      <c r="E5517">
        <v>11834</v>
      </c>
      <c r="F5517" t="s">
        <v>331</v>
      </c>
      <c r="G5517" t="s">
        <v>16</v>
      </c>
      <c r="H5517" t="s">
        <v>7366</v>
      </c>
      <c r="I5517">
        <v>1.9893000000000001</v>
      </c>
      <c r="J5517">
        <v>22371.26</v>
      </c>
      <c r="K5517">
        <v>11245.795003267482</v>
      </c>
    </row>
    <row r="5518" spans="1:11" x14ac:dyDescent="0.25">
      <c r="A5518" t="s">
        <v>852</v>
      </c>
      <c r="B5518" t="s">
        <v>853</v>
      </c>
      <c r="C5518" s="1">
        <v>41310</v>
      </c>
      <c r="D5518" s="1">
        <v>41316</v>
      </c>
      <c r="E5518">
        <v>11335</v>
      </c>
      <c r="F5518" t="s">
        <v>331</v>
      </c>
      <c r="G5518" t="s">
        <v>16</v>
      </c>
      <c r="H5518" t="s">
        <v>7367</v>
      </c>
      <c r="I5518">
        <v>1.9893000000000001</v>
      </c>
      <c r="J5518">
        <v>48812.79</v>
      </c>
      <c r="K5518">
        <v>24537.671542753731</v>
      </c>
    </row>
    <row r="5519" spans="1:11" x14ac:dyDescent="0.25">
      <c r="A5519" t="s">
        <v>852</v>
      </c>
      <c r="B5519" t="s">
        <v>853</v>
      </c>
      <c r="C5519" s="1">
        <v>41311</v>
      </c>
      <c r="D5519" s="1">
        <v>41320</v>
      </c>
      <c r="E5519">
        <v>11335</v>
      </c>
      <c r="F5519" t="s">
        <v>331</v>
      </c>
      <c r="G5519" t="s">
        <v>16</v>
      </c>
      <c r="H5519" t="s">
        <v>4204</v>
      </c>
      <c r="I5519">
        <v>1.9881</v>
      </c>
      <c r="J5519">
        <v>48696.160000000003</v>
      </c>
      <c r="K5519">
        <v>24493.818218399476</v>
      </c>
    </row>
    <row r="5520" spans="1:11" x14ac:dyDescent="0.25">
      <c r="A5520" t="s">
        <v>852</v>
      </c>
      <c r="B5520" t="s">
        <v>853</v>
      </c>
      <c r="C5520" s="1">
        <v>41311</v>
      </c>
      <c r="D5520" s="1">
        <v>41320</v>
      </c>
      <c r="E5520">
        <v>11335</v>
      </c>
      <c r="F5520" t="s">
        <v>331</v>
      </c>
      <c r="G5520" t="s">
        <v>16</v>
      </c>
      <c r="H5520" t="s">
        <v>7368</v>
      </c>
      <c r="I5520">
        <v>1.9881</v>
      </c>
      <c r="J5520">
        <v>47905.73</v>
      </c>
      <c r="K5520">
        <v>24096.237613802121</v>
      </c>
    </row>
    <row r="5521" spans="1:11" x14ac:dyDescent="0.25">
      <c r="A5521" t="s">
        <v>852</v>
      </c>
      <c r="B5521" t="s">
        <v>853</v>
      </c>
      <c r="C5521" s="1">
        <v>41312</v>
      </c>
      <c r="D5521" s="1">
        <v>41320</v>
      </c>
      <c r="E5521">
        <v>11335</v>
      </c>
      <c r="F5521" t="s">
        <v>331</v>
      </c>
      <c r="G5521" t="s">
        <v>16</v>
      </c>
      <c r="H5521" t="s">
        <v>4205</v>
      </c>
      <c r="I5521">
        <v>1.9883999999999999</v>
      </c>
      <c r="J5521">
        <v>47633.61</v>
      </c>
      <c r="K5521">
        <v>23955.748340374172</v>
      </c>
    </row>
    <row r="5522" spans="1:11" x14ac:dyDescent="0.25">
      <c r="A5522" t="s">
        <v>852</v>
      </c>
      <c r="B5522" t="s">
        <v>853</v>
      </c>
      <c r="C5522" s="1">
        <v>41311</v>
      </c>
      <c r="D5522" s="1">
        <v>41320</v>
      </c>
      <c r="E5522">
        <v>11335</v>
      </c>
      <c r="F5522" t="s">
        <v>331</v>
      </c>
      <c r="G5522" t="s">
        <v>16</v>
      </c>
      <c r="H5522" t="s">
        <v>4206</v>
      </c>
      <c r="I5522">
        <v>1.9881</v>
      </c>
      <c r="J5522">
        <v>46786.74</v>
      </c>
      <c r="K5522">
        <v>23533.393692470199</v>
      </c>
    </row>
    <row r="5523" spans="1:11" x14ac:dyDescent="0.25">
      <c r="A5523" t="s">
        <v>832</v>
      </c>
      <c r="B5523" t="s">
        <v>144</v>
      </c>
      <c r="C5523" s="1">
        <v>41304</v>
      </c>
      <c r="D5523" s="1">
        <v>41310</v>
      </c>
      <c r="E5523">
        <v>4889</v>
      </c>
      <c r="F5523" t="s">
        <v>318</v>
      </c>
      <c r="G5523" t="s">
        <v>16</v>
      </c>
      <c r="H5523" t="s">
        <v>7369</v>
      </c>
      <c r="I5523">
        <v>1.9912000000000001</v>
      </c>
      <c r="J5523">
        <v>60356.7</v>
      </c>
      <c r="K5523">
        <v>30311.721574929692</v>
      </c>
    </row>
    <row r="5524" spans="1:11" x14ac:dyDescent="0.25">
      <c r="A5524" t="s">
        <v>852</v>
      </c>
      <c r="B5524" t="s">
        <v>853</v>
      </c>
      <c r="C5524" s="1">
        <v>41311</v>
      </c>
      <c r="D5524" s="1">
        <v>41316</v>
      </c>
      <c r="E5524">
        <v>11335</v>
      </c>
      <c r="F5524" t="s">
        <v>331</v>
      </c>
      <c r="G5524" t="s">
        <v>16</v>
      </c>
      <c r="H5524" t="s">
        <v>7370</v>
      </c>
      <c r="I5524">
        <v>1.9881</v>
      </c>
      <c r="J5524">
        <v>40701.08</v>
      </c>
      <c r="K5524">
        <v>20472.350485388059</v>
      </c>
    </row>
    <row r="5525" spans="1:11" x14ac:dyDescent="0.25">
      <c r="A5525" t="s">
        <v>852</v>
      </c>
      <c r="B5525" t="s">
        <v>853</v>
      </c>
      <c r="C5525" s="1">
        <v>41315</v>
      </c>
      <c r="D5525" s="1">
        <v>41321</v>
      </c>
      <c r="E5525">
        <v>11335</v>
      </c>
      <c r="F5525" t="s">
        <v>331</v>
      </c>
      <c r="G5525" t="s">
        <v>16</v>
      </c>
      <c r="H5525" t="s">
        <v>4207</v>
      </c>
      <c r="I5525">
        <v>1.9636</v>
      </c>
      <c r="J5525">
        <v>47162.94</v>
      </c>
      <c r="K5525">
        <v>24018.608677938479</v>
      </c>
    </row>
    <row r="5526" spans="1:11" x14ac:dyDescent="0.25">
      <c r="A5526" t="s">
        <v>852</v>
      </c>
      <c r="B5526" t="s">
        <v>853</v>
      </c>
      <c r="C5526" s="1">
        <v>41311</v>
      </c>
      <c r="D5526" s="1">
        <v>41316</v>
      </c>
      <c r="E5526">
        <v>11335</v>
      </c>
      <c r="F5526" t="s">
        <v>331</v>
      </c>
      <c r="G5526" t="s">
        <v>16</v>
      </c>
      <c r="H5526" t="s">
        <v>4208</v>
      </c>
      <c r="I5526">
        <v>1.9881</v>
      </c>
      <c r="J5526">
        <v>48035.31</v>
      </c>
      <c r="K5526">
        <v>24161.41542175947</v>
      </c>
    </row>
    <row r="5527" spans="1:11" x14ac:dyDescent="0.25">
      <c r="A5527" t="s">
        <v>852</v>
      </c>
      <c r="B5527" t="s">
        <v>853</v>
      </c>
      <c r="C5527" s="1">
        <v>41311</v>
      </c>
      <c r="D5527" s="1">
        <v>41316</v>
      </c>
      <c r="E5527">
        <v>11335</v>
      </c>
      <c r="F5527" t="s">
        <v>331</v>
      </c>
      <c r="G5527" t="s">
        <v>16</v>
      </c>
      <c r="H5527" t="s">
        <v>7371</v>
      </c>
      <c r="I5527">
        <v>1.9881</v>
      </c>
      <c r="J5527">
        <v>48398.13</v>
      </c>
      <c r="K5527">
        <v>24343.91127206881</v>
      </c>
    </row>
    <row r="5528" spans="1:11" x14ac:dyDescent="0.25">
      <c r="A5528" t="s">
        <v>852</v>
      </c>
      <c r="B5528" t="s">
        <v>853</v>
      </c>
      <c r="C5528" s="1">
        <v>41312</v>
      </c>
      <c r="D5528" s="1">
        <v>41321</v>
      </c>
      <c r="E5528">
        <v>11335</v>
      </c>
      <c r="F5528" t="s">
        <v>331</v>
      </c>
      <c r="G5528" t="s">
        <v>16</v>
      </c>
      <c r="H5528" t="s">
        <v>7372</v>
      </c>
      <c r="I5528">
        <v>1.9883999999999999</v>
      </c>
      <c r="J5528">
        <v>48657.29</v>
      </c>
      <c r="K5528">
        <v>24470.574331120501</v>
      </c>
    </row>
    <row r="5529" spans="1:11" x14ac:dyDescent="0.25">
      <c r="A5529" t="s">
        <v>856</v>
      </c>
      <c r="B5529" t="s">
        <v>857</v>
      </c>
      <c r="C5529" s="1">
        <v>41312</v>
      </c>
      <c r="D5529" s="1">
        <v>41322</v>
      </c>
      <c r="E5529">
        <v>11832</v>
      </c>
      <c r="F5529" t="s">
        <v>331</v>
      </c>
      <c r="G5529" t="s">
        <v>16</v>
      </c>
      <c r="H5529" t="s">
        <v>4209</v>
      </c>
      <c r="I5529">
        <v>1.9883999999999999</v>
      </c>
      <c r="J5529">
        <v>46535.94</v>
      </c>
      <c r="K5529">
        <v>23403.711526855765</v>
      </c>
    </row>
    <row r="5530" spans="1:11" x14ac:dyDescent="0.25">
      <c r="A5530" t="s">
        <v>856</v>
      </c>
      <c r="B5530" t="s">
        <v>857</v>
      </c>
      <c r="C5530" s="1">
        <v>41318</v>
      </c>
      <c r="D5530" s="1">
        <v>41322</v>
      </c>
      <c r="E5530">
        <v>11832</v>
      </c>
      <c r="F5530" t="s">
        <v>331</v>
      </c>
      <c r="G5530" t="s">
        <v>16</v>
      </c>
      <c r="H5530" t="s">
        <v>4210</v>
      </c>
      <c r="I5530">
        <v>1.9636</v>
      </c>
      <c r="J5530">
        <v>48411.09</v>
      </c>
      <c r="K5530">
        <v>24654.252393562845</v>
      </c>
    </row>
    <row r="5531" spans="1:11" x14ac:dyDescent="0.25">
      <c r="A5531" t="s">
        <v>856</v>
      </c>
      <c r="B5531" t="s">
        <v>857</v>
      </c>
      <c r="C5531" s="1">
        <v>41311</v>
      </c>
      <c r="D5531" s="1">
        <v>41322</v>
      </c>
      <c r="E5531">
        <v>11832</v>
      </c>
      <c r="F5531" t="s">
        <v>331</v>
      </c>
      <c r="G5531" t="s">
        <v>16</v>
      </c>
      <c r="H5531" t="s">
        <v>7373</v>
      </c>
      <c r="I5531">
        <v>1.9881</v>
      </c>
      <c r="J5531">
        <v>47275.8</v>
      </c>
      <c r="K5531">
        <v>23779.387354760827</v>
      </c>
    </row>
    <row r="5532" spans="1:11" x14ac:dyDescent="0.25">
      <c r="A5532" t="s">
        <v>856</v>
      </c>
      <c r="B5532" t="s">
        <v>857</v>
      </c>
      <c r="C5532" s="1">
        <v>41314</v>
      </c>
      <c r="D5532" s="1">
        <v>41322</v>
      </c>
      <c r="E5532">
        <v>11832</v>
      </c>
      <c r="F5532" t="s">
        <v>331</v>
      </c>
      <c r="G5532" t="s">
        <v>16</v>
      </c>
      <c r="H5532" t="s">
        <v>7374</v>
      </c>
      <c r="I5532">
        <v>1.9636</v>
      </c>
      <c r="J5532">
        <v>46799.28</v>
      </c>
      <c r="K5532">
        <v>23833.408026074558</v>
      </c>
    </row>
    <row r="5533" spans="1:11" x14ac:dyDescent="0.25">
      <c r="A5533" t="s">
        <v>856</v>
      </c>
      <c r="B5533" t="s">
        <v>857</v>
      </c>
      <c r="C5533" s="1">
        <v>41314</v>
      </c>
      <c r="D5533" s="1">
        <v>41322</v>
      </c>
      <c r="E5533">
        <v>11832</v>
      </c>
      <c r="F5533" t="s">
        <v>331</v>
      </c>
      <c r="G5533" t="s">
        <v>16</v>
      </c>
      <c r="H5533" t="s">
        <v>7375</v>
      </c>
      <c r="I5533">
        <v>1.9636</v>
      </c>
      <c r="J5533">
        <v>46423.08</v>
      </c>
      <c r="K5533">
        <v>23641.821144836016</v>
      </c>
    </row>
    <row r="5534" spans="1:11" x14ac:dyDescent="0.25">
      <c r="A5534" t="s">
        <v>856</v>
      </c>
      <c r="B5534" t="s">
        <v>857</v>
      </c>
      <c r="C5534" s="1">
        <v>41314</v>
      </c>
      <c r="D5534" s="1">
        <v>41324</v>
      </c>
      <c r="E5534">
        <v>11832</v>
      </c>
      <c r="F5534" t="s">
        <v>331</v>
      </c>
      <c r="G5534" t="s">
        <v>16</v>
      </c>
      <c r="H5534" t="s">
        <v>4211</v>
      </c>
      <c r="I5534">
        <v>1.9636</v>
      </c>
      <c r="J5534">
        <v>46322.76</v>
      </c>
      <c r="K5534">
        <v>23590.73130983907</v>
      </c>
    </row>
    <row r="5535" spans="1:11" x14ac:dyDescent="0.25">
      <c r="A5535" t="s">
        <v>7376</v>
      </c>
      <c r="B5535" t="s">
        <v>7377</v>
      </c>
      <c r="C5535" s="1">
        <v>41297</v>
      </c>
      <c r="D5535" s="1">
        <v>41305</v>
      </c>
      <c r="E5535">
        <v>12446</v>
      </c>
      <c r="F5535" t="s">
        <v>280</v>
      </c>
      <c r="G5535" t="s">
        <v>16</v>
      </c>
      <c r="H5535" t="s">
        <v>7378</v>
      </c>
      <c r="I5535">
        <v>2.0470999999999999</v>
      </c>
      <c r="J5535">
        <v>24565.200000000001</v>
      </c>
      <c r="K5535">
        <v>12000</v>
      </c>
    </row>
    <row r="5536" spans="1:11" x14ac:dyDescent="0.25">
      <c r="A5536" t="s">
        <v>856</v>
      </c>
      <c r="B5536" t="s">
        <v>857</v>
      </c>
      <c r="C5536" s="1">
        <v>41316</v>
      </c>
      <c r="D5536" s="1">
        <v>41331</v>
      </c>
      <c r="E5536">
        <v>11832</v>
      </c>
      <c r="F5536" t="s">
        <v>331</v>
      </c>
      <c r="G5536" t="s">
        <v>16</v>
      </c>
      <c r="H5536" t="s">
        <v>7379</v>
      </c>
      <c r="I5536">
        <v>1.9636</v>
      </c>
      <c r="J5536">
        <v>63627.96</v>
      </c>
      <c r="K5536">
        <v>32403.727846811977</v>
      </c>
    </row>
    <row r="5537" spans="1:11" x14ac:dyDescent="0.25">
      <c r="A5537" t="s">
        <v>848</v>
      </c>
      <c r="B5537" t="s">
        <v>849</v>
      </c>
      <c r="C5537" s="1">
        <v>41330</v>
      </c>
      <c r="D5537" s="1">
        <v>41333</v>
      </c>
      <c r="E5537">
        <v>11834</v>
      </c>
      <c r="F5537" t="s">
        <v>331</v>
      </c>
      <c r="G5537" t="s">
        <v>16</v>
      </c>
      <c r="H5537" t="s">
        <v>4212</v>
      </c>
      <c r="I5537">
        <v>1.9704999999999999</v>
      </c>
      <c r="J5537">
        <v>37059.040000000001</v>
      </c>
      <c r="K5537">
        <v>18806.922100989595</v>
      </c>
    </row>
    <row r="5538" spans="1:11" x14ac:dyDescent="0.25">
      <c r="A5538" t="s">
        <v>1480</v>
      </c>
      <c r="B5538" t="s">
        <v>1481</v>
      </c>
      <c r="C5538" s="1">
        <v>41347</v>
      </c>
      <c r="D5538" s="1">
        <v>41351</v>
      </c>
      <c r="E5538">
        <v>13993</v>
      </c>
      <c r="F5538" t="s">
        <v>331</v>
      </c>
      <c r="G5538" t="s">
        <v>16</v>
      </c>
      <c r="H5538" t="s">
        <v>7380</v>
      </c>
      <c r="I5538">
        <v>1.9619</v>
      </c>
      <c r="J5538">
        <v>44361.4</v>
      </c>
      <c r="K5538">
        <v>22611.448086039043</v>
      </c>
    </row>
    <row r="5539" spans="1:11" x14ac:dyDescent="0.25">
      <c r="A5539" t="s">
        <v>1480</v>
      </c>
      <c r="B5539" t="s">
        <v>1481</v>
      </c>
      <c r="C5539" s="1">
        <v>41348</v>
      </c>
      <c r="D5539" s="1">
        <v>41360</v>
      </c>
      <c r="E5539">
        <v>13993</v>
      </c>
      <c r="F5539" t="s">
        <v>331</v>
      </c>
      <c r="G5539" t="s">
        <v>16</v>
      </c>
      <c r="H5539" t="s">
        <v>7381</v>
      </c>
      <c r="I5539">
        <v>1.9676</v>
      </c>
      <c r="J5539">
        <v>44313.33</v>
      </c>
      <c r="K5539">
        <v>22521.513519007927</v>
      </c>
    </row>
    <row r="5540" spans="1:11" x14ac:dyDescent="0.25">
      <c r="A5540" t="s">
        <v>1483</v>
      </c>
      <c r="B5540" t="s">
        <v>1484</v>
      </c>
      <c r="C5540" s="1">
        <v>41369</v>
      </c>
      <c r="D5540" s="1">
        <v>41373</v>
      </c>
      <c r="E5540">
        <v>14662</v>
      </c>
      <c r="F5540" t="s">
        <v>887</v>
      </c>
      <c r="G5540" t="s">
        <v>16</v>
      </c>
      <c r="H5540" t="s">
        <v>4213</v>
      </c>
      <c r="I5540">
        <v>2.0200999999999998</v>
      </c>
      <c r="J5540">
        <v>56778.66</v>
      </c>
      <c r="K5540">
        <v>28106.856096232859</v>
      </c>
    </row>
    <row r="5541" spans="1:11" x14ac:dyDescent="0.25">
      <c r="A5541" t="s">
        <v>848</v>
      </c>
      <c r="B5541" t="s">
        <v>849</v>
      </c>
      <c r="C5541" s="1">
        <v>41332</v>
      </c>
      <c r="D5541" s="1">
        <v>41339</v>
      </c>
      <c r="E5541">
        <v>11834</v>
      </c>
      <c r="F5541" t="s">
        <v>331</v>
      </c>
      <c r="G5541" t="s">
        <v>16</v>
      </c>
      <c r="H5541" t="s">
        <v>4214</v>
      </c>
      <c r="I5541">
        <v>1.9818</v>
      </c>
      <c r="J5541">
        <v>36471.129999999997</v>
      </c>
      <c r="K5541">
        <v>18403.032596629328</v>
      </c>
    </row>
    <row r="5542" spans="1:11" x14ac:dyDescent="0.25">
      <c r="A5542" t="s">
        <v>848</v>
      </c>
      <c r="B5542" t="s">
        <v>849</v>
      </c>
      <c r="C5542" s="1">
        <v>41332</v>
      </c>
      <c r="D5542" s="1">
        <v>41339</v>
      </c>
      <c r="E5542">
        <v>11834</v>
      </c>
      <c r="F5542" t="s">
        <v>331</v>
      </c>
      <c r="G5542" t="s">
        <v>16</v>
      </c>
      <c r="H5542" t="s">
        <v>7382</v>
      </c>
      <c r="I5542">
        <v>1.9818</v>
      </c>
      <c r="J5542">
        <v>37626.69</v>
      </c>
      <c r="K5542">
        <v>18986.118679987889</v>
      </c>
    </row>
    <row r="5543" spans="1:11" x14ac:dyDescent="0.25">
      <c r="A5543" t="s">
        <v>848</v>
      </c>
      <c r="B5543" t="s">
        <v>849</v>
      </c>
      <c r="C5543" s="1">
        <v>41328</v>
      </c>
      <c r="D5543" s="1">
        <v>41339</v>
      </c>
      <c r="E5543">
        <v>11834</v>
      </c>
      <c r="F5543" t="s">
        <v>331</v>
      </c>
      <c r="G5543" t="s">
        <v>16</v>
      </c>
      <c r="H5543" t="s">
        <v>4215</v>
      </c>
      <c r="I5543">
        <v>1.9704999999999999</v>
      </c>
      <c r="J5543">
        <v>31575.200000000001</v>
      </c>
      <c r="K5543">
        <v>16023.953311342299</v>
      </c>
    </row>
    <row r="5544" spans="1:11" x14ac:dyDescent="0.25">
      <c r="A5544" t="s">
        <v>869</v>
      </c>
      <c r="B5544" t="s">
        <v>870</v>
      </c>
      <c r="C5544" s="1">
        <v>41354</v>
      </c>
      <c r="D5544" s="1">
        <v>41361</v>
      </c>
      <c r="E5544">
        <v>13711</v>
      </c>
      <c r="F5544" t="s">
        <v>331</v>
      </c>
      <c r="G5544" t="s">
        <v>16</v>
      </c>
      <c r="H5544" t="s">
        <v>4216</v>
      </c>
      <c r="I5544">
        <v>1.9867999999999999</v>
      </c>
      <c r="J5544">
        <v>40953.599999999999</v>
      </c>
      <c r="K5544">
        <v>20612.844775518421</v>
      </c>
    </row>
    <row r="5545" spans="1:11" x14ac:dyDescent="0.25">
      <c r="A5545" t="s">
        <v>4961</v>
      </c>
      <c r="B5545" t="s">
        <v>4962</v>
      </c>
      <c r="C5545" s="1">
        <v>41304</v>
      </c>
      <c r="D5545" s="1">
        <v>41333</v>
      </c>
      <c r="E5545">
        <v>13444</v>
      </c>
      <c r="F5545" t="s">
        <v>301</v>
      </c>
      <c r="G5545" t="s">
        <v>16</v>
      </c>
      <c r="H5545" t="s">
        <v>7383</v>
      </c>
      <c r="I5545">
        <v>1.9912000000000001</v>
      </c>
      <c r="J5545">
        <v>7394.4</v>
      </c>
      <c r="K5545">
        <v>3713.539574126155</v>
      </c>
    </row>
    <row r="5546" spans="1:11" x14ac:dyDescent="0.25">
      <c r="A5546" t="s">
        <v>4217</v>
      </c>
      <c r="B5546" t="s">
        <v>4218</v>
      </c>
      <c r="C5546" s="1">
        <v>41358</v>
      </c>
      <c r="D5546" s="1">
        <v>41373</v>
      </c>
      <c r="E5546">
        <v>14297</v>
      </c>
      <c r="F5546" t="s">
        <v>665</v>
      </c>
      <c r="G5546" t="s">
        <v>16</v>
      </c>
      <c r="H5546" t="s">
        <v>609</v>
      </c>
      <c r="I5546">
        <v>2.0125999999999999</v>
      </c>
      <c r="J5546">
        <v>13947.32</v>
      </c>
      <c r="K5546">
        <v>6930.0009937394416</v>
      </c>
    </row>
    <row r="5547" spans="1:11" x14ac:dyDescent="0.25">
      <c r="A5547" t="s">
        <v>1480</v>
      </c>
      <c r="B5547" t="s">
        <v>1481</v>
      </c>
      <c r="C5547" s="1">
        <v>41346</v>
      </c>
      <c r="D5547" s="1">
        <v>41349</v>
      </c>
      <c r="E5547">
        <v>13993</v>
      </c>
      <c r="F5547" t="s">
        <v>331</v>
      </c>
      <c r="G5547" t="s">
        <v>16</v>
      </c>
      <c r="H5547" t="s">
        <v>7384</v>
      </c>
      <c r="I5547">
        <v>1.9584999999999999</v>
      </c>
      <c r="J5547">
        <v>38280.54</v>
      </c>
      <c r="K5547">
        <v>19545.84631095226</v>
      </c>
    </row>
    <row r="5548" spans="1:11" x14ac:dyDescent="0.25">
      <c r="A5548" t="s">
        <v>1480</v>
      </c>
      <c r="B5548" t="s">
        <v>1481</v>
      </c>
      <c r="C5548" s="1">
        <v>41345</v>
      </c>
      <c r="D5548" s="1">
        <v>41353</v>
      </c>
      <c r="E5548">
        <v>13993</v>
      </c>
      <c r="F5548" t="s">
        <v>331</v>
      </c>
      <c r="G5548" t="s">
        <v>16</v>
      </c>
      <c r="H5548" t="s">
        <v>4219</v>
      </c>
      <c r="I5548">
        <v>1.9552</v>
      </c>
      <c r="J5548">
        <v>43343.519999999997</v>
      </c>
      <c r="K5548">
        <v>22168.33060556465</v>
      </c>
    </row>
    <row r="5549" spans="1:11" x14ac:dyDescent="0.25">
      <c r="A5549" t="s">
        <v>865</v>
      </c>
      <c r="B5549" t="s">
        <v>866</v>
      </c>
      <c r="C5549" s="1">
        <v>41312</v>
      </c>
      <c r="D5549" s="1">
        <v>41348</v>
      </c>
      <c r="E5549">
        <v>13442</v>
      </c>
      <c r="F5549" t="s">
        <v>675</v>
      </c>
      <c r="G5549" t="s">
        <v>16</v>
      </c>
      <c r="H5549" t="s">
        <v>7385</v>
      </c>
      <c r="I5549">
        <v>1.9883999999999999</v>
      </c>
      <c r="J5549">
        <v>191700</v>
      </c>
      <c r="K5549">
        <v>96409.173204586608</v>
      </c>
    </row>
    <row r="5550" spans="1:11" x14ac:dyDescent="0.25">
      <c r="A5550" t="s">
        <v>799</v>
      </c>
      <c r="B5550" t="s">
        <v>800</v>
      </c>
      <c r="C5550" s="1">
        <v>41359</v>
      </c>
      <c r="D5550" s="1">
        <v>41365</v>
      </c>
      <c r="E5550">
        <v>4856</v>
      </c>
      <c r="F5550" t="s">
        <v>301</v>
      </c>
      <c r="G5550" t="s">
        <v>16</v>
      </c>
      <c r="H5550" t="s">
        <v>4220</v>
      </c>
      <c r="I5550">
        <v>2.0139999999999998</v>
      </c>
      <c r="J5550">
        <v>6337.61</v>
      </c>
      <c r="K5550">
        <v>3146.7775571002981</v>
      </c>
    </row>
    <row r="5551" spans="1:11" x14ac:dyDescent="0.25">
      <c r="A5551" t="s">
        <v>848</v>
      </c>
      <c r="B5551" t="s">
        <v>849</v>
      </c>
      <c r="C5551" s="1">
        <v>41333</v>
      </c>
      <c r="D5551" s="1">
        <v>41342</v>
      </c>
      <c r="E5551">
        <v>11834</v>
      </c>
      <c r="F5551" t="s">
        <v>331</v>
      </c>
      <c r="G5551" t="s">
        <v>16</v>
      </c>
      <c r="H5551" t="s">
        <v>7386</v>
      </c>
      <c r="I5551">
        <v>1.9806999999999999</v>
      </c>
      <c r="J5551">
        <v>37586.14</v>
      </c>
      <c r="K5551">
        <v>18976.19023577523</v>
      </c>
    </row>
    <row r="5552" spans="1:11" x14ac:dyDescent="0.25">
      <c r="A5552" t="s">
        <v>821</v>
      </c>
      <c r="B5552" t="s">
        <v>822</v>
      </c>
      <c r="C5552" s="1">
        <v>41336</v>
      </c>
      <c r="D5552" s="1">
        <v>41342</v>
      </c>
      <c r="E5552">
        <v>11833</v>
      </c>
      <c r="F5552" t="s">
        <v>331</v>
      </c>
      <c r="G5552" t="s">
        <v>16</v>
      </c>
      <c r="H5552" t="s">
        <v>7387</v>
      </c>
      <c r="I5552">
        <v>1.9847999999999999</v>
      </c>
      <c r="J5552">
        <v>16775.490000000002</v>
      </c>
      <c r="K5552">
        <v>8451.9800483675936</v>
      </c>
    </row>
    <row r="5553" spans="1:11" x14ac:dyDescent="0.25">
      <c r="A5553" t="s">
        <v>1495</v>
      </c>
      <c r="B5553" t="s">
        <v>1496</v>
      </c>
      <c r="C5553" s="1">
        <v>41361</v>
      </c>
      <c r="D5553" s="1">
        <v>41368</v>
      </c>
      <c r="E5553">
        <v>13834</v>
      </c>
      <c r="F5553" t="s">
        <v>331</v>
      </c>
      <c r="G5553" t="s">
        <v>16</v>
      </c>
      <c r="H5553" t="s">
        <v>4221</v>
      </c>
      <c r="I5553">
        <v>2.0185</v>
      </c>
      <c r="J5553">
        <v>11195.8</v>
      </c>
      <c r="K5553">
        <v>5546.5940054495914</v>
      </c>
    </row>
    <row r="5554" spans="1:11" x14ac:dyDescent="0.25">
      <c r="A5554" t="s">
        <v>1495</v>
      </c>
      <c r="B5554" t="s">
        <v>1496</v>
      </c>
      <c r="C5554" s="1">
        <v>41339</v>
      </c>
      <c r="D5554" s="1">
        <v>41348</v>
      </c>
      <c r="E5554">
        <v>13834</v>
      </c>
      <c r="F5554" t="s">
        <v>331</v>
      </c>
      <c r="G5554" t="s">
        <v>16</v>
      </c>
      <c r="H5554" t="s">
        <v>7388</v>
      </c>
      <c r="I5554">
        <v>1.9693000000000001</v>
      </c>
      <c r="J5554">
        <v>26364.799999999999</v>
      </c>
      <c r="K5554">
        <v>13387.904331488346</v>
      </c>
    </row>
    <row r="5555" spans="1:11" x14ac:dyDescent="0.25">
      <c r="A5555" t="s">
        <v>799</v>
      </c>
      <c r="B5555" t="s">
        <v>800</v>
      </c>
      <c r="C5555" s="1">
        <v>41352</v>
      </c>
      <c r="D5555" s="1">
        <v>41356</v>
      </c>
      <c r="E5555">
        <v>4856</v>
      </c>
      <c r="F5555" t="s">
        <v>301</v>
      </c>
      <c r="G5555" t="s">
        <v>16</v>
      </c>
      <c r="H5555" t="s">
        <v>5701</v>
      </c>
      <c r="I5555">
        <v>1.9871000000000001</v>
      </c>
      <c r="J5555">
        <v>20468.400000000001</v>
      </c>
      <c r="K5555">
        <v>10300.639122339087</v>
      </c>
    </row>
    <row r="5556" spans="1:11" x14ac:dyDescent="0.25">
      <c r="A5556" t="s">
        <v>1495</v>
      </c>
      <c r="B5556" t="s">
        <v>1496</v>
      </c>
      <c r="C5556" s="1">
        <v>41338</v>
      </c>
      <c r="D5556" s="1">
        <v>41347</v>
      </c>
      <c r="E5556">
        <v>13834</v>
      </c>
      <c r="F5556" t="s">
        <v>331</v>
      </c>
      <c r="G5556" t="s">
        <v>16</v>
      </c>
      <c r="H5556" t="s">
        <v>7389</v>
      </c>
      <c r="I5556">
        <v>1.9826999999999999</v>
      </c>
      <c r="J5556">
        <v>30684.5</v>
      </c>
      <c r="K5556">
        <v>15476.118424370807</v>
      </c>
    </row>
    <row r="5557" spans="1:11" x14ac:dyDescent="0.25">
      <c r="A5557" t="s">
        <v>1495</v>
      </c>
      <c r="B5557" t="s">
        <v>1496</v>
      </c>
      <c r="C5557" s="1">
        <v>41340</v>
      </c>
      <c r="D5557" s="1">
        <v>41348</v>
      </c>
      <c r="E5557">
        <v>13834</v>
      </c>
      <c r="F5557" t="s">
        <v>331</v>
      </c>
      <c r="G5557" t="s">
        <v>16</v>
      </c>
      <c r="H5557" t="s">
        <v>4222</v>
      </c>
      <c r="I5557">
        <v>1.9673</v>
      </c>
      <c r="J5557">
        <v>29775.9</v>
      </c>
      <c r="K5557">
        <v>15135.414019214151</v>
      </c>
    </row>
    <row r="5558" spans="1:11" x14ac:dyDescent="0.25">
      <c r="A5558" t="s">
        <v>875</v>
      </c>
      <c r="B5558" t="s">
        <v>876</v>
      </c>
      <c r="C5558" s="1">
        <v>41450</v>
      </c>
      <c r="D5558" s="1">
        <v>41453</v>
      </c>
      <c r="E5558">
        <v>8</v>
      </c>
      <c r="F5558" t="s">
        <v>309</v>
      </c>
      <c r="G5558" t="s">
        <v>16</v>
      </c>
      <c r="H5558" t="s">
        <v>7390</v>
      </c>
      <c r="I5558">
        <v>2.2515000000000001</v>
      </c>
      <c r="J5558">
        <v>26798.46</v>
      </c>
      <c r="K5558">
        <v>11902.491672218521</v>
      </c>
    </row>
    <row r="5559" spans="1:11" x14ac:dyDescent="0.25">
      <c r="A5559" t="s">
        <v>875</v>
      </c>
      <c r="B5559" t="s">
        <v>876</v>
      </c>
      <c r="C5559" s="1">
        <v>41447</v>
      </c>
      <c r="D5559" s="1">
        <v>41452</v>
      </c>
      <c r="E5559">
        <v>8</v>
      </c>
      <c r="F5559" t="s">
        <v>309</v>
      </c>
      <c r="G5559" t="s">
        <v>16</v>
      </c>
      <c r="H5559" t="s">
        <v>7391</v>
      </c>
      <c r="I5559">
        <v>2.2648000000000001</v>
      </c>
      <c r="J5559">
        <v>26832</v>
      </c>
      <c r="K5559">
        <v>11847.403744259978</v>
      </c>
    </row>
    <row r="5560" spans="1:11" x14ac:dyDescent="0.25">
      <c r="A5560" t="s">
        <v>875</v>
      </c>
      <c r="B5560" t="s">
        <v>876</v>
      </c>
      <c r="C5560" s="1">
        <v>41446</v>
      </c>
      <c r="D5560" s="1">
        <v>41453</v>
      </c>
      <c r="E5560">
        <v>8</v>
      </c>
      <c r="F5560" t="s">
        <v>309</v>
      </c>
      <c r="G5560" t="s">
        <v>16</v>
      </c>
      <c r="H5560" t="s">
        <v>7392</v>
      </c>
      <c r="I5560">
        <v>2.2523</v>
      </c>
      <c r="J5560">
        <v>31376.67</v>
      </c>
      <c r="K5560">
        <v>13930.946143941748</v>
      </c>
    </row>
    <row r="5561" spans="1:11" x14ac:dyDescent="0.25">
      <c r="A5561" t="s">
        <v>875</v>
      </c>
      <c r="B5561" t="s">
        <v>876</v>
      </c>
      <c r="C5561" s="1">
        <v>41446</v>
      </c>
      <c r="D5561" s="1">
        <v>41454</v>
      </c>
      <c r="E5561">
        <v>8</v>
      </c>
      <c r="F5561" t="s">
        <v>309</v>
      </c>
      <c r="G5561" t="s">
        <v>16</v>
      </c>
      <c r="H5561" t="s">
        <v>7393</v>
      </c>
      <c r="I5561">
        <v>2.2523</v>
      </c>
      <c r="J5561">
        <v>31276.05</v>
      </c>
      <c r="K5561">
        <v>13886.271811037606</v>
      </c>
    </row>
    <row r="5562" spans="1:11" x14ac:dyDescent="0.25">
      <c r="A5562" t="s">
        <v>875</v>
      </c>
      <c r="B5562" t="s">
        <v>876</v>
      </c>
      <c r="C5562" s="1">
        <v>41443</v>
      </c>
      <c r="D5562" s="1">
        <v>41449</v>
      </c>
      <c r="E5562">
        <v>8</v>
      </c>
      <c r="F5562" t="s">
        <v>309</v>
      </c>
      <c r="G5562" t="s">
        <v>16</v>
      </c>
      <c r="H5562" t="s">
        <v>4223</v>
      </c>
      <c r="I5562">
        <v>2.1537999999999999</v>
      </c>
      <c r="J5562">
        <v>41925</v>
      </c>
      <c r="K5562">
        <v>19465.595691336242</v>
      </c>
    </row>
    <row r="5563" spans="1:11" x14ac:dyDescent="0.25">
      <c r="A5563" t="s">
        <v>4971</v>
      </c>
      <c r="B5563" t="s">
        <v>4972</v>
      </c>
      <c r="C5563" s="1">
        <v>41151</v>
      </c>
      <c r="D5563" s="1">
        <v>41450</v>
      </c>
      <c r="E5563">
        <v>61</v>
      </c>
      <c r="F5563" t="s">
        <v>318</v>
      </c>
      <c r="G5563" t="s">
        <v>16</v>
      </c>
      <c r="H5563" t="s">
        <v>7394</v>
      </c>
      <c r="I5563">
        <v>2.0508999999999999</v>
      </c>
      <c r="J5563">
        <v>40849.81</v>
      </c>
      <c r="K5563">
        <v>19917.992101028816</v>
      </c>
    </row>
    <row r="5564" spans="1:11" x14ac:dyDescent="0.25">
      <c r="A5564" t="s">
        <v>875</v>
      </c>
      <c r="B5564" t="s">
        <v>876</v>
      </c>
      <c r="C5564" s="1">
        <v>41445</v>
      </c>
      <c r="D5564" s="1">
        <v>41450</v>
      </c>
      <c r="E5564">
        <v>8</v>
      </c>
      <c r="F5564" t="s">
        <v>309</v>
      </c>
      <c r="G5564" t="s">
        <v>16</v>
      </c>
      <c r="H5564" t="s">
        <v>7395</v>
      </c>
      <c r="I5564">
        <v>2.1743999999999999</v>
      </c>
      <c r="J5564">
        <v>31024.5</v>
      </c>
      <c r="K5564">
        <v>14268.073951434879</v>
      </c>
    </row>
    <row r="5565" spans="1:11" x14ac:dyDescent="0.25">
      <c r="A5565" t="s">
        <v>875</v>
      </c>
      <c r="B5565" t="s">
        <v>876</v>
      </c>
      <c r="C5565" s="1">
        <v>41439</v>
      </c>
      <c r="D5565" s="1">
        <v>41444</v>
      </c>
      <c r="E5565">
        <v>8</v>
      </c>
      <c r="F5565" t="s">
        <v>309</v>
      </c>
      <c r="G5565" t="s">
        <v>16</v>
      </c>
      <c r="H5565" t="s">
        <v>4224</v>
      </c>
      <c r="I5565">
        <v>2.1446999999999998</v>
      </c>
      <c r="J5565">
        <v>26832</v>
      </c>
      <c r="K5565">
        <v>12510.840677017764</v>
      </c>
    </row>
    <row r="5566" spans="1:11" x14ac:dyDescent="0.25">
      <c r="A5566" t="s">
        <v>875</v>
      </c>
      <c r="B5566" t="s">
        <v>876</v>
      </c>
      <c r="C5566" s="1">
        <v>41437</v>
      </c>
      <c r="D5566" s="1">
        <v>41444</v>
      </c>
      <c r="E5566">
        <v>8</v>
      </c>
      <c r="F5566" t="s">
        <v>309</v>
      </c>
      <c r="G5566" t="s">
        <v>16</v>
      </c>
      <c r="H5566" t="s">
        <v>4225</v>
      </c>
      <c r="I5566">
        <v>2.1520999999999999</v>
      </c>
      <c r="J5566">
        <v>30186</v>
      </c>
      <c r="K5566">
        <v>14026.299893127643</v>
      </c>
    </row>
    <row r="5567" spans="1:11" x14ac:dyDescent="0.25">
      <c r="A5567" t="s">
        <v>7396</v>
      </c>
      <c r="B5567" t="s">
        <v>7397</v>
      </c>
      <c r="C5567" s="1">
        <v>41449</v>
      </c>
      <c r="D5567" s="1">
        <v>41464</v>
      </c>
      <c r="E5567">
        <v>16305</v>
      </c>
      <c r="F5567" t="s">
        <v>311</v>
      </c>
      <c r="G5567" t="s">
        <v>16</v>
      </c>
      <c r="H5567" t="s">
        <v>7398</v>
      </c>
      <c r="I5567">
        <v>2.2648000000000001</v>
      </c>
      <c r="J5567">
        <v>466991.25</v>
      </c>
      <c r="K5567">
        <v>206195.35941363475</v>
      </c>
    </row>
    <row r="5568" spans="1:11" x14ac:dyDescent="0.25">
      <c r="A5568" t="s">
        <v>7399</v>
      </c>
      <c r="B5568" t="s">
        <v>7400</v>
      </c>
      <c r="C5568" s="1">
        <v>41460</v>
      </c>
      <c r="D5568" s="1">
        <v>41464</v>
      </c>
      <c r="E5568">
        <v>17090</v>
      </c>
      <c r="F5568" t="s">
        <v>278</v>
      </c>
      <c r="G5568" t="s">
        <v>16</v>
      </c>
      <c r="H5568" t="s">
        <v>7401</v>
      </c>
      <c r="I5568">
        <v>2.2595000000000001</v>
      </c>
      <c r="J5568">
        <v>24684.400000000001</v>
      </c>
      <c r="K5568">
        <v>10924.71785793317</v>
      </c>
    </row>
    <row r="5569" spans="1:11" x14ac:dyDescent="0.25">
      <c r="A5569" t="s">
        <v>2468</v>
      </c>
      <c r="B5569" t="s">
        <v>2469</v>
      </c>
      <c r="C5569" s="1">
        <v>41185</v>
      </c>
      <c r="D5569" s="1">
        <v>41426</v>
      </c>
      <c r="E5569">
        <v>62</v>
      </c>
      <c r="F5569" t="s">
        <v>301</v>
      </c>
      <c r="G5569" t="s">
        <v>16</v>
      </c>
      <c r="H5569" t="s">
        <v>5454</v>
      </c>
      <c r="I5569">
        <v>2.0266000000000002</v>
      </c>
      <c r="J5569">
        <v>28200</v>
      </c>
      <c r="K5569">
        <v>13914.931412217507</v>
      </c>
    </row>
    <row r="5570" spans="1:11" x14ac:dyDescent="0.25">
      <c r="A5570" t="s">
        <v>875</v>
      </c>
      <c r="B5570" t="s">
        <v>876</v>
      </c>
      <c r="C5570" s="1">
        <v>41453</v>
      </c>
      <c r="D5570" s="1">
        <v>41464</v>
      </c>
      <c r="E5570">
        <v>8</v>
      </c>
      <c r="F5570" t="s">
        <v>309</v>
      </c>
      <c r="G5570" t="s">
        <v>16</v>
      </c>
      <c r="H5570" t="s">
        <v>7402</v>
      </c>
      <c r="I5570">
        <v>2.1846000000000001</v>
      </c>
      <c r="J5570">
        <v>41925</v>
      </c>
      <c r="K5570">
        <v>19191.156275748421</v>
      </c>
    </row>
    <row r="5571" spans="1:11" x14ac:dyDescent="0.25">
      <c r="A5571" t="s">
        <v>875</v>
      </c>
      <c r="B5571" t="s">
        <v>876</v>
      </c>
      <c r="C5571" s="1">
        <v>41457</v>
      </c>
      <c r="D5571" s="1">
        <v>41462</v>
      </c>
      <c r="E5571">
        <v>8</v>
      </c>
      <c r="F5571" t="s">
        <v>309</v>
      </c>
      <c r="G5571" t="s">
        <v>16</v>
      </c>
      <c r="H5571" t="s">
        <v>4226</v>
      </c>
      <c r="I5571">
        <v>2.2296999999999998</v>
      </c>
      <c r="J5571">
        <v>28819.25</v>
      </c>
      <c r="K5571">
        <v>12925.169305287707</v>
      </c>
    </row>
    <row r="5572" spans="1:11" x14ac:dyDescent="0.25">
      <c r="A5572" t="s">
        <v>875</v>
      </c>
      <c r="B5572" t="s">
        <v>876</v>
      </c>
      <c r="C5572" s="1">
        <v>41453</v>
      </c>
      <c r="D5572" s="1">
        <v>41464</v>
      </c>
      <c r="E5572">
        <v>8</v>
      </c>
      <c r="F5572" t="s">
        <v>309</v>
      </c>
      <c r="G5572" t="s">
        <v>16</v>
      </c>
      <c r="H5572" t="s">
        <v>7403</v>
      </c>
      <c r="I5572">
        <v>2.1846000000000001</v>
      </c>
      <c r="J5572">
        <v>42998.28</v>
      </c>
      <c r="K5572">
        <v>19682.44987640758</v>
      </c>
    </row>
    <row r="5573" spans="1:11" x14ac:dyDescent="0.25">
      <c r="A5573" t="s">
        <v>875</v>
      </c>
      <c r="B5573" t="s">
        <v>876</v>
      </c>
      <c r="C5573" s="1">
        <v>41438</v>
      </c>
      <c r="D5573" s="1">
        <v>41444</v>
      </c>
      <c r="E5573">
        <v>8</v>
      </c>
      <c r="F5573" t="s">
        <v>309</v>
      </c>
      <c r="G5573" t="s">
        <v>16</v>
      </c>
      <c r="H5573" t="s">
        <v>4227</v>
      </c>
      <c r="I5573">
        <v>2.1419999999999999</v>
      </c>
      <c r="J5573">
        <v>31401.83</v>
      </c>
      <c r="K5573">
        <v>14660.051353874884</v>
      </c>
    </row>
    <row r="5574" spans="1:11" x14ac:dyDescent="0.25">
      <c r="A5574" t="s">
        <v>875</v>
      </c>
      <c r="B5574" t="s">
        <v>876</v>
      </c>
      <c r="C5574" s="1">
        <v>41447</v>
      </c>
      <c r="D5574" s="1">
        <v>41456</v>
      </c>
      <c r="E5574">
        <v>8</v>
      </c>
      <c r="F5574" t="s">
        <v>309</v>
      </c>
      <c r="G5574" t="s">
        <v>16</v>
      </c>
      <c r="H5574" t="s">
        <v>7404</v>
      </c>
      <c r="I5574">
        <v>2.2648000000000001</v>
      </c>
      <c r="J5574">
        <v>31326.36</v>
      </c>
      <c r="K5574">
        <v>13831.843871423525</v>
      </c>
    </row>
    <row r="5575" spans="1:11" x14ac:dyDescent="0.25">
      <c r="A5575" t="s">
        <v>875</v>
      </c>
      <c r="B5575" t="s">
        <v>876</v>
      </c>
      <c r="C5575" s="1">
        <v>41451</v>
      </c>
      <c r="D5575" s="1">
        <v>41456</v>
      </c>
      <c r="E5575">
        <v>8</v>
      </c>
      <c r="F5575" t="s">
        <v>309</v>
      </c>
      <c r="G5575" t="s">
        <v>16</v>
      </c>
      <c r="H5575" t="s">
        <v>4228</v>
      </c>
      <c r="I5575">
        <v>2.2185000000000001</v>
      </c>
      <c r="J5575">
        <v>31150.28</v>
      </c>
      <c r="K5575">
        <v>14041.144917737211</v>
      </c>
    </row>
    <row r="5576" spans="1:11" x14ac:dyDescent="0.25">
      <c r="A5576" t="s">
        <v>2916</v>
      </c>
      <c r="B5576" t="s">
        <v>2917</v>
      </c>
      <c r="C5576" s="1">
        <v>41447</v>
      </c>
      <c r="D5576" s="1">
        <v>41465</v>
      </c>
      <c r="E5576">
        <v>160</v>
      </c>
      <c r="F5576" t="s">
        <v>311</v>
      </c>
      <c r="G5576" t="s">
        <v>16</v>
      </c>
      <c r="H5576" t="s">
        <v>7405</v>
      </c>
      <c r="I5576">
        <v>2.2648000000000001</v>
      </c>
      <c r="J5576">
        <v>869719.13</v>
      </c>
      <c r="K5576">
        <v>384015.86453549983</v>
      </c>
    </row>
    <row r="5577" spans="1:11" x14ac:dyDescent="0.25">
      <c r="A5577" t="s">
        <v>875</v>
      </c>
      <c r="B5577" t="s">
        <v>876</v>
      </c>
      <c r="C5577" s="1">
        <v>41451</v>
      </c>
      <c r="D5577" s="1">
        <v>41456</v>
      </c>
      <c r="E5577">
        <v>8</v>
      </c>
      <c r="F5577" t="s">
        <v>309</v>
      </c>
      <c r="G5577" t="s">
        <v>16</v>
      </c>
      <c r="H5577" t="s">
        <v>7406</v>
      </c>
      <c r="I5577">
        <v>2.2185000000000001</v>
      </c>
      <c r="J5577">
        <v>41874.69</v>
      </c>
      <c r="K5577">
        <v>18875.226504394861</v>
      </c>
    </row>
    <row r="5578" spans="1:11" x14ac:dyDescent="0.25">
      <c r="A5578" t="s">
        <v>875</v>
      </c>
      <c r="B5578" t="s">
        <v>876</v>
      </c>
      <c r="C5578" s="1">
        <v>41451</v>
      </c>
      <c r="D5578" s="1">
        <v>41456</v>
      </c>
      <c r="E5578">
        <v>8</v>
      </c>
      <c r="F5578" t="s">
        <v>309</v>
      </c>
      <c r="G5578" t="s">
        <v>16</v>
      </c>
      <c r="H5578" t="s">
        <v>7407</v>
      </c>
      <c r="I5578">
        <v>2.2185000000000001</v>
      </c>
      <c r="J5578">
        <v>42143.01</v>
      </c>
      <c r="K5578">
        <v>18996.173089925625</v>
      </c>
    </row>
    <row r="5579" spans="1:11" x14ac:dyDescent="0.25">
      <c r="A5579" t="s">
        <v>885</v>
      </c>
      <c r="B5579" t="s">
        <v>886</v>
      </c>
      <c r="C5579" s="1">
        <v>41509</v>
      </c>
      <c r="D5579" s="1">
        <v>41517</v>
      </c>
      <c r="E5579">
        <v>4</v>
      </c>
      <c r="F5579" t="s">
        <v>887</v>
      </c>
      <c r="G5579" t="s">
        <v>16</v>
      </c>
      <c r="H5579" t="s">
        <v>4229</v>
      </c>
      <c r="I5579">
        <v>2.4457</v>
      </c>
      <c r="J5579">
        <v>63130.36</v>
      </c>
      <c r="K5579">
        <v>25812.797971950771</v>
      </c>
    </row>
    <row r="5580" spans="1:11" x14ac:dyDescent="0.25">
      <c r="A5580" t="s">
        <v>885</v>
      </c>
      <c r="B5580" t="s">
        <v>886</v>
      </c>
      <c r="C5580" s="1">
        <v>41505</v>
      </c>
      <c r="D5580" s="1">
        <v>41512</v>
      </c>
      <c r="E5580">
        <v>4</v>
      </c>
      <c r="F5580" t="s">
        <v>887</v>
      </c>
      <c r="G5580" t="s">
        <v>16</v>
      </c>
      <c r="H5580" t="s">
        <v>7408</v>
      </c>
      <c r="I5580">
        <v>2.3559000000000001</v>
      </c>
      <c r="J5580">
        <v>58712.67</v>
      </c>
      <c r="K5580">
        <v>24921.545906023177</v>
      </c>
    </row>
    <row r="5581" spans="1:11" x14ac:dyDescent="0.25">
      <c r="A5581" t="s">
        <v>885</v>
      </c>
      <c r="B5581" t="s">
        <v>886</v>
      </c>
      <c r="C5581" s="1">
        <v>41503</v>
      </c>
      <c r="D5581" s="1">
        <v>41508</v>
      </c>
      <c r="E5581">
        <v>4</v>
      </c>
      <c r="F5581" t="s">
        <v>887</v>
      </c>
      <c r="G5581" t="s">
        <v>16</v>
      </c>
      <c r="H5581" t="s">
        <v>4230</v>
      </c>
      <c r="I5581">
        <v>2.3559000000000001</v>
      </c>
      <c r="J5581">
        <v>58616.52</v>
      </c>
      <c r="K5581">
        <v>24880.733477651851</v>
      </c>
    </row>
    <row r="5582" spans="1:11" x14ac:dyDescent="0.25">
      <c r="A5582" t="s">
        <v>885</v>
      </c>
      <c r="B5582" t="s">
        <v>886</v>
      </c>
      <c r="C5582" s="1">
        <v>41503</v>
      </c>
      <c r="D5582" s="1">
        <v>41508</v>
      </c>
      <c r="E5582">
        <v>4</v>
      </c>
      <c r="F5582" t="s">
        <v>887</v>
      </c>
      <c r="G5582" t="s">
        <v>16</v>
      </c>
      <c r="H5582" t="s">
        <v>7409</v>
      </c>
      <c r="I5582">
        <v>2.3559000000000001</v>
      </c>
      <c r="J5582">
        <v>60475.33</v>
      </c>
      <c r="K5582">
        <v>25669.735557536398</v>
      </c>
    </row>
    <row r="5583" spans="1:11" x14ac:dyDescent="0.25">
      <c r="A5583" t="s">
        <v>3367</v>
      </c>
      <c r="B5583" t="s">
        <v>3368</v>
      </c>
      <c r="C5583" s="1">
        <v>41506</v>
      </c>
      <c r="D5583" s="1">
        <v>41515</v>
      </c>
      <c r="E5583">
        <v>285</v>
      </c>
      <c r="F5583" t="s">
        <v>311</v>
      </c>
      <c r="G5583" t="s">
        <v>16</v>
      </c>
      <c r="H5583" t="s">
        <v>7410</v>
      </c>
      <c r="I5583">
        <v>2.3980000000000001</v>
      </c>
      <c r="J5583">
        <v>383440.16</v>
      </c>
      <c r="K5583">
        <v>159899.98331943285</v>
      </c>
    </row>
    <row r="5584" spans="1:11" x14ac:dyDescent="0.25">
      <c r="A5584" t="s">
        <v>1510</v>
      </c>
      <c r="B5584" t="s">
        <v>1511</v>
      </c>
      <c r="C5584" s="1">
        <v>41509</v>
      </c>
      <c r="D5584" s="1">
        <v>41515</v>
      </c>
      <c r="E5584">
        <v>283</v>
      </c>
      <c r="F5584" t="s">
        <v>311</v>
      </c>
      <c r="G5584" t="s">
        <v>16</v>
      </c>
      <c r="H5584" t="s">
        <v>4231</v>
      </c>
      <c r="I5584">
        <v>2.4457</v>
      </c>
      <c r="J5584">
        <v>129570.74</v>
      </c>
      <c r="K5584">
        <v>52978.999877335729</v>
      </c>
    </row>
    <row r="5585" spans="1:11" x14ac:dyDescent="0.25">
      <c r="A5585" t="s">
        <v>1510</v>
      </c>
      <c r="B5585" t="s">
        <v>1511</v>
      </c>
      <c r="C5585" s="1">
        <v>41508</v>
      </c>
      <c r="D5585" s="1">
        <v>41515</v>
      </c>
      <c r="E5585">
        <v>283</v>
      </c>
      <c r="F5585" t="s">
        <v>311</v>
      </c>
      <c r="G5585" t="s">
        <v>16</v>
      </c>
      <c r="H5585" t="s">
        <v>4232</v>
      </c>
      <c r="I5585">
        <v>2.4169</v>
      </c>
      <c r="J5585">
        <v>742287.35999999999</v>
      </c>
      <c r="K5585">
        <v>307123.73701849475</v>
      </c>
    </row>
    <row r="5586" spans="1:11" x14ac:dyDescent="0.25">
      <c r="A5586" t="s">
        <v>896</v>
      </c>
      <c r="B5586" t="s">
        <v>897</v>
      </c>
      <c r="C5586" s="1">
        <v>41540</v>
      </c>
      <c r="D5586" s="1">
        <v>41543</v>
      </c>
      <c r="E5586">
        <v>296</v>
      </c>
      <c r="F5586" t="s">
        <v>887</v>
      </c>
      <c r="G5586" t="s">
        <v>16</v>
      </c>
      <c r="H5586" t="s">
        <v>4233</v>
      </c>
      <c r="I5586">
        <v>2.2052999999999998</v>
      </c>
      <c r="J5586">
        <v>48232.78</v>
      </c>
      <c r="K5586">
        <v>21871.300956785926</v>
      </c>
    </row>
    <row r="5587" spans="1:11" x14ac:dyDescent="0.25">
      <c r="A5587" t="s">
        <v>4632</v>
      </c>
      <c r="B5587" t="s">
        <v>4633</v>
      </c>
      <c r="C5587" s="1">
        <v>41513</v>
      </c>
      <c r="D5587" s="1">
        <v>41536</v>
      </c>
      <c r="E5587">
        <v>16332</v>
      </c>
      <c r="F5587" t="s">
        <v>642</v>
      </c>
      <c r="G5587" t="s">
        <v>16</v>
      </c>
      <c r="H5587" t="s">
        <v>7411</v>
      </c>
      <c r="I5587">
        <v>2.3704999999999998</v>
      </c>
      <c r="J5587">
        <v>393696</v>
      </c>
      <c r="K5587">
        <v>166081.41742248469</v>
      </c>
    </row>
    <row r="5588" spans="1:11" x14ac:dyDescent="0.25">
      <c r="A5588" t="s">
        <v>1650</v>
      </c>
      <c r="B5588" t="s">
        <v>1651</v>
      </c>
      <c r="C5588" s="1">
        <v>41522</v>
      </c>
      <c r="D5588" s="1">
        <v>41543</v>
      </c>
      <c r="E5588">
        <v>23</v>
      </c>
      <c r="F5588" t="s">
        <v>887</v>
      </c>
      <c r="G5588" t="s">
        <v>16</v>
      </c>
      <c r="H5588" t="s">
        <v>7412</v>
      </c>
      <c r="I5588">
        <v>2.3538000000000001</v>
      </c>
      <c r="J5588">
        <v>63122.62</v>
      </c>
      <c r="K5588">
        <v>26817.325176310645</v>
      </c>
    </row>
    <row r="5589" spans="1:11" x14ac:dyDescent="0.25">
      <c r="A5589" t="s">
        <v>1991</v>
      </c>
      <c r="B5589" t="s">
        <v>1992</v>
      </c>
      <c r="C5589" s="1">
        <v>41527</v>
      </c>
      <c r="D5589" s="1">
        <v>41543</v>
      </c>
      <c r="E5589">
        <v>2</v>
      </c>
      <c r="F5589" t="s">
        <v>887</v>
      </c>
      <c r="G5589" t="s">
        <v>16</v>
      </c>
      <c r="H5589" t="s">
        <v>7413</v>
      </c>
      <c r="I5589">
        <v>2.2867999999999999</v>
      </c>
      <c r="J5589">
        <v>53368.65</v>
      </c>
      <c r="K5589">
        <v>23337.698967990204</v>
      </c>
    </row>
    <row r="5590" spans="1:11" x14ac:dyDescent="0.25">
      <c r="A5590" t="s">
        <v>1991</v>
      </c>
      <c r="B5590" t="s">
        <v>1992</v>
      </c>
      <c r="C5590" s="1">
        <v>41527</v>
      </c>
      <c r="D5590" s="1">
        <v>41543</v>
      </c>
      <c r="E5590">
        <v>2</v>
      </c>
      <c r="F5590" t="s">
        <v>887</v>
      </c>
      <c r="G5590" t="s">
        <v>16</v>
      </c>
      <c r="H5590" t="s">
        <v>7414</v>
      </c>
      <c r="I5590">
        <v>2.2867999999999999</v>
      </c>
      <c r="J5590">
        <v>53383.08</v>
      </c>
      <c r="K5590">
        <v>23344.009095679554</v>
      </c>
    </row>
    <row r="5591" spans="1:11" x14ac:dyDescent="0.25">
      <c r="A5591" t="s">
        <v>4234</v>
      </c>
      <c r="B5591" t="s">
        <v>4235</v>
      </c>
      <c r="C5591" s="1">
        <v>41534</v>
      </c>
      <c r="D5591" s="1">
        <v>41542</v>
      </c>
      <c r="E5591">
        <v>18319</v>
      </c>
      <c r="F5591" t="s">
        <v>303</v>
      </c>
      <c r="G5591" t="s">
        <v>16</v>
      </c>
      <c r="H5591" t="s">
        <v>4236</v>
      </c>
      <c r="I5591">
        <v>2.2648999999999999</v>
      </c>
      <c r="J5591">
        <v>212660.18</v>
      </c>
      <c r="K5591">
        <v>93893.849618084685</v>
      </c>
    </row>
    <row r="5592" spans="1:11" x14ac:dyDescent="0.25">
      <c r="A5592" t="s">
        <v>896</v>
      </c>
      <c r="B5592" t="s">
        <v>897</v>
      </c>
      <c r="C5592" s="1">
        <v>41538</v>
      </c>
      <c r="D5592" s="1">
        <v>41543</v>
      </c>
      <c r="E5592">
        <v>296</v>
      </c>
      <c r="F5592" t="s">
        <v>887</v>
      </c>
      <c r="G5592" t="s">
        <v>16</v>
      </c>
      <c r="H5592" t="s">
        <v>7415</v>
      </c>
      <c r="I5592">
        <v>2.2052999999999998</v>
      </c>
      <c r="J5592">
        <v>58362.92</v>
      </c>
      <c r="K5592">
        <v>26464.843785426019</v>
      </c>
    </row>
    <row r="5593" spans="1:11" x14ac:dyDescent="0.25">
      <c r="A5593" t="s">
        <v>896</v>
      </c>
      <c r="B5593" t="s">
        <v>897</v>
      </c>
      <c r="C5593" s="1">
        <v>41534</v>
      </c>
      <c r="D5593" s="1">
        <v>41540</v>
      </c>
      <c r="E5593">
        <v>296</v>
      </c>
      <c r="F5593" t="s">
        <v>887</v>
      </c>
      <c r="G5593" t="s">
        <v>16</v>
      </c>
      <c r="H5593" t="s">
        <v>7416</v>
      </c>
      <c r="I5593">
        <v>2.2648999999999999</v>
      </c>
      <c r="J5593">
        <v>49015.15</v>
      </c>
      <c r="K5593">
        <v>21641.198286900082</v>
      </c>
    </row>
    <row r="5594" spans="1:11" x14ac:dyDescent="0.25">
      <c r="A5594" t="s">
        <v>896</v>
      </c>
      <c r="B5594" t="s">
        <v>897</v>
      </c>
      <c r="C5594" s="1">
        <v>41529</v>
      </c>
      <c r="D5594" s="1">
        <v>41540</v>
      </c>
      <c r="E5594">
        <v>296</v>
      </c>
      <c r="F5594" t="s">
        <v>887</v>
      </c>
      <c r="G5594" t="s">
        <v>16</v>
      </c>
      <c r="H5594" t="s">
        <v>7417</v>
      </c>
      <c r="I5594">
        <v>2.2947000000000002</v>
      </c>
      <c r="J5594">
        <v>66773.02</v>
      </c>
      <c r="K5594">
        <v>29098.801586263999</v>
      </c>
    </row>
    <row r="5595" spans="1:11" x14ac:dyDescent="0.25">
      <c r="A5595" t="s">
        <v>885</v>
      </c>
      <c r="B5595" t="s">
        <v>886</v>
      </c>
      <c r="C5595" s="1">
        <v>41526</v>
      </c>
      <c r="D5595" s="1">
        <v>41531</v>
      </c>
      <c r="E5595">
        <v>4</v>
      </c>
      <c r="F5595" t="s">
        <v>887</v>
      </c>
      <c r="G5595" t="s">
        <v>16</v>
      </c>
      <c r="H5595" t="s">
        <v>4237</v>
      </c>
      <c r="I5595">
        <v>2.2978999999999998</v>
      </c>
      <c r="J5595">
        <v>58320.78</v>
      </c>
      <c r="K5595">
        <v>25380.033944035858</v>
      </c>
    </row>
    <row r="5596" spans="1:11" x14ac:dyDescent="0.25">
      <c r="A5596" t="s">
        <v>885</v>
      </c>
      <c r="B5596" t="s">
        <v>886</v>
      </c>
      <c r="C5596" s="1">
        <v>41506</v>
      </c>
      <c r="D5596" s="1">
        <v>41509</v>
      </c>
      <c r="E5596">
        <v>4</v>
      </c>
      <c r="F5596" t="s">
        <v>887</v>
      </c>
      <c r="G5596" t="s">
        <v>16</v>
      </c>
      <c r="H5596" t="s">
        <v>7418</v>
      </c>
      <c r="I5596">
        <v>2.3980000000000001</v>
      </c>
      <c r="J5596">
        <v>60186.9</v>
      </c>
      <c r="K5596">
        <v>25098.790658882401</v>
      </c>
    </row>
    <row r="5597" spans="1:11" x14ac:dyDescent="0.25">
      <c r="A5597" t="s">
        <v>896</v>
      </c>
      <c r="B5597" t="s">
        <v>897</v>
      </c>
      <c r="C5597" s="1">
        <v>41527</v>
      </c>
      <c r="D5597" s="1">
        <v>41532</v>
      </c>
      <c r="E5597">
        <v>296</v>
      </c>
      <c r="F5597" t="s">
        <v>887</v>
      </c>
      <c r="G5597" t="s">
        <v>16</v>
      </c>
      <c r="H5597" t="s">
        <v>4238</v>
      </c>
      <c r="I5597">
        <v>2.2867999999999999</v>
      </c>
      <c r="J5597">
        <v>50204.18</v>
      </c>
      <c r="K5597">
        <v>21953.900647192582</v>
      </c>
    </row>
    <row r="5598" spans="1:11" x14ac:dyDescent="0.25">
      <c r="A5598" t="s">
        <v>904</v>
      </c>
      <c r="B5598" t="s">
        <v>905</v>
      </c>
      <c r="C5598" s="1">
        <v>41522</v>
      </c>
      <c r="D5598" s="1">
        <v>41527</v>
      </c>
      <c r="E5598">
        <v>16316</v>
      </c>
      <c r="F5598" t="s">
        <v>887</v>
      </c>
      <c r="G5598" t="s">
        <v>16</v>
      </c>
      <c r="H5598" t="s">
        <v>7419</v>
      </c>
      <c r="I5598">
        <v>2.3538000000000001</v>
      </c>
      <c r="J5598">
        <v>61689.03</v>
      </c>
      <c r="K5598">
        <v>26208.271730818251</v>
      </c>
    </row>
    <row r="5599" spans="1:11" x14ac:dyDescent="0.25">
      <c r="A5599" t="s">
        <v>907</v>
      </c>
      <c r="B5599" t="s">
        <v>908</v>
      </c>
      <c r="C5599" s="1">
        <v>41528</v>
      </c>
      <c r="D5599" s="1">
        <v>41533</v>
      </c>
      <c r="E5599">
        <v>1</v>
      </c>
      <c r="F5599" t="s">
        <v>887</v>
      </c>
      <c r="G5599" t="s">
        <v>16</v>
      </c>
      <c r="H5599" t="s">
        <v>4239</v>
      </c>
      <c r="I5599">
        <v>2.2778999999999998</v>
      </c>
      <c r="J5599">
        <v>62307.81</v>
      </c>
      <c r="K5599">
        <v>27353.180561043067</v>
      </c>
    </row>
    <row r="5600" spans="1:11" x14ac:dyDescent="0.25">
      <c r="A5600" t="s">
        <v>907</v>
      </c>
      <c r="B5600" t="s">
        <v>908</v>
      </c>
      <c r="C5600" s="1">
        <v>41529</v>
      </c>
      <c r="D5600" s="1">
        <v>41534</v>
      </c>
      <c r="E5600">
        <v>1</v>
      </c>
      <c r="F5600" t="s">
        <v>887</v>
      </c>
      <c r="G5600" t="s">
        <v>16</v>
      </c>
      <c r="H5600" t="s">
        <v>4240</v>
      </c>
      <c r="I5600">
        <v>2.2947000000000002</v>
      </c>
      <c r="J5600">
        <v>84507.16</v>
      </c>
      <c r="K5600">
        <v>36827.105939774265</v>
      </c>
    </row>
    <row r="5601" spans="1:11" x14ac:dyDescent="0.25">
      <c r="A5601" t="s">
        <v>1528</v>
      </c>
      <c r="B5601" t="s">
        <v>544</v>
      </c>
      <c r="C5601" s="1">
        <v>41528</v>
      </c>
      <c r="D5601" s="1">
        <v>41535</v>
      </c>
      <c r="E5601">
        <v>6</v>
      </c>
      <c r="F5601" t="s">
        <v>642</v>
      </c>
      <c r="G5601" t="s">
        <v>16</v>
      </c>
      <c r="H5601" t="s">
        <v>7420</v>
      </c>
      <c r="I5601">
        <v>2.2778999999999998</v>
      </c>
      <c r="J5601">
        <v>159470.43</v>
      </c>
      <c r="K5601">
        <v>70007.651784538393</v>
      </c>
    </row>
    <row r="5602" spans="1:11" x14ac:dyDescent="0.25">
      <c r="A5602" t="s">
        <v>907</v>
      </c>
      <c r="B5602" t="s">
        <v>908</v>
      </c>
      <c r="C5602" s="1">
        <v>41530</v>
      </c>
      <c r="D5602" s="1">
        <v>41536</v>
      </c>
      <c r="E5602">
        <v>1</v>
      </c>
      <c r="F5602" t="s">
        <v>887</v>
      </c>
      <c r="G5602" t="s">
        <v>16</v>
      </c>
      <c r="H5602" t="s">
        <v>4241</v>
      </c>
      <c r="I5602">
        <v>2.2768999999999999</v>
      </c>
      <c r="J5602">
        <v>51101.83</v>
      </c>
      <c r="K5602">
        <v>22443.598752690061</v>
      </c>
    </row>
    <row r="5603" spans="1:11" x14ac:dyDescent="0.25">
      <c r="A5603" t="s">
        <v>907</v>
      </c>
      <c r="B5603" t="s">
        <v>908</v>
      </c>
      <c r="C5603" s="1">
        <v>41530</v>
      </c>
      <c r="D5603" s="1">
        <v>41536</v>
      </c>
      <c r="E5603">
        <v>1</v>
      </c>
      <c r="F5603" t="s">
        <v>887</v>
      </c>
      <c r="G5603" t="s">
        <v>16</v>
      </c>
      <c r="H5603" t="s">
        <v>7421</v>
      </c>
      <c r="I5603">
        <v>2.2768999999999999</v>
      </c>
      <c r="J5603">
        <v>68270.11</v>
      </c>
      <c r="K5603">
        <v>29983.798146602836</v>
      </c>
    </row>
    <row r="5604" spans="1:11" x14ac:dyDescent="0.25">
      <c r="A5604" t="s">
        <v>896</v>
      </c>
      <c r="B5604" t="s">
        <v>897</v>
      </c>
      <c r="C5604" s="1">
        <v>41541</v>
      </c>
      <c r="D5604" s="1">
        <v>41547</v>
      </c>
      <c r="E5604">
        <v>296</v>
      </c>
      <c r="F5604" t="s">
        <v>887</v>
      </c>
      <c r="G5604" t="s">
        <v>16</v>
      </c>
      <c r="H5604" t="s">
        <v>4242</v>
      </c>
      <c r="I5604">
        <v>2.2033</v>
      </c>
      <c r="J5604">
        <v>56629.06</v>
      </c>
      <c r="K5604">
        <v>25701.928924794625</v>
      </c>
    </row>
    <row r="5605" spans="1:11" x14ac:dyDescent="0.25">
      <c r="A5605" t="s">
        <v>896</v>
      </c>
      <c r="B5605" t="s">
        <v>897</v>
      </c>
      <c r="C5605" s="1">
        <v>41541</v>
      </c>
      <c r="D5605" s="1">
        <v>41547</v>
      </c>
      <c r="E5605">
        <v>296</v>
      </c>
      <c r="F5605" t="s">
        <v>887</v>
      </c>
      <c r="G5605" t="s">
        <v>16</v>
      </c>
      <c r="H5605" t="s">
        <v>4243</v>
      </c>
      <c r="I5605">
        <v>2.2033</v>
      </c>
      <c r="J5605">
        <v>48345.03</v>
      </c>
      <c r="K5605">
        <v>21942.100485635183</v>
      </c>
    </row>
    <row r="5606" spans="1:11" x14ac:dyDescent="0.25">
      <c r="A5606" t="s">
        <v>907</v>
      </c>
      <c r="B5606" t="s">
        <v>908</v>
      </c>
      <c r="C5606" s="1">
        <v>41529</v>
      </c>
      <c r="D5606" s="1">
        <v>41535</v>
      </c>
      <c r="E5606">
        <v>1</v>
      </c>
      <c r="F5606" t="s">
        <v>887</v>
      </c>
      <c r="G5606" t="s">
        <v>16</v>
      </c>
      <c r="H5606" t="s">
        <v>4244</v>
      </c>
      <c r="I5606">
        <v>2.2947000000000002</v>
      </c>
      <c r="J5606">
        <v>50810.85</v>
      </c>
      <c r="K5606">
        <v>22142.698391946658</v>
      </c>
    </row>
    <row r="5607" spans="1:11" x14ac:dyDescent="0.25">
      <c r="A5607" t="s">
        <v>907</v>
      </c>
      <c r="B5607" t="s">
        <v>908</v>
      </c>
      <c r="C5607" s="1">
        <v>41530</v>
      </c>
      <c r="D5607" s="1">
        <v>41536</v>
      </c>
      <c r="E5607">
        <v>1</v>
      </c>
      <c r="F5607" t="s">
        <v>887</v>
      </c>
      <c r="G5607" t="s">
        <v>16</v>
      </c>
      <c r="H5607" t="s">
        <v>4245</v>
      </c>
      <c r="I5607">
        <v>2.2768999999999999</v>
      </c>
      <c r="J5607">
        <v>67920.84</v>
      </c>
      <c r="K5607">
        <v>29830.400983793756</v>
      </c>
    </row>
    <row r="5608" spans="1:11" x14ac:dyDescent="0.25">
      <c r="A5608" t="s">
        <v>896</v>
      </c>
      <c r="B5608" t="s">
        <v>897</v>
      </c>
      <c r="C5608" s="1">
        <v>41543</v>
      </c>
      <c r="D5608" s="1">
        <v>41547</v>
      </c>
      <c r="E5608">
        <v>296</v>
      </c>
      <c r="F5608" t="s">
        <v>887</v>
      </c>
      <c r="G5608" t="s">
        <v>16</v>
      </c>
      <c r="H5608" t="s">
        <v>4246</v>
      </c>
      <c r="I5608">
        <v>2.2223999999999999</v>
      </c>
      <c r="J5608">
        <v>57790.13</v>
      </c>
      <c r="K5608">
        <v>26003.478221742262</v>
      </c>
    </row>
    <row r="5609" spans="1:11" x14ac:dyDescent="0.25">
      <c r="A5609" t="s">
        <v>1558</v>
      </c>
      <c r="B5609" t="s">
        <v>1559</v>
      </c>
      <c r="C5609" s="1">
        <v>41546</v>
      </c>
      <c r="D5609" s="1">
        <v>41562</v>
      </c>
      <c r="E5609">
        <v>2</v>
      </c>
      <c r="F5609" t="s">
        <v>887</v>
      </c>
      <c r="G5609" t="s">
        <v>16</v>
      </c>
      <c r="H5609" t="s">
        <v>7422</v>
      </c>
      <c r="I5609">
        <v>2.2570999999999999</v>
      </c>
      <c r="J5609">
        <v>55367.56</v>
      </c>
      <c r="K5609">
        <v>24530.397412609102</v>
      </c>
    </row>
    <row r="5610" spans="1:11" x14ac:dyDescent="0.25">
      <c r="A5610" t="s">
        <v>1558</v>
      </c>
      <c r="B5610" t="s">
        <v>1559</v>
      </c>
      <c r="C5610" s="1">
        <v>41546</v>
      </c>
      <c r="D5610" s="1">
        <v>41562</v>
      </c>
      <c r="E5610">
        <v>2</v>
      </c>
      <c r="F5610" t="s">
        <v>887</v>
      </c>
      <c r="G5610" t="s">
        <v>16</v>
      </c>
      <c r="H5610" t="s">
        <v>4247</v>
      </c>
      <c r="I5610">
        <v>2.2570999999999999</v>
      </c>
      <c r="J5610">
        <v>55352.58</v>
      </c>
      <c r="K5610">
        <v>24523.76057773249</v>
      </c>
    </row>
    <row r="5611" spans="1:11" x14ac:dyDescent="0.25">
      <c r="A5611" t="s">
        <v>5434</v>
      </c>
      <c r="B5611" t="s">
        <v>586</v>
      </c>
      <c r="C5611" s="1">
        <v>41548</v>
      </c>
      <c r="D5611" s="1">
        <v>41555</v>
      </c>
      <c r="E5611">
        <v>299</v>
      </c>
      <c r="F5611" t="s">
        <v>5435</v>
      </c>
      <c r="G5611" t="s">
        <v>16</v>
      </c>
      <c r="H5611" t="s">
        <v>7423</v>
      </c>
      <c r="I5611">
        <v>2.23</v>
      </c>
      <c r="J5611">
        <v>144953.39000000001</v>
      </c>
      <c r="K5611">
        <v>65001.520179372201</v>
      </c>
    </row>
    <row r="5612" spans="1:11" x14ac:dyDescent="0.25">
      <c r="A5612" t="s">
        <v>921</v>
      </c>
      <c r="B5612" t="s">
        <v>922</v>
      </c>
      <c r="C5612" s="1">
        <v>41550</v>
      </c>
      <c r="D5612" s="1">
        <v>41556</v>
      </c>
      <c r="E5612">
        <v>18399</v>
      </c>
      <c r="F5612" t="s">
        <v>887</v>
      </c>
      <c r="G5612" t="s">
        <v>16</v>
      </c>
      <c r="H5612" t="s">
        <v>4248</v>
      </c>
      <c r="I5612">
        <v>2.2088000000000001</v>
      </c>
      <c r="J5612">
        <v>55801.99</v>
      </c>
      <c r="K5612">
        <v>25263.486961245926</v>
      </c>
    </row>
    <row r="5613" spans="1:11" x14ac:dyDescent="0.25">
      <c r="A5613" t="s">
        <v>885</v>
      </c>
      <c r="B5613" t="s">
        <v>886</v>
      </c>
      <c r="C5613" s="1">
        <v>41550</v>
      </c>
      <c r="D5613" s="1">
        <v>41555</v>
      </c>
      <c r="E5613">
        <v>4</v>
      </c>
      <c r="F5613" t="s">
        <v>887</v>
      </c>
      <c r="G5613" t="s">
        <v>16</v>
      </c>
      <c r="H5613" t="s">
        <v>7424</v>
      </c>
      <c r="I5613">
        <v>2.2088000000000001</v>
      </c>
      <c r="J5613">
        <v>75950.63</v>
      </c>
      <c r="K5613">
        <v>34385.471749366174</v>
      </c>
    </row>
    <row r="5614" spans="1:11" x14ac:dyDescent="0.25">
      <c r="A5614" t="s">
        <v>907</v>
      </c>
      <c r="B5614" t="s">
        <v>908</v>
      </c>
      <c r="C5614" s="1">
        <v>41535</v>
      </c>
      <c r="D5614" s="1">
        <v>41540</v>
      </c>
      <c r="E5614">
        <v>1</v>
      </c>
      <c r="F5614" t="s">
        <v>887</v>
      </c>
      <c r="G5614" t="s">
        <v>16</v>
      </c>
      <c r="H5614" t="s">
        <v>4249</v>
      </c>
      <c r="I5614">
        <v>2.2616999999999998</v>
      </c>
      <c r="J5614">
        <v>77466.84</v>
      </c>
      <c r="K5614">
        <v>34251.598355219525</v>
      </c>
    </row>
    <row r="5615" spans="1:11" x14ac:dyDescent="0.25">
      <c r="A5615" t="s">
        <v>885</v>
      </c>
      <c r="B5615" t="s">
        <v>886</v>
      </c>
      <c r="C5615" s="1">
        <v>41556</v>
      </c>
      <c r="D5615" s="1">
        <v>41561</v>
      </c>
      <c r="E5615">
        <v>4</v>
      </c>
      <c r="F5615" t="s">
        <v>887</v>
      </c>
      <c r="G5615" t="s">
        <v>16</v>
      </c>
      <c r="H5615" t="s">
        <v>7425</v>
      </c>
      <c r="I5615">
        <v>2.2016</v>
      </c>
      <c r="J5615">
        <v>77512.77</v>
      </c>
      <c r="K5615">
        <v>35207.471838662794</v>
      </c>
    </row>
    <row r="5616" spans="1:11" x14ac:dyDescent="0.25">
      <c r="A5616" t="s">
        <v>885</v>
      </c>
      <c r="B5616" t="s">
        <v>886</v>
      </c>
      <c r="C5616" s="1">
        <v>41556</v>
      </c>
      <c r="D5616" s="1">
        <v>41561</v>
      </c>
      <c r="E5616">
        <v>4</v>
      </c>
      <c r="F5616" t="s">
        <v>887</v>
      </c>
      <c r="G5616" t="s">
        <v>16</v>
      </c>
      <c r="H5616" t="s">
        <v>4250</v>
      </c>
      <c r="I5616">
        <v>2.2016</v>
      </c>
      <c r="J5616">
        <v>58146.19</v>
      </c>
      <c r="K5616">
        <v>26410.878452034885</v>
      </c>
    </row>
    <row r="5617" spans="1:11" x14ac:dyDescent="0.25">
      <c r="A5617" t="s">
        <v>885</v>
      </c>
      <c r="B5617" t="s">
        <v>886</v>
      </c>
      <c r="C5617" s="1">
        <v>41556</v>
      </c>
      <c r="D5617" s="1">
        <v>41561</v>
      </c>
      <c r="E5617">
        <v>4</v>
      </c>
      <c r="F5617" t="s">
        <v>887</v>
      </c>
      <c r="G5617" t="s">
        <v>16</v>
      </c>
      <c r="H5617" t="s">
        <v>4251</v>
      </c>
      <c r="I5617">
        <v>2.2016</v>
      </c>
      <c r="J5617">
        <v>57217.33</v>
      </c>
      <c r="K5617">
        <v>25988.976199127908</v>
      </c>
    </row>
    <row r="5618" spans="1:11" x14ac:dyDescent="0.25">
      <c r="A5618" t="s">
        <v>896</v>
      </c>
      <c r="B5618" t="s">
        <v>897</v>
      </c>
      <c r="C5618" s="1">
        <v>41550</v>
      </c>
      <c r="D5618" s="1">
        <v>41556</v>
      </c>
      <c r="E5618">
        <v>296</v>
      </c>
      <c r="F5618" t="s">
        <v>887</v>
      </c>
      <c r="G5618" t="s">
        <v>16</v>
      </c>
      <c r="H5618" t="s">
        <v>7426</v>
      </c>
      <c r="I5618">
        <v>2.2088000000000001</v>
      </c>
      <c r="J5618">
        <v>57108.97</v>
      </c>
      <c r="K5618">
        <v>25855.20191959435</v>
      </c>
    </row>
    <row r="5619" spans="1:11" x14ac:dyDescent="0.25">
      <c r="A5619" t="s">
        <v>4252</v>
      </c>
      <c r="B5619" t="s">
        <v>4253</v>
      </c>
      <c r="C5619" s="1">
        <v>41551</v>
      </c>
      <c r="D5619" s="1">
        <v>41559</v>
      </c>
      <c r="E5619">
        <v>18475</v>
      </c>
      <c r="F5619" t="s">
        <v>278</v>
      </c>
      <c r="G5619" t="s">
        <v>16</v>
      </c>
      <c r="H5619" t="s">
        <v>4254</v>
      </c>
      <c r="I5619">
        <v>2.2069000000000001</v>
      </c>
      <c r="J5619">
        <v>31890</v>
      </c>
      <c r="K5619">
        <v>14450.133671666137</v>
      </c>
    </row>
    <row r="5620" spans="1:11" x14ac:dyDescent="0.25">
      <c r="A5620" t="s">
        <v>6257</v>
      </c>
      <c r="B5620" t="s">
        <v>6258</v>
      </c>
      <c r="C5620" s="1">
        <v>41550</v>
      </c>
      <c r="D5620" s="1">
        <v>41557</v>
      </c>
      <c r="E5620">
        <v>18403</v>
      </c>
      <c r="F5620" t="s">
        <v>278</v>
      </c>
      <c r="G5620" t="s">
        <v>16</v>
      </c>
      <c r="H5620" t="s">
        <v>7427</v>
      </c>
      <c r="I5620">
        <v>2.2088000000000001</v>
      </c>
      <c r="J5620">
        <v>29525</v>
      </c>
      <c r="K5620">
        <v>13366.986599058313</v>
      </c>
    </row>
    <row r="5621" spans="1:11" x14ac:dyDescent="0.25">
      <c r="A5621" t="s">
        <v>6257</v>
      </c>
      <c r="B5621" t="s">
        <v>6258</v>
      </c>
      <c r="C5621" s="1">
        <v>41550</v>
      </c>
      <c r="D5621" s="1">
        <v>41557</v>
      </c>
      <c r="E5621">
        <v>18403</v>
      </c>
      <c r="F5621" t="s">
        <v>278</v>
      </c>
      <c r="G5621" t="s">
        <v>16</v>
      </c>
      <c r="H5621" t="s">
        <v>7428</v>
      </c>
      <c r="I5621">
        <v>2.2088000000000001</v>
      </c>
      <c r="J5621">
        <v>37905</v>
      </c>
      <c r="K5621">
        <v>17160.901847156827</v>
      </c>
    </row>
    <row r="5622" spans="1:11" x14ac:dyDescent="0.25">
      <c r="A5622" t="s">
        <v>885</v>
      </c>
      <c r="B5622" t="s">
        <v>886</v>
      </c>
      <c r="C5622" s="1">
        <v>41552</v>
      </c>
      <c r="D5622" s="1">
        <v>41557</v>
      </c>
      <c r="E5622">
        <v>4</v>
      </c>
      <c r="F5622" t="s">
        <v>887</v>
      </c>
      <c r="G5622" t="s">
        <v>16</v>
      </c>
      <c r="H5622" t="s">
        <v>4255</v>
      </c>
      <c r="I5622">
        <v>2.2050999999999998</v>
      </c>
      <c r="J5622">
        <v>76042.080000000002</v>
      </c>
      <c r="K5622">
        <v>34484.640152374042</v>
      </c>
    </row>
    <row r="5623" spans="1:11" x14ac:dyDescent="0.25">
      <c r="A5623" t="s">
        <v>885</v>
      </c>
      <c r="B5623" t="s">
        <v>886</v>
      </c>
      <c r="C5623" s="1">
        <v>41550</v>
      </c>
      <c r="D5623" s="1">
        <v>41557</v>
      </c>
      <c r="E5623">
        <v>4</v>
      </c>
      <c r="F5623" t="s">
        <v>887</v>
      </c>
      <c r="G5623" t="s">
        <v>16</v>
      </c>
      <c r="H5623" t="s">
        <v>4256</v>
      </c>
      <c r="I5623">
        <v>2.2088000000000001</v>
      </c>
      <c r="J5623">
        <v>75576.12</v>
      </c>
      <c r="K5623">
        <v>34215.918145599418</v>
      </c>
    </row>
    <row r="5624" spans="1:11" x14ac:dyDescent="0.25">
      <c r="A5624" t="s">
        <v>924</v>
      </c>
      <c r="B5624" t="s">
        <v>925</v>
      </c>
      <c r="C5624" s="1">
        <v>41551</v>
      </c>
      <c r="D5624" s="1">
        <v>41558</v>
      </c>
      <c r="E5624">
        <v>696</v>
      </c>
      <c r="F5624" t="s">
        <v>278</v>
      </c>
      <c r="G5624" t="s">
        <v>16</v>
      </c>
      <c r="H5624" t="s">
        <v>4257</v>
      </c>
      <c r="I5624">
        <v>2.2069000000000001</v>
      </c>
      <c r="J5624">
        <v>48181.2</v>
      </c>
      <c r="K5624">
        <v>21832.072137387284</v>
      </c>
    </row>
    <row r="5625" spans="1:11" x14ac:dyDescent="0.25">
      <c r="A5625" t="s">
        <v>907</v>
      </c>
      <c r="B5625" t="s">
        <v>908</v>
      </c>
      <c r="C5625" s="1">
        <v>41533</v>
      </c>
      <c r="D5625" s="1">
        <v>41539</v>
      </c>
      <c r="E5625">
        <v>1</v>
      </c>
      <c r="F5625" t="s">
        <v>887</v>
      </c>
      <c r="G5625" t="s">
        <v>16</v>
      </c>
      <c r="H5625" t="s">
        <v>4258</v>
      </c>
      <c r="I5625">
        <v>2.2785000000000002</v>
      </c>
      <c r="J5625">
        <v>50653.79</v>
      </c>
      <c r="K5625">
        <v>22231.200351108186</v>
      </c>
    </row>
    <row r="5626" spans="1:11" x14ac:dyDescent="0.25">
      <c r="A5626" t="s">
        <v>896</v>
      </c>
      <c r="B5626" t="s">
        <v>897</v>
      </c>
      <c r="C5626" s="1">
        <v>41543</v>
      </c>
      <c r="D5626" s="1">
        <v>41551</v>
      </c>
      <c r="E5626">
        <v>296</v>
      </c>
      <c r="F5626" t="s">
        <v>887</v>
      </c>
      <c r="G5626" t="s">
        <v>16</v>
      </c>
      <c r="H5626" t="s">
        <v>4259</v>
      </c>
      <c r="I5626">
        <v>2.2223999999999999</v>
      </c>
      <c r="J5626">
        <v>65246.11</v>
      </c>
      <c r="K5626">
        <v>29358.400827933765</v>
      </c>
    </row>
    <row r="5627" spans="1:11" x14ac:dyDescent="0.25">
      <c r="A5627" t="s">
        <v>921</v>
      </c>
      <c r="B5627" t="s">
        <v>922</v>
      </c>
      <c r="C5627" s="1">
        <v>41550</v>
      </c>
      <c r="D5627" s="1">
        <v>41555</v>
      </c>
      <c r="E5627">
        <v>18399</v>
      </c>
      <c r="F5627" t="s">
        <v>887</v>
      </c>
      <c r="G5627" t="s">
        <v>16</v>
      </c>
      <c r="H5627" t="s">
        <v>4260</v>
      </c>
      <c r="I5627">
        <v>2.2088000000000001</v>
      </c>
      <c r="J5627">
        <v>76370.080000000002</v>
      </c>
      <c r="K5627">
        <v>34575.37124230351</v>
      </c>
    </row>
    <row r="5628" spans="1:11" x14ac:dyDescent="0.25">
      <c r="A5628" t="s">
        <v>924</v>
      </c>
      <c r="B5628" t="s">
        <v>925</v>
      </c>
      <c r="C5628" s="1">
        <v>41551</v>
      </c>
      <c r="D5628" s="1">
        <v>41558</v>
      </c>
      <c r="E5628">
        <v>696</v>
      </c>
      <c r="F5628" t="s">
        <v>278</v>
      </c>
      <c r="G5628" t="s">
        <v>16</v>
      </c>
      <c r="H5628" t="s">
        <v>7429</v>
      </c>
      <c r="I5628">
        <v>2.2069000000000001</v>
      </c>
      <c r="J5628">
        <v>118100</v>
      </c>
      <c r="K5628">
        <v>53513.978884407996</v>
      </c>
    </row>
    <row r="5629" spans="1:11" x14ac:dyDescent="0.25">
      <c r="A5629" t="s">
        <v>4252</v>
      </c>
      <c r="B5629" t="s">
        <v>4253</v>
      </c>
      <c r="C5629" s="1">
        <v>41551</v>
      </c>
      <c r="D5629" s="1">
        <v>41559</v>
      </c>
      <c r="E5629">
        <v>18475</v>
      </c>
      <c r="F5629" t="s">
        <v>278</v>
      </c>
      <c r="G5629" t="s">
        <v>16</v>
      </c>
      <c r="H5629" t="s">
        <v>7430</v>
      </c>
      <c r="I5629">
        <v>2.2069000000000001</v>
      </c>
      <c r="J5629">
        <v>165540</v>
      </c>
      <c r="K5629">
        <v>75010.195296569844</v>
      </c>
    </row>
    <row r="5630" spans="1:11" x14ac:dyDescent="0.25">
      <c r="A5630" t="s">
        <v>896</v>
      </c>
      <c r="B5630" t="s">
        <v>897</v>
      </c>
      <c r="C5630" s="1">
        <v>41563</v>
      </c>
      <c r="D5630" s="1">
        <v>41576</v>
      </c>
      <c r="E5630">
        <v>296</v>
      </c>
      <c r="F5630" t="s">
        <v>887</v>
      </c>
      <c r="G5630" t="s">
        <v>16</v>
      </c>
      <c r="H5630" t="s">
        <v>7431</v>
      </c>
      <c r="I5630">
        <v>2.1818</v>
      </c>
      <c r="J5630">
        <v>49564.45</v>
      </c>
      <c r="K5630">
        <v>22717.228893574113</v>
      </c>
    </row>
    <row r="5631" spans="1:11" x14ac:dyDescent="0.25">
      <c r="A5631" t="s">
        <v>885</v>
      </c>
      <c r="B5631" t="s">
        <v>886</v>
      </c>
      <c r="C5631" s="1">
        <v>41585</v>
      </c>
      <c r="D5631" s="1">
        <v>41599</v>
      </c>
      <c r="E5631">
        <v>4</v>
      </c>
      <c r="F5631" t="s">
        <v>887</v>
      </c>
      <c r="G5631" t="s">
        <v>16</v>
      </c>
      <c r="H5631" t="s">
        <v>7432</v>
      </c>
      <c r="I5631">
        <v>2.2829999999999999</v>
      </c>
      <c r="J5631">
        <v>3377.93</v>
      </c>
      <c r="K5631">
        <v>1479.6014016644765</v>
      </c>
    </row>
    <row r="5632" spans="1:11" x14ac:dyDescent="0.25">
      <c r="A5632" t="s">
        <v>885</v>
      </c>
      <c r="B5632" t="s">
        <v>886</v>
      </c>
      <c r="C5632" s="1">
        <v>41585</v>
      </c>
      <c r="D5632" s="1">
        <v>41599</v>
      </c>
      <c r="E5632">
        <v>4</v>
      </c>
      <c r="F5632" t="s">
        <v>887</v>
      </c>
      <c r="G5632" t="s">
        <v>16</v>
      </c>
      <c r="H5632" t="s">
        <v>7433</v>
      </c>
      <c r="I5632">
        <v>2.2829999999999999</v>
      </c>
      <c r="J5632">
        <v>23727.46</v>
      </c>
      <c r="K5632">
        <v>10393.105562855892</v>
      </c>
    </row>
    <row r="5633" spans="1:11" x14ac:dyDescent="0.25">
      <c r="A5633" t="s">
        <v>885</v>
      </c>
      <c r="B5633" t="s">
        <v>886</v>
      </c>
      <c r="C5633" s="1">
        <v>41585</v>
      </c>
      <c r="D5633" s="1">
        <v>41599</v>
      </c>
      <c r="E5633">
        <v>4</v>
      </c>
      <c r="F5633" t="s">
        <v>887</v>
      </c>
      <c r="G5633" t="s">
        <v>16</v>
      </c>
      <c r="H5633" t="s">
        <v>4261</v>
      </c>
      <c r="I5633">
        <v>2.2829999999999999</v>
      </c>
      <c r="J5633">
        <v>40355.56</v>
      </c>
      <c r="K5633">
        <v>17676.548401226457</v>
      </c>
    </row>
    <row r="5634" spans="1:11" x14ac:dyDescent="0.25">
      <c r="A5634" t="s">
        <v>896</v>
      </c>
      <c r="B5634" t="s">
        <v>897</v>
      </c>
      <c r="C5634" s="1">
        <v>41585</v>
      </c>
      <c r="D5634" s="1">
        <v>41599</v>
      </c>
      <c r="E5634">
        <v>296</v>
      </c>
      <c r="F5634" t="s">
        <v>887</v>
      </c>
      <c r="G5634" t="s">
        <v>16</v>
      </c>
      <c r="H5634" t="s">
        <v>4262</v>
      </c>
      <c r="I5634">
        <v>2.2829999999999999</v>
      </c>
      <c r="J5634">
        <v>73053.27</v>
      </c>
      <c r="K5634">
        <v>31998.80420499343</v>
      </c>
    </row>
    <row r="5635" spans="1:11" x14ac:dyDescent="0.25">
      <c r="A5635" t="s">
        <v>1544</v>
      </c>
      <c r="B5635" t="s">
        <v>1545</v>
      </c>
      <c r="C5635" s="1">
        <v>41576</v>
      </c>
      <c r="D5635" s="1">
        <v>41584</v>
      </c>
      <c r="E5635">
        <v>18825</v>
      </c>
      <c r="F5635" t="s">
        <v>301</v>
      </c>
      <c r="G5635" t="s">
        <v>16</v>
      </c>
      <c r="H5635" t="s">
        <v>7434</v>
      </c>
      <c r="I5635">
        <v>2.1846000000000001</v>
      </c>
      <c r="J5635">
        <v>61920</v>
      </c>
      <c r="K5635">
        <v>28343.861576489977</v>
      </c>
    </row>
    <row r="5636" spans="1:11" x14ac:dyDescent="0.25">
      <c r="A5636" t="s">
        <v>1544</v>
      </c>
      <c r="B5636" t="s">
        <v>1545</v>
      </c>
      <c r="C5636" s="1">
        <v>41570</v>
      </c>
      <c r="D5636" s="1">
        <v>41584</v>
      </c>
      <c r="E5636">
        <v>18825</v>
      </c>
      <c r="F5636" t="s">
        <v>301</v>
      </c>
      <c r="G5636" t="s">
        <v>16</v>
      </c>
      <c r="H5636" t="s">
        <v>7435</v>
      </c>
      <c r="I5636">
        <v>2.1760000000000002</v>
      </c>
      <c r="J5636">
        <v>60783.6</v>
      </c>
      <c r="K5636">
        <v>27933.639705882353</v>
      </c>
    </row>
    <row r="5637" spans="1:11" x14ac:dyDescent="0.25">
      <c r="A5637" t="s">
        <v>2494</v>
      </c>
      <c r="B5637" t="s">
        <v>2495</v>
      </c>
      <c r="C5637" s="1">
        <v>41579</v>
      </c>
      <c r="D5637" s="1">
        <v>41584</v>
      </c>
      <c r="E5637">
        <v>697</v>
      </c>
      <c r="F5637" t="s">
        <v>278</v>
      </c>
      <c r="G5637" t="s">
        <v>16</v>
      </c>
      <c r="H5637" t="s">
        <v>7436</v>
      </c>
      <c r="I5637">
        <v>2.2025999999999999</v>
      </c>
      <c r="J5637">
        <v>210120</v>
      </c>
      <c r="K5637">
        <v>95396.34976845546</v>
      </c>
    </row>
    <row r="5638" spans="1:11" x14ac:dyDescent="0.25">
      <c r="A5638" t="s">
        <v>4252</v>
      </c>
      <c r="B5638" t="s">
        <v>4253</v>
      </c>
      <c r="C5638" s="1">
        <v>41562</v>
      </c>
      <c r="D5638" s="1">
        <v>41565</v>
      </c>
      <c r="E5638">
        <v>18475</v>
      </c>
      <c r="F5638" t="s">
        <v>278</v>
      </c>
      <c r="G5638" t="s">
        <v>16</v>
      </c>
      <c r="H5638" t="s">
        <v>4263</v>
      </c>
      <c r="I5638">
        <v>2.1817000000000002</v>
      </c>
      <c r="J5638">
        <v>72150</v>
      </c>
      <c r="K5638">
        <v>33070.541320988217</v>
      </c>
    </row>
    <row r="5639" spans="1:11" x14ac:dyDescent="0.25">
      <c r="A5639" t="s">
        <v>1544</v>
      </c>
      <c r="B5639" t="s">
        <v>1545</v>
      </c>
      <c r="C5639" s="1">
        <v>41577</v>
      </c>
      <c r="D5639" s="1">
        <v>41584</v>
      </c>
      <c r="E5639">
        <v>18825</v>
      </c>
      <c r="F5639" t="s">
        <v>301</v>
      </c>
      <c r="G5639" t="s">
        <v>16</v>
      </c>
      <c r="H5639" t="s">
        <v>7437</v>
      </c>
      <c r="I5639">
        <v>2.1804000000000001</v>
      </c>
      <c r="J5639">
        <v>37017</v>
      </c>
      <c r="K5639">
        <v>16977.160154100166</v>
      </c>
    </row>
    <row r="5640" spans="1:11" x14ac:dyDescent="0.25">
      <c r="A5640" t="s">
        <v>1544</v>
      </c>
      <c r="B5640" t="s">
        <v>1545</v>
      </c>
      <c r="C5640" s="1">
        <v>41576</v>
      </c>
      <c r="D5640" s="1">
        <v>41584</v>
      </c>
      <c r="E5640">
        <v>18825</v>
      </c>
      <c r="F5640" t="s">
        <v>301</v>
      </c>
      <c r="G5640" t="s">
        <v>16</v>
      </c>
      <c r="H5640" t="s">
        <v>7438</v>
      </c>
      <c r="I5640">
        <v>2.1846000000000001</v>
      </c>
      <c r="J5640">
        <v>61920</v>
      </c>
      <c r="K5640">
        <v>28343.861576489977</v>
      </c>
    </row>
    <row r="5641" spans="1:11" x14ac:dyDescent="0.25">
      <c r="A5641" t="s">
        <v>1558</v>
      </c>
      <c r="B5641" t="s">
        <v>1559</v>
      </c>
      <c r="C5641" s="1">
        <v>41562</v>
      </c>
      <c r="D5641" s="1">
        <v>41576</v>
      </c>
      <c r="E5641">
        <v>2</v>
      </c>
      <c r="F5641" t="s">
        <v>887</v>
      </c>
      <c r="G5641" t="s">
        <v>16</v>
      </c>
      <c r="H5641" t="s">
        <v>7439</v>
      </c>
      <c r="I5641">
        <v>2.1817000000000002</v>
      </c>
      <c r="J5641">
        <v>48912.97</v>
      </c>
      <c r="K5641">
        <v>22419.658981528166</v>
      </c>
    </row>
    <row r="5642" spans="1:11" x14ac:dyDescent="0.25">
      <c r="A5642" t="s">
        <v>946</v>
      </c>
      <c r="B5642" t="s">
        <v>947</v>
      </c>
      <c r="C5642" s="1">
        <v>41570</v>
      </c>
      <c r="D5642" s="1">
        <v>41573</v>
      </c>
      <c r="E5642">
        <v>1006</v>
      </c>
      <c r="F5642" t="s">
        <v>301</v>
      </c>
      <c r="G5642" t="s">
        <v>16</v>
      </c>
      <c r="H5642" t="s">
        <v>6909</v>
      </c>
      <c r="I5642">
        <v>2.1760000000000002</v>
      </c>
      <c r="J5642">
        <v>55581.39</v>
      </c>
      <c r="K5642">
        <v>25542.918198529413</v>
      </c>
    </row>
    <row r="5643" spans="1:11" x14ac:dyDescent="0.25">
      <c r="A5643" t="s">
        <v>1555</v>
      </c>
      <c r="B5643" t="s">
        <v>1556</v>
      </c>
      <c r="C5643" s="1">
        <v>41570</v>
      </c>
      <c r="D5643" s="1">
        <v>41575</v>
      </c>
      <c r="E5643">
        <v>18573</v>
      </c>
      <c r="F5643" t="s">
        <v>301</v>
      </c>
      <c r="G5643" t="s">
        <v>16</v>
      </c>
      <c r="H5643" t="s">
        <v>4264</v>
      </c>
      <c r="I5643">
        <v>2.1760000000000002</v>
      </c>
      <c r="J5643">
        <v>61605</v>
      </c>
      <c r="K5643">
        <v>28311.121323529413</v>
      </c>
    </row>
    <row r="5644" spans="1:11" x14ac:dyDescent="0.25">
      <c r="A5644" t="s">
        <v>4265</v>
      </c>
      <c r="B5644" t="s">
        <v>4266</v>
      </c>
      <c r="C5644" s="1">
        <v>41585</v>
      </c>
      <c r="D5644" s="1">
        <v>41592</v>
      </c>
      <c r="E5644">
        <v>18814</v>
      </c>
      <c r="F5644" t="s">
        <v>642</v>
      </c>
      <c r="G5644" t="s">
        <v>16</v>
      </c>
      <c r="H5644" t="s">
        <v>4267</v>
      </c>
      <c r="I5644">
        <v>2.2829999999999999</v>
      </c>
      <c r="J5644">
        <v>21127.68</v>
      </c>
      <c r="K5644">
        <v>9254.3495400788433</v>
      </c>
    </row>
    <row r="5645" spans="1:11" x14ac:dyDescent="0.25">
      <c r="A5645" t="s">
        <v>950</v>
      </c>
      <c r="B5645" t="s">
        <v>951</v>
      </c>
      <c r="C5645" s="1">
        <v>41584</v>
      </c>
      <c r="D5645" s="1">
        <v>41587</v>
      </c>
      <c r="E5645">
        <v>501</v>
      </c>
      <c r="F5645" t="s">
        <v>309</v>
      </c>
      <c r="G5645" t="s">
        <v>16</v>
      </c>
      <c r="H5645" t="s">
        <v>3791</v>
      </c>
      <c r="I5645">
        <v>2.2747000000000002</v>
      </c>
      <c r="J5645">
        <v>98320</v>
      </c>
      <c r="K5645">
        <v>43223.282191058162</v>
      </c>
    </row>
    <row r="5646" spans="1:11" x14ac:dyDescent="0.25">
      <c r="A5646" t="s">
        <v>2004</v>
      </c>
      <c r="B5646" t="s">
        <v>2005</v>
      </c>
      <c r="C5646" s="1">
        <v>41582</v>
      </c>
      <c r="D5646" s="1">
        <v>41587</v>
      </c>
      <c r="E5646">
        <v>304</v>
      </c>
      <c r="F5646" t="s">
        <v>642</v>
      </c>
      <c r="G5646" t="s">
        <v>16</v>
      </c>
      <c r="H5646" t="s">
        <v>4268</v>
      </c>
      <c r="I5646">
        <v>2.2467999999999999</v>
      </c>
      <c r="J5646">
        <v>114965.75999999999</v>
      </c>
      <c r="K5646">
        <v>51168.666547979352</v>
      </c>
    </row>
    <row r="5647" spans="1:11" x14ac:dyDescent="0.25">
      <c r="A5647" t="s">
        <v>1558</v>
      </c>
      <c r="B5647" t="s">
        <v>1559</v>
      </c>
      <c r="C5647" s="1">
        <v>41562</v>
      </c>
      <c r="D5647" s="1">
        <v>41575</v>
      </c>
      <c r="E5647">
        <v>2</v>
      </c>
      <c r="F5647" t="s">
        <v>887</v>
      </c>
      <c r="G5647" t="s">
        <v>16</v>
      </c>
      <c r="H5647" t="s">
        <v>4269</v>
      </c>
      <c r="I5647">
        <v>2.1817000000000002</v>
      </c>
      <c r="J5647">
        <v>48235.43</v>
      </c>
      <c r="K5647">
        <v>22109.102993078792</v>
      </c>
    </row>
    <row r="5648" spans="1:11" x14ac:dyDescent="0.25">
      <c r="A5648" t="s">
        <v>1561</v>
      </c>
      <c r="B5648" t="s">
        <v>1562</v>
      </c>
      <c r="C5648" s="1">
        <v>41577</v>
      </c>
      <c r="D5648" s="1">
        <v>41589</v>
      </c>
      <c r="E5648">
        <v>5</v>
      </c>
      <c r="F5648" t="s">
        <v>887</v>
      </c>
      <c r="G5648" t="s">
        <v>16</v>
      </c>
      <c r="H5648" t="s">
        <v>7440</v>
      </c>
      <c r="I5648">
        <v>2.1804000000000001</v>
      </c>
      <c r="J5648">
        <v>47931.98</v>
      </c>
      <c r="K5648">
        <v>21983.113190240321</v>
      </c>
    </row>
    <row r="5649" spans="1:11" x14ac:dyDescent="0.25">
      <c r="A5649" t="s">
        <v>896</v>
      </c>
      <c r="B5649" t="s">
        <v>897</v>
      </c>
      <c r="C5649" s="1">
        <v>41563</v>
      </c>
      <c r="D5649" s="1">
        <v>41571</v>
      </c>
      <c r="E5649">
        <v>296</v>
      </c>
      <c r="F5649" t="s">
        <v>887</v>
      </c>
      <c r="G5649" t="s">
        <v>16</v>
      </c>
      <c r="H5649" t="s">
        <v>7441</v>
      </c>
      <c r="I5649">
        <v>2.1818</v>
      </c>
      <c r="J5649">
        <v>48899.94</v>
      </c>
      <c r="K5649">
        <v>22412.659272160603</v>
      </c>
    </row>
    <row r="5650" spans="1:11" x14ac:dyDescent="0.25">
      <c r="A5650" t="s">
        <v>896</v>
      </c>
      <c r="B5650" t="s">
        <v>897</v>
      </c>
      <c r="C5650" s="1">
        <v>41565</v>
      </c>
      <c r="D5650" s="1">
        <v>41571</v>
      </c>
      <c r="E5650">
        <v>296</v>
      </c>
      <c r="F5650" t="s">
        <v>887</v>
      </c>
      <c r="G5650" t="s">
        <v>16</v>
      </c>
      <c r="H5650" t="s">
        <v>7442</v>
      </c>
      <c r="I5650">
        <v>2.1610999999999998</v>
      </c>
      <c r="J5650">
        <v>48769.64</v>
      </c>
      <c r="K5650">
        <v>22567.044560640414</v>
      </c>
    </row>
    <row r="5651" spans="1:11" x14ac:dyDescent="0.25">
      <c r="A5651" t="s">
        <v>896</v>
      </c>
      <c r="B5651" t="s">
        <v>897</v>
      </c>
      <c r="C5651" s="1">
        <v>41563</v>
      </c>
      <c r="D5651" s="1">
        <v>41571</v>
      </c>
      <c r="E5651">
        <v>296</v>
      </c>
      <c r="F5651" t="s">
        <v>887</v>
      </c>
      <c r="G5651" t="s">
        <v>16</v>
      </c>
      <c r="H5651" t="s">
        <v>7443</v>
      </c>
      <c r="I5651">
        <v>2.1818</v>
      </c>
      <c r="J5651">
        <v>49421.120000000003</v>
      </c>
      <c r="K5651">
        <v>22651.535429461914</v>
      </c>
    </row>
    <row r="5652" spans="1:11" x14ac:dyDescent="0.25">
      <c r="A5652" t="s">
        <v>2024</v>
      </c>
      <c r="B5652" t="s">
        <v>2025</v>
      </c>
      <c r="C5652" s="1">
        <v>41576</v>
      </c>
      <c r="D5652" s="1">
        <v>41584</v>
      </c>
      <c r="E5652">
        <v>18637</v>
      </c>
      <c r="F5652" t="s">
        <v>301</v>
      </c>
      <c r="G5652" t="s">
        <v>16</v>
      </c>
      <c r="H5652" t="s">
        <v>7444</v>
      </c>
      <c r="I5652">
        <v>2.1846000000000001</v>
      </c>
      <c r="J5652">
        <v>61920</v>
      </c>
      <c r="K5652">
        <v>28343.861576489977</v>
      </c>
    </row>
    <row r="5653" spans="1:11" x14ac:dyDescent="0.25">
      <c r="A5653" t="s">
        <v>7445</v>
      </c>
      <c r="C5653" s="1">
        <v>41589</v>
      </c>
      <c r="D5653" s="1">
        <v>41599</v>
      </c>
      <c r="E5653">
        <v>992</v>
      </c>
      <c r="F5653" t="s">
        <v>519</v>
      </c>
      <c r="G5653" t="s">
        <v>16</v>
      </c>
      <c r="H5653" t="s">
        <v>7446</v>
      </c>
      <c r="I5653">
        <v>2.3170000000000002</v>
      </c>
      <c r="J5653">
        <v>205.93</v>
      </c>
      <c r="K5653">
        <v>88.87785930082002</v>
      </c>
    </row>
    <row r="5654" spans="1:11" x14ac:dyDescent="0.25">
      <c r="A5654" t="s">
        <v>5888</v>
      </c>
      <c r="B5654" t="s">
        <v>5889</v>
      </c>
      <c r="C5654" s="1">
        <v>41586</v>
      </c>
      <c r="D5654" s="1">
        <v>41591</v>
      </c>
      <c r="E5654">
        <v>18530</v>
      </c>
      <c r="F5654" t="s">
        <v>301</v>
      </c>
      <c r="G5654" t="s">
        <v>16</v>
      </c>
      <c r="H5654" t="s">
        <v>764</v>
      </c>
      <c r="I5654">
        <v>2.2825000000000002</v>
      </c>
      <c r="J5654">
        <v>7179.99</v>
      </c>
      <c r="K5654">
        <v>3145.6692223439213</v>
      </c>
    </row>
    <row r="5655" spans="1:11" x14ac:dyDescent="0.25">
      <c r="A5655" t="s">
        <v>1573</v>
      </c>
      <c r="B5655" t="s">
        <v>1574</v>
      </c>
      <c r="C5655" s="1">
        <v>41613</v>
      </c>
      <c r="D5655" s="1">
        <v>41618</v>
      </c>
      <c r="E5655">
        <v>18794</v>
      </c>
      <c r="F5655" t="s">
        <v>301</v>
      </c>
      <c r="G5655" t="s">
        <v>16</v>
      </c>
      <c r="H5655" t="s">
        <v>4270</v>
      </c>
      <c r="I5655">
        <v>2.3740000000000001</v>
      </c>
      <c r="J5655">
        <v>61810.01</v>
      </c>
      <c r="K5655">
        <v>26036.229991575401</v>
      </c>
    </row>
    <row r="5656" spans="1:11" x14ac:dyDescent="0.25">
      <c r="A5656" t="s">
        <v>1573</v>
      </c>
      <c r="B5656" t="s">
        <v>1574</v>
      </c>
      <c r="C5656" s="1">
        <v>41613</v>
      </c>
      <c r="D5656" s="1">
        <v>41618</v>
      </c>
      <c r="E5656">
        <v>18794</v>
      </c>
      <c r="F5656" t="s">
        <v>301</v>
      </c>
      <c r="G5656" t="s">
        <v>16</v>
      </c>
      <c r="H5656" t="s">
        <v>7447</v>
      </c>
      <c r="I5656">
        <v>2.3740000000000001</v>
      </c>
      <c r="J5656">
        <v>105186.01</v>
      </c>
      <c r="K5656">
        <v>44307.502106149957</v>
      </c>
    </row>
    <row r="5657" spans="1:11" x14ac:dyDescent="0.25">
      <c r="A5657" t="s">
        <v>1571</v>
      </c>
      <c r="B5657" t="s">
        <v>297</v>
      </c>
      <c r="C5657" s="1">
        <v>41622</v>
      </c>
      <c r="D5657" s="1">
        <v>41630</v>
      </c>
      <c r="E5657">
        <v>18741</v>
      </c>
      <c r="F5657" t="s">
        <v>370</v>
      </c>
      <c r="G5657" t="s">
        <v>16</v>
      </c>
      <c r="H5657" t="s">
        <v>7448</v>
      </c>
      <c r="I5657">
        <v>2.3353999999999999</v>
      </c>
      <c r="J5657">
        <v>80921.61</v>
      </c>
      <c r="K5657">
        <v>34650</v>
      </c>
    </row>
    <row r="5658" spans="1:11" x14ac:dyDescent="0.25">
      <c r="A5658" t="s">
        <v>972</v>
      </c>
      <c r="B5658" t="s">
        <v>973</v>
      </c>
      <c r="C5658" s="1">
        <v>41611</v>
      </c>
      <c r="D5658" s="1">
        <v>41614</v>
      </c>
      <c r="E5658">
        <v>19543</v>
      </c>
      <c r="F5658" t="s">
        <v>301</v>
      </c>
      <c r="G5658" t="s">
        <v>16</v>
      </c>
      <c r="H5658" t="s">
        <v>4271</v>
      </c>
      <c r="I5658">
        <v>2.3449</v>
      </c>
      <c r="J5658">
        <v>84500</v>
      </c>
      <c r="K5658">
        <v>36035.651840163759</v>
      </c>
    </row>
    <row r="5659" spans="1:11" x14ac:dyDescent="0.25">
      <c r="A5659" t="s">
        <v>2029</v>
      </c>
      <c r="B5659" t="s">
        <v>2030</v>
      </c>
      <c r="C5659" s="1">
        <v>41627</v>
      </c>
      <c r="D5659" s="1">
        <v>41648</v>
      </c>
      <c r="E5659">
        <v>19678</v>
      </c>
      <c r="F5659" t="s">
        <v>309</v>
      </c>
      <c r="G5659" t="s">
        <v>16</v>
      </c>
      <c r="H5659" t="s">
        <v>4272</v>
      </c>
      <c r="I5659">
        <v>2.3273999999999999</v>
      </c>
      <c r="J5659">
        <v>50439.51</v>
      </c>
      <c r="K5659">
        <v>21672.041763341069</v>
      </c>
    </row>
    <row r="5660" spans="1:11" x14ac:dyDescent="0.25">
      <c r="A5660" t="s">
        <v>2510</v>
      </c>
      <c r="B5660" t="s">
        <v>144</v>
      </c>
      <c r="C5660" s="1">
        <v>41621</v>
      </c>
      <c r="D5660" s="1">
        <v>41634</v>
      </c>
      <c r="E5660">
        <v>19302</v>
      </c>
      <c r="F5660" t="s">
        <v>370</v>
      </c>
      <c r="G5660" t="s">
        <v>16</v>
      </c>
      <c r="H5660" t="s">
        <v>4273</v>
      </c>
      <c r="I5660">
        <v>2.3338000000000001</v>
      </c>
      <c r="J5660">
        <v>323464.68</v>
      </c>
      <c r="K5660">
        <v>138600</v>
      </c>
    </row>
    <row r="5661" spans="1:11" x14ac:dyDescent="0.25">
      <c r="A5661" t="s">
        <v>972</v>
      </c>
      <c r="B5661" t="s">
        <v>973</v>
      </c>
      <c r="C5661" s="1">
        <v>41618</v>
      </c>
      <c r="D5661" s="1">
        <v>41624</v>
      </c>
      <c r="E5661">
        <v>19543</v>
      </c>
      <c r="F5661" t="s">
        <v>301</v>
      </c>
      <c r="G5661" t="s">
        <v>16</v>
      </c>
      <c r="H5661" t="s">
        <v>4274</v>
      </c>
      <c r="I5661">
        <v>2.3224999999999998</v>
      </c>
      <c r="J5661">
        <v>192125</v>
      </c>
      <c r="K5661">
        <v>82723.358449946172</v>
      </c>
    </row>
    <row r="5662" spans="1:11" x14ac:dyDescent="0.25">
      <c r="A5662" t="s">
        <v>972</v>
      </c>
      <c r="B5662" t="s">
        <v>973</v>
      </c>
      <c r="C5662" s="1">
        <v>41646</v>
      </c>
      <c r="D5662" s="1">
        <v>41649</v>
      </c>
      <c r="E5662">
        <v>19543</v>
      </c>
      <c r="F5662" t="s">
        <v>675</v>
      </c>
      <c r="G5662" t="s">
        <v>16</v>
      </c>
      <c r="H5662" t="s">
        <v>4275</v>
      </c>
      <c r="I5662">
        <v>2.3788999999999998</v>
      </c>
      <c r="J5662">
        <v>238799.2</v>
      </c>
      <c r="K5662">
        <v>100382.19345075455</v>
      </c>
    </row>
    <row r="5663" spans="1:11" x14ac:dyDescent="0.25">
      <c r="A5663" t="s">
        <v>1009</v>
      </c>
      <c r="B5663" t="s">
        <v>1010</v>
      </c>
      <c r="C5663" s="1">
        <v>41677</v>
      </c>
      <c r="D5663" s="1">
        <v>41684</v>
      </c>
      <c r="E5663">
        <v>21373</v>
      </c>
      <c r="F5663" t="s">
        <v>331</v>
      </c>
      <c r="G5663" t="s">
        <v>16</v>
      </c>
      <c r="H5663" t="s">
        <v>4276</v>
      </c>
      <c r="I5663">
        <v>2.4041000000000001</v>
      </c>
      <c r="J5663">
        <v>31568.080000000002</v>
      </c>
      <c r="K5663">
        <v>13130.934653300612</v>
      </c>
    </row>
    <row r="5664" spans="1:11" x14ac:dyDescent="0.25">
      <c r="A5664" t="s">
        <v>1582</v>
      </c>
      <c r="B5664" t="s">
        <v>1583</v>
      </c>
      <c r="C5664" s="1">
        <v>41653</v>
      </c>
      <c r="D5664" s="1">
        <v>41656</v>
      </c>
      <c r="E5664">
        <v>20372</v>
      </c>
      <c r="F5664" t="s">
        <v>309</v>
      </c>
      <c r="G5664" t="s">
        <v>16</v>
      </c>
      <c r="H5664" t="s">
        <v>7449</v>
      </c>
      <c r="I5664">
        <v>2.3491</v>
      </c>
      <c r="J5664">
        <v>25228.75</v>
      </c>
      <c r="K5664">
        <v>10739.751394150951</v>
      </c>
    </row>
    <row r="5665" spans="1:11" x14ac:dyDescent="0.25">
      <c r="A5665" t="s">
        <v>1582</v>
      </c>
      <c r="B5665" t="s">
        <v>1583</v>
      </c>
      <c r="C5665" s="1">
        <v>41653</v>
      </c>
      <c r="D5665" s="1">
        <v>41656</v>
      </c>
      <c r="E5665">
        <v>20372</v>
      </c>
      <c r="F5665" t="s">
        <v>309</v>
      </c>
      <c r="G5665" t="s">
        <v>16</v>
      </c>
      <c r="H5665" t="s">
        <v>4277</v>
      </c>
      <c r="I5665">
        <v>2.3491</v>
      </c>
      <c r="J5665">
        <v>24944.36</v>
      </c>
      <c r="K5665">
        <v>10618.688008173343</v>
      </c>
    </row>
    <row r="5666" spans="1:11" x14ac:dyDescent="0.25">
      <c r="A5666" t="s">
        <v>1582</v>
      </c>
      <c r="B5666" t="s">
        <v>1583</v>
      </c>
      <c r="C5666" s="1">
        <v>41654</v>
      </c>
      <c r="D5666" s="1">
        <v>41656</v>
      </c>
      <c r="E5666">
        <v>20372</v>
      </c>
      <c r="F5666" t="s">
        <v>309</v>
      </c>
      <c r="G5666" t="s">
        <v>16</v>
      </c>
      <c r="H5666" t="s">
        <v>4278</v>
      </c>
      <c r="I5666">
        <v>2.3616999999999999</v>
      </c>
      <c r="J5666">
        <v>25574.07</v>
      </c>
      <c r="K5666">
        <v>10828.670025828853</v>
      </c>
    </row>
    <row r="5667" spans="1:11" x14ac:dyDescent="0.25">
      <c r="A5667" t="s">
        <v>1601</v>
      </c>
      <c r="B5667" t="s">
        <v>1602</v>
      </c>
      <c r="C5667" s="1">
        <v>41682</v>
      </c>
      <c r="D5667" s="1">
        <v>41685</v>
      </c>
      <c r="E5667">
        <v>21474</v>
      </c>
      <c r="F5667" t="s">
        <v>301</v>
      </c>
      <c r="G5667" t="s">
        <v>16</v>
      </c>
      <c r="H5667" t="s">
        <v>4279</v>
      </c>
      <c r="I5667">
        <v>2.4085999999999999</v>
      </c>
      <c r="J5667">
        <v>492377.59999999998</v>
      </c>
      <c r="K5667">
        <v>204424.81109358135</v>
      </c>
    </row>
    <row r="5668" spans="1:11" x14ac:dyDescent="0.25">
      <c r="A5668" t="s">
        <v>7450</v>
      </c>
      <c r="B5668" t="s">
        <v>7451</v>
      </c>
      <c r="C5668" s="1">
        <v>41683</v>
      </c>
      <c r="D5668" s="1">
        <v>41685</v>
      </c>
      <c r="E5668">
        <v>21545</v>
      </c>
      <c r="F5668" t="s">
        <v>278</v>
      </c>
      <c r="G5668" t="s">
        <v>16</v>
      </c>
      <c r="H5668" t="s">
        <v>7452</v>
      </c>
      <c r="I5668">
        <v>2.4085999999999999</v>
      </c>
      <c r="J5668">
        <v>298450</v>
      </c>
      <c r="K5668">
        <v>123910.15527692436</v>
      </c>
    </row>
    <row r="5669" spans="1:11" x14ac:dyDescent="0.25">
      <c r="A5669" t="s">
        <v>4280</v>
      </c>
      <c r="B5669" t="s">
        <v>297</v>
      </c>
      <c r="C5669" s="1">
        <v>41670</v>
      </c>
      <c r="D5669" s="1">
        <v>41685</v>
      </c>
      <c r="E5669">
        <v>21169</v>
      </c>
      <c r="F5669" t="s">
        <v>402</v>
      </c>
      <c r="G5669" t="s">
        <v>16</v>
      </c>
      <c r="H5669" t="s">
        <v>4281</v>
      </c>
      <c r="I5669">
        <v>2.4224000000000001</v>
      </c>
      <c r="J5669">
        <v>147524.16</v>
      </c>
      <c r="K5669">
        <v>60900</v>
      </c>
    </row>
    <row r="5670" spans="1:11" x14ac:dyDescent="0.25">
      <c r="A5670" t="s">
        <v>979</v>
      </c>
      <c r="B5670" t="s">
        <v>980</v>
      </c>
      <c r="C5670" s="1">
        <v>41661</v>
      </c>
      <c r="D5670" s="1">
        <v>41670</v>
      </c>
      <c r="E5670">
        <v>20659</v>
      </c>
      <c r="F5670" t="s">
        <v>887</v>
      </c>
      <c r="G5670" t="s">
        <v>16</v>
      </c>
      <c r="H5670" t="s">
        <v>7453</v>
      </c>
      <c r="I5670">
        <v>2.3607999999999998</v>
      </c>
      <c r="J5670">
        <v>38080.65</v>
      </c>
      <c r="K5670">
        <v>16130.400711623179</v>
      </c>
    </row>
    <row r="5671" spans="1:11" x14ac:dyDescent="0.25">
      <c r="A5671" t="s">
        <v>982</v>
      </c>
      <c r="B5671" t="s">
        <v>983</v>
      </c>
      <c r="C5671" s="1">
        <v>41657</v>
      </c>
      <c r="D5671" s="1">
        <v>41661</v>
      </c>
      <c r="E5671">
        <v>20657</v>
      </c>
      <c r="F5671" t="s">
        <v>887</v>
      </c>
      <c r="G5671" t="s">
        <v>16</v>
      </c>
      <c r="H5671" t="s">
        <v>7454</v>
      </c>
      <c r="I5671">
        <v>2.3601000000000001</v>
      </c>
      <c r="J5671">
        <v>64461.41</v>
      </c>
      <c r="K5671">
        <v>27312.999449175881</v>
      </c>
    </row>
    <row r="5672" spans="1:11" x14ac:dyDescent="0.25">
      <c r="A5672" t="s">
        <v>982</v>
      </c>
      <c r="B5672" t="s">
        <v>983</v>
      </c>
      <c r="C5672" s="1">
        <v>41657</v>
      </c>
      <c r="D5672" s="1">
        <v>41661</v>
      </c>
      <c r="E5672">
        <v>20657</v>
      </c>
      <c r="F5672" t="s">
        <v>887</v>
      </c>
      <c r="G5672" t="s">
        <v>16</v>
      </c>
      <c r="H5672" t="s">
        <v>7455</v>
      </c>
      <c r="I5672">
        <v>2.3601000000000001</v>
      </c>
      <c r="J5672">
        <v>64928.71</v>
      </c>
      <c r="K5672">
        <v>27510.999533918053</v>
      </c>
    </row>
    <row r="5673" spans="1:11" x14ac:dyDescent="0.25">
      <c r="A5673" t="s">
        <v>986</v>
      </c>
      <c r="B5673" t="s">
        <v>987</v>
      </c>
      <c r="C5673" s="1">
        <v>41659</v>
      </c>
      <c r="D5673" s="1">
        <v>41666</v>
      </c>
      <c r="E5673">
        <v>20371</v>
      </c>
      <c r="F5673" t="s">
        <v>887</v>
      </c>
      <c r="G5673" t="s">
        <v>16</v>
      </c>
      <c r="H5673" t="s">
        <v>7456</v>
      </c>
      <c r="I5673">
        <v>2.3601000000000001</v>
      </c>
      <c r="J5673">
        <v>37742.959999999999</v>
      </c>
      <c r="K5673">
        <v>15992.102029575019</v>
      </c>
    </row>
    <row r="5674" spans="1:11" x14ac:dyDescent="0.25">
      <c r="A5674" t="s">
        <v>4282</v>
      </c>
      <c r="B5674" t="s">
        <v>144</v>
      </c>
      <c r="C5674" s="1">
        <v>41661</v>
      </c>
      <c r="D5674" s="1">
        <v>41667</v>
      </c>
      <c r="E5674">
        <v>21075</v>
      </c>
      <c r="F5674" t="s">
        <v>311</v>
      </c>
      <c r="G5674" t="s">
        <v>16</v>
      </c>
      <c r="H5674" t="s">
        <v>4283</v>
      </c>
      <c r="I5674">
        <v>2.3607999999999998</v>
      </c>
      <c r="J5674">
        <v>339868.8</v>
      </c>
      <c r="K5674">
        <v>143963.40223653</v>
      </c>
    </row>
    <row r="5675" spans="1:11" x14ac:dyDescent="0.25">
      <c r="A5675" t="s">
        <v>1582</v>
      </c>
      <c r="B5675" t="s">
        <v>1583</v>
      </c>
      <c r="C5675" s="1">
        <v>41655</v>
      </c>
      <c r="D5675" s="1">
        <v>41659</v>
      </c>
      <c r="E5675">
        <v>20372</v>
      </c>
      <c r="F5675" t="s">
        <v>309</v>
      </c>
      <c r="G5675" t="s">
        <v>16</v>
      </c>
      <c r="H5675" t="s">
        <v>7457</v>
      </c>
      <c r="I5675">
        <v>2.347</v>
      </c>
      <c r="J5675">
        <v>31505.46</v>
      </c>
      <c r="K5675">
        <v>13423.715381337877</v>
      </c>
    </row>
    <row r="5676" spans="1:11" x14ac:dyDescent="0.25">
      <c r="A5676" t="s">
        <v>972</v>
      </c>
      <c r="B5676" t="s">
        <v>973</v>
      </c>
      <c r="C5676" s="1">
        <v>41646</v>
      </c>
      <c r="D5676" s="1">
        <v>41649</v>
      </c>
      <c r="E5676">
        <v>19543</v>
      </c>
      <c r="F5676" t="s">
        <v>675</v>
      </c>
      <c r="G5676" t="s">
        <v>16</v>
      </c>
      <c r="H5676" t="s">
        <v>4284</v>
      </c>
      <c r="I5676">
        <v>2.3788999999999998</v>
      </c>
      <c r="J5676">
        <v>242650.8</v>
      </c>
      <c r="K5676">
        <v>102001.26108705705</v>
      </c>
    </row>
    <row r="5677" spans="1:11" x14ac:dyDescent="0.25">
      <c r="A5677" t="s">
        <v>976</v>
      </c>
      <c r="B5677" t="s">
        <v>977</v>
      </c>
      <c r="C5677" s="1">
        <v>41681</v>
      </c>
      <c r="D5677" s="1">
        <v>41684</v>
      </c>
      <c r="E5677">
        <v>20661</v>
      </c>
      <c r="F5677" t="s">
        <v>309</v>
      </c>
      <c r="G5677" t="s">
        <v>16</v>
      </c>
      <c r="H5677" t="s">
        <v>6947</v>
      </c>
      <c r="I5677">
        <v>2.3936000000000002</v>
      </c>
      <c r="J5677">
        <v>25018.85</v>
      </c>
      <c r="K5677">
        <v>10452.39388368984</v>
      </c>
    </row>
    <row r="5678" spans="1:11" x14ac:dyDescent="0.25">
      <c r="A5678" t="s">
        <v>4285</v>
      </c>
      <c r="B5678" t="s">
        <v>4286</v>
      </c>
      <c r="C5678" s="1">
        <v>41628</v>
      </c>
      <c r="D5678" s="1">
        <v>41654</v>
      </c>
      <c r="E5678">
        <v>20480</v>
      </c>
      <c r="F5678" t="s">
        <v>318</v>
      </c>
      <c r="G5678" t="s">
        <v>16</v>
      </c>
      <c r="H5678" t="s">
        <v>3494</v>
      </c>
      <c r="I5678">
        <v>2.3527999999999998</v>
      </c>
      <c r="J5678">
        <v>130144.85</v>
      </c>
      <c r="K5678">
        <v>55314.880142808572</v>
      </c>
    </row>
    <row r="5679" spans="1:11" x14ac:dyDescent="0.25">
      <c r="A5679" t="s">
        <v>976</v>
      </c>
      <c r="B5679" t="s">
        <v>977</v>
      </c>
      <c r="C5679" s="1">
        <v>41675</v>
      </c>
      <c r="D5679" s="1">
        <v>41684</v>
      </c>
      <c r="E5679">
        <v>20661</v>
      </c>
      <c r="F5679" t="s">
        <v>309</v>
      </c>
      <c r="G5679" t="s">
        <v>16</v>
      </c>
      <c r="H5679" t="s">
        <v>7458</v>
      </c>
      <c r="I5679">
        <v>2.4177</v>
      </c>
      <c r="J5679">
        <v>32372.15</v>
      </c>
      <c r="K5679">
        <v>13389.64718534144</v>
      </c>
    </row>
    <row r="5680" spans="1:11" x14ac:dyDescent="0.25">
      <c r="A5680" t="s">
        <v>2042</v>
      </c>
      <c r="B5680" t="s">
        <v>2043</v>
      </c>
      <c r="C5680" s="1">
        <v>41676</v>
      </c>
      <c r="D5680" s="1">
        <v>41683</v>
      </c>
      <c r="E5680">
        <v>19553</v>
      </c>
      <c r="F5680" t="s">
        <v>301</v>
      </c>
      <c r="G5680" t="s">
        <v>16</v>
      </c>
      <c r="H5680" t="s">
        <v>7459</v>
      </c>
      <c r="I5680">
        <v>2.4106000000000001</v>
      </c>
      <c r="J5680">
        <v>19061.990000000002</v>
      </c>
      <c r="K5680">
        <v>7907.5707292790175</v>
      </c>
    </row>
    <row r="5681" spans="1:11" x14ac:dyDescent="0.25">
      <c r="A5681" t="s">
        <v>986</v>
      </c>
      <c r="B5681" t="s">
        <v>987</v>
      </c>
      <c r="C5681" s="1">
        <v>41667</v>
      </c>
      <c r="D5681" s="1">
        <v>41684</v>
      </c>
      <c r="E5681">
        <v>20371</v>
      </c>
      <c r="F5681" t="s">
        <v>887</v>
      </c>
      <c r="G5681" t="s">
        <v>16</v>
      </c>
      <c r="H5681" t="s">
        <v>7460</v>
      </c>
      <c r="I5681">
        <v>2.4043999999999999</v>
      </c>
      <c r="J5681">
        <v>38392.5</v>
      </c>
      <c r="K5681">
        <v>15967.60106471469</v>
      </c>
    </row>
    <row r="5682" spans="1:11" x14ac:dyDescent="0.25">
      <c r="A5682" t="s">
        <v>976</v>
      </c>
      <c r="B5682" t="s">
        <v>977</v>
      </c>
      <c r="C5682" s="1">
        <v>41655</v>
      </c>
      <c r="D5682" s="1">
        <v>41660</v>
      </c>
      <c r="E5682">
        <v>20661</v>
      </c>
      <c r="F5682" t="s">
        <v>309</v>
      </c>
      <c r="G5682" t="s">
        <v>16</v>
      </c>
      <c r="H5682" t="s">
        <v>4287</v>
      </c>
      <c r="I5682">
        <v>2.347</v>
      </c>
      <c r="J5682">
        <v>17428.55</v>
      </c>
      <c r="K5682">
        <v>7425.8841073711119</v>
      </c>
    </row>
    <row r="5683" spans="1:11" x14ac:dyDescent="0.25">
      <c r="A5683" t="s">
        <v>976</v>
      </c>
      <c r="B5683" t="s">
        <v>977</v>
      </c>
      <c r="C5683" s="1">
        <v>41656</v>
      </c>
      <c r="D5683" s="1">
        <v>41660</v>
      </c>
      <c r="E5683">
        <v>20661</v>
      </c>
      <c r="F5683" t="s">
        <v>309</v>
      </c>
      <c r="G5683" t="s">
        <v>16</v>
      </c>
      <c r="H5683" t="s">
        <v>4288</v>
      </c>
      <c r="I5683">
        <v>2.3683000000000001</v>
      </c>
      <c r="J5683">
        <v>25526.67</v>
      </c>
      <c r="K5683">
        <v>10778.478233331925</v>
      </c>
    </row>
    <row r="5684" spans="1:11" x14ac:dyDescent="0.25">
      <c r="A5684" t="s">
        <v>976</v>
      </c>
      <c r="B5684" t="s">
        <v>977</v>
      </c>
      <c r="C5684" s="1">
        <v>41656</v>
      </c>
      <c r="D5684" s="1">
        <v>41660</v>
      </c>
      <c r="E5684">
        <v>20661</v>
      </c>
      <c r="F5684" t="s">
        <v>309</v>
      </c>
      <c r="G5684" t="s">
        <v>16</v>
      </c>
      <c r="H5684" t="s">
        <v>4289</v>
      </c>
      <c r="I5684">
        <v>2.3683000000000001</v>
      </c>
      <c r="J5684">
        <v>33286.239999999998</v>
      </c>
      <c r="K5684">
        <v>14054.908584216526</v>
      </c>
    </row>
    <row r="5685" spans="1:11" x14ac:dyDescent="0.25">
      <c r="A5685" t="s">
        <v>993</v>
      </c>
      <c r="B5685" t="s">
        <v>994</v>
      </c>
      <c r="C5685" s="1">
        <v>41650</v>
      </c>
      <c r="D5685" s="1">
        <v>41655</v>
      </c>
      <c r="E5685">
        <v>20658</v>
      </c>
      <c r="F5685" t="s">
        <v>887</v>
      </c>
      <c r="G5685" t="s">
        <v>16</v>
      </c>
      <c r="H5685" t="s">
        <v>4290</v>
      </c>
      <c r="I5685">
        <v>2.3818999999999999</v>
      </c>
      <c r="J5685">
        <v>66890.899999999994</v>
      </c>
      <c r="K5685">
        <v>28083.000965615684</v>
      </c>
    </row>
    <row r="5686" spans="1:11" x14ac:dyDescent="0.25">
      <c r="A5686" t="s">
        <v>1020</v>
      </c>
      <c r="B5686" t="s">
        <v>1021</v>
      </c>
      <c r="C5686" s="1">
        <v>41646</v>
      </c>
      <c r="D5686" s="1">
        <v>41649</v>
      </c>
      <c r="E5686">
        <v>19971</v>
      </c>
      <c r="F5686" t="s">
        <v>309</v>
      </c>
      <c r="G5686" t="s">
        <v>16</v>
      </c>
      <c r="H5686" t="s">
        <v>4291</v>
      </c>
      <c r="I5686">
        <v>2.3788999999999998</v>
      </c>
      <c r="J5686">
        <v>68161.5</v>
      </c>
      <c r="K5686">
        <v>28652.528479549372</v>
      </c>
    </row>
    <row r="5687" spans="1:11" x14ac:dyDescent="0.25">
      <c r="A5687" t="s">
        <v>1582</v>
      </c>
      <c r="B5687" t="s">
        <v>1583</v>
      </c>
      <c r="C5687" s="1">
        <v>41654</v>
      </c>
      <c r="D5687" s="1">
        <v>41656</v>
      </c>
      <c r="E5687">
        <v>20372</v>
      </c>
      <c r="F5687" t="s">
        <v>309</v>
      </c>
      <c r="G5687" t="s">
        <v>16</v>
      </c>
      <c r="H5687" t="s">
        <v>4292</v>
      </c>
      <c r="I5687">
        <v>2.3616999999999999</v>
      </c>
      <c r="J5687">
        <v>3493.84</v>
      </c>
      <c r="K5687">
        <v>1479.3750264639878</v>
      </c>
    </row>
    <row r="5688" spans="1:11" x14ac:dyDescent="0.25">
      <c r="A5688" t="s">
        <v>1582</v>
      </c>
      <c r="B5688" t="s">
        <v>1583</v>
      </c>
      <c r="C5688" s="1">
        <v>41653</v>
      </c>
      <c r="D5688" s="1">
        <v>41656</v>
      </c>
      <c r="E5688">
        <v>20372</v>
      </c>
      <c r="F5688" t="s">
        <v>309</v>
      </c>
      <c r="G5688" t="s">
        <v>16</v>
      </c>
      <c r="H5688" t="s">
        <v>7461</v>
      </c>
      <c r="I5688">
        <v>2.3491</v>
      </c>
      <c r="J5688">
        <v>34207.089999999997</v>
      </c>
      <c r="K5688">
        <v>14561.785364607722</v>
      </c>
    </row>
    <row r="5689" spans="1:11" x14ac:dyDescent="0.25">
      <c r="A5689" t="s">
        <v>1582</v>
      </c>
      <c r="B5689" t="s">
        <v>1583</v>
      </c>
      <c r="C5689" s="1">
        <v>41653</v>
      </c>
      <c r="D5689" s="1">
        <v>41656</v>
      </c>
      <c r="E5689">
        <v>20372</v>
      </c>
      <c r="F5689" t="s">
        <v>309</v>
      </c>
      <c r="G5689" t="s">
        <v>16</v>
      </c>
      <c r="H5689" t="s">
        <v>7462</v>
      </c>
      <c r="I5689">
        <v>2.3491</v>
      </c>
      <c r="J5689">
        <v>25628.240000000002</v>
      </c>
      <c r="K5689">
        <v>10909.812268528372</v>
      </c>
    </row>
    <row r="5690" spans="1:11" x14ac:dyDescent="0.25">
      <c r="A5690" t="s">
        <v>1009</v>
      </c>
      <c r="B5690" t="s">
        <v>1010</v>
      </c>
      <c r="C5690" s="1">
        <v>41674</v>
      </c>
      <c r="D5690" s="1">
        <v>41679</v>
      </c>
      <c r="E5690">
        <v>21373</v>
      </c>
      <c r="F5690" t="s">
        <v>331</v>
      </c>
      <c r="G5690" t="s">
        <v>16</v>
      </c>
      <c r="H5690" t="s">
        <v>4293</v>
      </c>
      <c r="I5690">
        <v>2.4089999999999998</v>
      </c>
      <c r="J5690">
        <v>31744.44</v>
      </c>
      <c r="K5690">
        <v>13177.434620174346</v>
      </c>
    </row>
    <row r="5691" spans="1:11" x14ac:dyDescent="0.25">
      <c r="A5691" t="s">
        <v>976</v>
      </c>
      <c r="B5691" t="s">
        <v>977</v>
      </c>
      <c r="C5691" s="1">
        <v>41655</v>
      </c>
      <c r="D5691" s="1">
        <v>41657</v>
      </c>
      <c r="E5691">
        <v>20661</v>
      </c>
      <c r="F5691" t="s">
        <v>309</v>
      </c>
      <c r="G5691" t="s">
        <v>16</v>
      </c>
      <c r="H5691" t="s">
        <v>7463</v>
      </c>
      <c r="I5691">
        <v>2.347</v>
      </c>
      <c r="J5691">
        <v>31762.76</v>
      </c>
      <c r="K5691">
        <v>13533.344695355774</v>
      </c>
    </row>
    <row r="5692" spans="1:11" x14ac:dyDescent="0.25">
      <c r="A5692" t="s">
        <v>1009</v>
      </c>
      <c r="B5692" t="s">
        <v>1010</v>
      </c>
      <c r="C5692" s="1">
        <v>41674</v>
      </c>
      <c r="D5692" s="1">
        <v>41677</v>
      </c>
      <c r="E5692">
        <v>21373</v>
      </c>
      <c r="F5692" t="s">
        <v>331</v>
      </c>
      <c r="G5692" t="s">
        <v>16</v>
      </c>
      <c r="H5692" t="s">
        <v>4294</v>
      </c>
      <c r="I5692">
        <v>2.4089999999999998</v>
      </c>
      <c r="J5692">
        <v>31215.37</v>
      </c>
      <c r="K5692">
        <v>12957.812370278123</v>
      </c>
    </row>
    <row r="5693" spans="1:11" x14ac:dyDescent="0.25">
      <c r="A5693" t="s">
        <v>1009</v>
      </c>
      <c r="B5693" t="s">
        <v>1010</v>
      </c>
      <c r="C5693" s="1">
        <v>41674</v>
      </c>
      <c r="D5693" s="1">
        <v>41677</v>
      </c>
      <c r="E5693">
        <v>21373</v>
      </c>
      <c r="F5693" t="s">
        <v>331</v>
      </c>
      <c r="G5693" t="s">
        <v>16</v>
      </c>
      <c r="H5693" t="s">
        <v>4295</v>
      </c>
      <c r="I5693">
        <v>2.4089999999999998</v>
      </c>
      <c r="J5693">
        <v>30341.97</v>
      </c>
      <c r="K5693">
        <v>12595.255292652553</v>
      </c>
    </row>
    <row r="5694" spans="1:11" x14ac:dyDescent="0.25">
      <c r="A5694" t="s">
        <v>1009</v>
      </c>
      <c r="B5694" t="s">
        <v>1010</v>
      </c>
      <c r="C5694" s="1">
        <v>41674</v>
      </c>
      <c r="D5694" s="1">
        <v>41680</v>
      </c>
      <c r="E5694">
        <v>21373</v>
      </c>
      <c r="F5694" t="s">
        <v>331</v>
      </c>
      <c r="G5694" t="s">
        <v>16</v>
      </c>
      <c r="H5694" t="s">
        <v>4296</v>
      </c>
      <c r="I5694">
        <v>2.4089999999999998</v>
      </c>
      <c r="J5694">
        <v>31131.39</v>
      </c>
      <c r="K5694">
        <v>12922.951432129514</v>
      </c>
    </row>
    <row r="5695" spans="1:11" x14ac:dyDescent="0.25">
      <c r="A5695" t="s">
        <v>976</v>
      </c>
      <c r="B5695" t="s">
        <v>977</v>
      </c>
      <c r="C5695" s="1">
        <v>41678</v>
      </c>
      <c r="D5695" s="1">
        <v>41681</v>
      </c>
      <c r="E5695">
        <v>20661</v>
      </c>
      <c r="F5695" t="s">
        <v>309</v>
      </c>
      <c r="G5695" t="s">
        <v>16</v>
      </c>
      <c r="H5695" t="s">
        <v>4297</v>
      </c>
      <c r="I5695">
        <v>2.3816999999999999</v>
      </c>
      <c r="J5695">
        <v>25174.58</v>
      </c>
      <c r="K5695">
        <v>10570.004618549776</v>
      </c>
    </row>
    <row r="5696" spans="1:11" x14ac:dyDescent="0.25">
      <c r="A5696" t="s">
        <v>1020</v>
      </c>
      <c r="B5696" t="s">
        <v>1021</v>
      </c>
      <c r="C5696" s="1">
        <v>41701</v>
      </c>
      <c r="D5696" s="1">
        <v>41705</v>
      </c>
      <c r="E5696">
        <v>19971</v>
      </c>
      <c r="F5696" t="s">
        <v>309</v>
      </c>
      <c r="G5696" t="s">
        <v>16</v>
      </c>
      <c r="H5696" t="s">
        <v>7464</v>
      </c>
      <c r="I5696">
        <v>2.3334000000000001</v>
      </c>
      <c r="J5696">
        <v>50439.51</v>
      </c>
      <c r="K5696">
        <v>21616.315248135768</v>
      </c>
    </row>
    <row r="5697" spans="1:11" x14ac:dyDescent="0.25">
      <c r="A5697" t="s">
        <v>1020</v>
      </c>
      <c r="B5697" t="s">
        <v>1021</v>
      </c>
      <c r="C5697" s="1">
        <v>41701</v>
      </c>
      <c r="D5697" s="1">
        <v>41706</v>
      </c>
      <c r="E5697">
        <v>19971</v>
      </c>
      <c r="F5697" t="s">
        <v>309</v>
      </c>
      <c r="G5697" t="s">
        <v>16</v>
      </c>
      <c r="H5697" t="s">
        <v>4298</v>
      </c>
      <c r="I5697">
        <v>2.3334000000000001</v>
      </c>
      <c r="J5697">
        <v>50439.51</v>
      </c>
      <c r="K5697">
        <v>21616.315248135768</v>
      </c>
    </row>
    <row r="5698" spans="1:11" x14ac:dyDescent="0.25">
      <c r="A5698" t="s">
        <v>976</v>
      </c>
      <c r="B5698" t="s">
        <v>977</v>
      </c>
      <c r="C5698" s="1">
        <v>41689</v>
      </c>
      <c r="D5698" s="1">
        <v>41694</v>
      </c>
      <c r="E5698">
        <v>20661</v>
      </c>
      <c r="F5698" t="s">
        <v>309</v>
      </c>
      <c r="G5698" t="s">
        <v>16</v>
      </c>
      <c r="H5698" t="s">
        <v>7465</v>
      </c>
      <c r="I5698">
        <v>2.3982999999999999</v>
      </c>
      <c r="J5698">
        <v>21491.15</v>
      </c>
      <c r="K5698">
        <v>8960.9932035191596</v>
      </c>
    </row>
    <row r="5699" spans="1:11" x14ac:dyDescent="0.25">
      <c r="A5699" t="s">
        <v>976</v>
      </c>
      <c r="B5699" t="s">
        <v>977</v>
      </c>
      <c r="C5699" s="1">
        <v>41688</v>
      </c>
      <c r="D5699" s="1">
        <v>41694</v>
      </c>
      <c r="E5699">
        <v>20661</v>
      </c>
      <c r="F5699" t="s">
        <v>309</v>
      </c>
      <c r="G5699" t="s">
        <v>16</v>
      </c>
      <c r="H5699" t="s">
        <v>4299</v>
      </c>
      <c r="I5699">
        <v>2.387</v>
      </c>
      <c r="J5699">
        <v>25161.040000000001</v>
      </c>
      <c r="K5699">
        <v>10540.863007959782</v>
      </c>
    </row>
    <row r="5700" spans="1:11" x14ac:dyDescent="0.25">
      <c r="A5700" t="s">
        <v>976</v>
      </c>
      <c r="B5700" t="s">
        <v>977</v>
      </c>
      <c r="C5700" s="1">
        <v>41684</v>
      </c>
      <c r="D5700" s="1">
        <v>41689</v>
      </c>
      <c r="E5700">
        <v>20661</v>
      </c>
      <c r="F5700" t="s">
        <v>309</v>
      </c>
      <c r="G5700" t="s">
        <v>16</v>
      </c>
      <c r="H5700" t="s">
        <v>7466</v>
      </c>
      <c r="I5700">
        <v>2.4238</v>
      </c>
      <c r="J5700">
        <v>21254.17</v>
      </c>
      <c r="K5700">
        <v>8768.9454575460022</v>
      </c>
    </row>
    <row r="5701" spans="1:11" x14ac:dyDescent="0.25">
      <c r="A5701" t="s">
        <v>976</v>
      </c>
      <c r="B5701" t="s">
        <v>977</v>
      </c>
      <c r="C5701" s="1">
        <v>41690</v>
      </c>
      <c r="D5701" s="1">
        <v>41693</v>
      </c>
      <c r="E5701">
        <v>20661</v>
      </c>
      <c r="F5701" t="s">
        <v>309</v>
      </c>
      <c r="G5701" t="s">
        <v>16</v>
      </c>
      <c r="H5701" t="s">
        <v>7467</v>
      </c>
      <c r="I5701">
        <v>2.3986000000000001</v>
      </c>
      <c r="J5701">
        <v>24402.68</v>
      </c>
      <c r="K5701">
        <v>10173.718002167931</v>
      </c>
    </row>
    <row r="5702" spans="1:11" x14ac:dyDescent="0.25">
      <c r="A5702" t="s">
        <v>1024</v>
      </c>
      <c r="B5702" t="s">
        <v>1025</v>
      </c>
      <c r="C5702" s="1">
        <v>41710</v>
      </c>
      <c r="D5702" s="1">
        <v>41714</v>
      </c>
      <c r="E5702">
        <v>1</v>
      </c>
      <c r="F5702" t="s">
        <v>331</v>
      </c>
      <c r="G5702" t="s">
        <v>16</v>
      </c>
      <c r="H5702" t="s">
        <v>7468</v>
      </c>
      <c r="I5702">
        <v>2.3460999999999999</v>
      </c>
      <c r="J5702">
        <v>30526.73</v>
      </c>
      <c r="K5702">
        <v>13011.691743744939</v>
      </c>
    </row>
    <row r="5703" spans="1:11" x14ac:dyDescent="0.25">
      <c r="A5703" t="s">
        <v>976</v>
      </c>
      <c r="B5703" t="s">
        <v>977</v>
      </c>
      <c r="C5703" s="1">
        <v>41709</v>
      </c>
      <c r="D5703" s="1">
        <v>41713</v>
      </c>
      <c r="E5703">
        <v>20661</v>
      </c>
      <c r="F5703" t="s">
        <v>309</v>
      </c>
      <c r="G5703" t="s">
        <v>16</v>
      </c>
      <c r="H5703" t="s">
        <v>4300</v>
      </c>
      <c r="I5703">
        <v>2.3410000000000002</v>
      </c>
      <c r="J5703">
        <v>35683.17</v>
      </c>
      <c r="K5703">
        <v>15242.703972661257</v>
      </c>
    </row>
    <row r="5704" spans="1:11" x14ac:dyDescent="0.25">
      <c r="A5704" t="s">
        <v>976</v>
      </c>
      <c r="B5704" t="s">
        <v>977</v>
      </c>
      <c r="C5704" s="1">
        <v>41713</v>
      </c>
      <c r="D5704" s="1">
        <v>41718</v>
      </c>
      <c r="E5704">
        <v>20661</v>
      </c>
      <c r="F5704" t="s">
        <v>309</v>
      </c>
      <c r="G5704" t="s">
        <v>16</v>
      </c>
      <c r="H5704" t="s">
        <v>4301</v>
      </c>
      <c r="I5704">
        <v>2.3637999999999999</v>
      </c>
      <c r="J5704">
        <v>55251.360000000001</v>
      </c>
      <c r="K5704">
        <v>23373.957187579323</v>
      </c>
    </row>
    <row r="5705" spans="1:11" x14ac:dyDescent="0.25">
      <c r="A5705" t="s">
        <v>976</v>
      </c>
      <c r="B5705" t="s">
        <v>977</v>
      </c>
      <c r="C5705" s="1">
        <v>41712</v>
      </c>
      <c r="D5705" s="1">
        <v>41718</v>
      </c>
      <c r="E5705">
        <v>20661</v>
      </c>
      <c r="F5705" t="s">
        <v>309</v>
      </c>
      <c r="G5705" t="s">
        <v>16</v>
      </c>
      <c r="H5705" t="s">
        <v>4302</v>
      </c>
      <c r="I5705">
        <v>2.3485999999999998</v>
      </c>
      <c r="J5705">
        <v>43740.66</v>
      </c>
      <c r="K5705">
        <v>18624.142042067615</v>
      </c>
    </row>
    <row r="5706" spans="1:11" x14ac:dyDescent="0.25">
      <c r="A5706" t="s">
        <v>976</v>
      </c>
      <c r="B5706" t="s">
        <v>977</v>
      </c>
      <c r="C5706" s="1">
        <v>41715</v>
      </c>
      <c r="D5706" s="1">
        <v>41718</v>
      </c>
      <c r="E5706">
        <v>20661</v>
      </c>
      <c r="F5706" t="s">
        <v>309</v>
      </c>
      <c r="G5706" t="s">
        <v>16</v>
      </c>
      <c r="H5706" t="s">
        <v>4303</v>
      </c>
      <c r="I5706">
        <v>2.3637999999999999</v>
      </c>
      <c r="J5706">
        <v>55251.360000000001</v>
      </c>
      <c r="K5706">
        <v>23373.957187579323</v>
      </c>
    </row>
    <row r="5707" spans="1:11" x14ac:dyDescent="0.25">
      <c r="A5707" t="s">
        <v>976</v>
      </c>
      <c r="B5707" t="s">
        <v>977</v>
      </c>
      <c r="C5707" s="1">
        <v>41675</v>
      </c>
      <c r="D5707" s="1">
        <v>41687</v>
      </c>
      <c r="E5707">
        <v>20661</v>
      </c>
      <c r="F5707" t="s">
        <v>309</v>
      </c>
      <c r="G5707" t="s">
        <v>16</v>
      </c>
      <c r="H5707" t="s">
        <v>7469</v>
      </c>
      <c r="I5707">
        <v>2.4177</v>
      </c>
      <c r="J5707">
        <v>21531.78</v>
      </c>
      <c r="K5707">
        <v>8905.8940315175587</v>
      </c>
    </row>
    <row r="5708" spans="1:11" x14ac:dyDescent="0.25">
      <c r="A5708" t="s">
        <v>976</v>
      </c>
      <c r="B5708" t="s">
        <v>977</v>
      </c>
      <c r="C5708" s="1">
        <v>41687</v>
      </c>
      <c r="D5708" s="1">
        <v>41695</v>
      </c>
      <c r="E5708">
        <v>20661</v>
      </c>
      <c r="F5708" t="s">
        <v>309</v>
      </c>
      <c r="G5708" t="s">
        <v>16</v>
      </c>
      <c r="H5708" t="s">
        <v>4304</v>
      </c>
      <c r="I5708">
        <v>2.3923999999999999</v>
      </c>
      <c r="J5708">
        <v>34024.28</v>
      </c>
      <c r="K5708">
        <v>14221.819093797023</v>
      </c>
    </row>
    <row r="5709" spans="1:11" x14ac:dyDescent="0.25">
      <c r="A5709" t="s">
        <v>976</v>
      </c>
      <c r="B5709" t="s">
        <v>977</v>
      </c>
      <c r="C5709" s="1">
        <v>41714</v>
      </c>
      <c r="D5709" s="1">
        <v>41716</v>
      </c>
      <c r="E5709">
        <v>20661</v>
      </c>
      <c r="F5709" t="s">
        <v>309</v>
      </c>
      <c r="G5709" t="s">
        <v>16</v>
      </c>
      <c r="H5709" t="s">
        <v>4305</v>
      </c>
      <c r="I5709">
        <v>2.3637999999999999</v>
      </c>
      <c r="J5709">
        <v>42589.59</v>
      </c>
      <c r="K5709">
        <v>18017.425332092393</v>
      </c>
    </row>
    <row r="5710" spans="1:11" x14ac:dyDescent="0.25">
      <c r="A5710" t="s">
        <v>976</v>
      </c>
      <c r="B5710" t="s">
        <v>977</v>
      </c>
      <c r="C5710" s="1">
        <v>41713</v>
      </c>
      <c r="D5710" s="1">
        <v>41716</v>
      </c>
      <c r="E5710">
        <v>20661</v>
      </c>
      <c r="F5710" t="s">
        <v>309</v>
      </c>
      <c r="G5710" t="s">
        <v>16</v>
      </c>
      <c r="H5710" t="s">
        <v>7470</v>
      </c>
      <c r="I5710">
        <v>2.3637999999999999</v>
      </c>
      <c r="J5710">
        <v>42589.59</v>
      </c>
      <c r="K5710">
        <v>18017.425332092393</v>
      </c>
    </row>
    <row r="5711" spans="1:11" x14ac:dyDescent="0.25">
      <c r="A5711" t="s">
        <v>976</v>
      </c>
      <c r="B5711" t="s">
        <v>977</v>
      </c>
      <c r="C5711" s="1">
        <v>41690</v>
      </c>
      <c r="D5711" s="1">
        <v>41695</v>
      </c>
      <c r="E5711">
        <v>20661</v>
      </c>
      <c r="F5711" t="s">
        <v>309</v>
      </c>
      <c r="G5711" t="s">
        <v>16</v>
      </c>
      <c r="H5711" t="s">
        <v>7471</v>
      </c>
      <c r="I5711">
        <v>2.3986000000000001</v>
      </c>
      <c r="J5711">
        <v>33509.68</v>
      </c>
      <c r="K5711">
        <v>13970.51613441174</v>
      </c>
    </row>
    <row r="5712" spans="1:11" x14ac:dyDescent="0.25">
      <c r="A5712" t="s">
        <v>1582</v>
      </c>
      <c r="B5712" t="s">
        <v>1583</v>
      </c>
      <c r="C5712" s="1">
        <v>41702</v>
      </c>
      <c r="D5712" s="1">
        <v>41712</v>
      </c>
      <c r="E5712">
        <v>20372</v>
      </c>
      <c r="F5712" t="s">
        <v>309</v>
      </c>
      <c r="G5712" t="s">
        <v>16</v>
      </c>
      <c r="H5712" t="s">
        <v>4306</v>
      </c>
      <c r="I5712">
        <v>2.3334000000000001</v>
      </c>
      <c r="J5712">
        <v>55251.360000000001</v>
      </c>
      <c r="K5712">
        <v>23678.47775777835</v>
      </c>
    </row>
    <row r="5713" spans="1:11" x14ac:dyDescent="0.25">
      <c r="A5713" t="s">
        <v>1582</v>
      </c>
      <c r="B5713" t="s">
        <v>1583</v>
      </c>
      <c r="C5713" s="1">
        <v>41704</v>
      </c>
      <c r="D5713" s="1">
        <v>41712</v>
      </c>
      <c r="E5713">
        <v>20372</v>
      </c>
      <c r="F5713" t="s">
        <v>309</v>
      </c>
      <c r="G5713" t="s">
        <v>16</v>
      </c>
      <c r="H5713" t="s">
        <v>7472</v>
      </c>
      <c r="I5713">
        <v>2.3239999999999998</v>
      </c>
      <c r="J5713">
        <v>55251.360000000001</v>
      </c>
      <c r="K5713">
        <v>23774.251290877797</v>
      </c>
    </row>
    <row r="5714" spans="1:11" x14ac:dyDescent="0.25">
      <c r="A5714" t="s">
        <v>1582</v>
      </c>
      <c r="B5714" t="s">
        <v>1583</v>
      </c>
      <c r="C5714" s="1">
        <v>41704</v>
      </c>
      <c r="D5714" s="1">
        <v>41712</v>
      </c>
      <c r="E5714">
        <v>20372</v>
      </c>
      <c r="F5714" t="s">
        <v>309</v>
      </c>
      <c r="G5714" t="s">
        <v>16</v>
      </c>
      <c r="H5714" t="s">
        <v>4307</v>
      </c>
      <c r="I5714">
        <v>2.3239999999999998</v>
      </c>
      <c r="J5714">
        <v>42589.59</v>
      </c>
      <c r="K5714">
        <v>18325.985370051636</v>
      </c>
    </row>
    <row r="5715" spans="1:11" x14ac:dyDescent="0.25">
      <c r="A5715" t="s">
        <v>1582</v>
      </c>
      <c r="B5715" t="s">
        <v>1583</v>
      </c>
      <c r="C5715" s="1">
        <v>41704</v>
      </c>
      <c r="D5715" s="1">
        <v>41712</v>
      </c>
      <c r="E5715">
        <v>20372</v>
      </c>
      <c r="F5715" t="s">
        <v>309</v>
      </c>
      <c r="G5715" t="s">
        <v>16</v>
      </c>
      <c r="H5715" t="s">
        <v>3411</v>
      </c>
      <c r="I5715">
        <v>2.3239999999999998</v>
      </c>
      <c r="J5715">
        <v>57553.5</v>
      </c>
      <c r="K5715">
        <v>24764.845094664372</v>
      </c>
    </row>
    <row r="5716" spans="1:11" x14ac:dyDescent="0.25">
      <c r="A5716" t="s">
        <v>1582</v>
      </c>
      <c r="B5716" t="s">
        <v>1583</v>
      </c>
      <c r="C5716" s="1">
        <v>41704</v>
      </c>
      <c r="D5716" s="1">
        <v>41712</v>
      </c>
      <c r="E5716">
        <v>20372</v>
      </c>
      <c r="F5716" t="s">
        <v>309</v>
      </c>
      <c r="G5716" t="s">
        <v>16</v>
      </c>
      <c r="H5716" t="s">
        <v>2036</v>
      </c>
      <c r="I5716">
        <v>2.3239999999999998</v>
      </c>
      <c r="J5716">
        <v>42589.59</v>
      </c>
      <c r="K5716">
        <v>18325.985370051636</v>
      </c>
    </row>
    <row r="5717" spans="1:11" x14ac:dyDescent="0.25">
      <c r="A5717" t="s">
        <v>1582</v>
      </c>
      <c r="B5717" t="s">
        <v>1583</v>
      </c>
      <c r="C5717" s="1">
        <v>41704</v>
      </c>
      <c r="D5717" s="1">
        <v>41712</v>
      </c>
      <c r="E5717">
        <v>20372</v>
      </c>
      <c r="F5717" t="s">
        <v>309</v>
      </c>
      <c r="G5717" t="s">
        <v>16</v>
      </c>
      <c r="H5717" t="s">
        <v>4308</v>
      </c>
      <c r="I5717">
        <v>2.3239999999999998</v>
      </c>
      <c r="J5717">
        <v>42589.59</v>
      </c>
      <c r="K5717">
        <v>18325.985370051636</v>
      </c>
    </row>
    <row r="5718" spans="1:11" x14ac:dyDescent="0.25">
      <c r="A5718" t="s">
        <v>976</v>
      </c>
      <c r="B5718" t="s">
        <v>977</v>
      </c>
      <c r="C5718" s="1">
        <v>41712</v>
      </c>
      <c r="D5718" s="1">
        <v>41716</v>
      </c>
      <c r="E5718">
        <v>20661</v>
      </c>
      <c r="F5718" t="s">
        <v>309</v>
      </c>
      <c r="G5718" t="s">
        <v>16</v>
      </c>
      <c r="H5718" t="s">
        <v>4309</v>
      </c>
      <c r="I5718">
        <v>2.3485999999999998</v>
      </c>
      <c r="J5718">
        <v>40287.449999999997</v>
      </c>
      <c r="K5718">
        <v>17153.815038746488</v>
      </c>
    </row>
    <row r="5719" spans="1:11" x14ac:dyDescent="0.25">
      <c r="A5719" t="s">
        <v>976</v>
      </c>
      <c r="B5719" t="s">
        <v>977</v>
      </c>
      <c r="C5719" s="1">
        <v>41690</v>
      </c>
      <c r="D5719" s="1">
        <v>41696</v>
      </c>
      <c r="E5719">
        <v>20661</v>
      </c>
      <c r="F5719" t="s">
        <v>309</v>
      </c>
      <c r="G5719" t="s">
        <v>16</v>
      </c>
      <c r="H5719" t="s">
        <v>4310</v>
      </c>
      <c r="I5719">
        <v>2.3986000000000001</v>
      </c>
      <c r="J5719">
        <v>33834.69</v>
      </c>
      <c r="K5719">
        <v>14106.01600933878</v>
      </c>
    </row>
    <row r="5720" spans="1:11" x14ac:dyDescent="0.25">
      <c r="A5720" t="s">
        <v>7473</v>
      </c>
      <c r="B5720" t="s">
        <v>7474</v>
      </c>
      <c r="C5720" s="1">
        <v>41684</v>
      </c>
      <c r="D5720" s="1">
        <v>41688</v>
      </c>
      <c r="E5720">
        <v>21404</v>
      </c>
      <c r="F5720" t="s">
        <v>278</v>
      </c>
      <c r="G5720" t="s">
        <v>16</v>
      </c>
      <c r="H5720" t="s">
        <v>5064</v>
      </c>
      <c r="I5720">
        <v>2.4238</v>
      </c>
      <c r="J5720">
        <v>325750</v>
      </c>
      <c r="K5720">
        <v>134396.40234342768</v>
      </c>
    </row>
    <row r="5721" spans="1:11" x14ac:dyDescent="0.25">
      <c r="A5721" t="s">
        <v>1024</v>
      </c>
      <c r="B5721" t="s">
        <v>1025</v>
      </c>
      <c r="C5721" s="1">
        <v>41709</v>
      </c>
      <c r="D5721" s="1">
        <v>41715</v>
      </c>
      <c r="E5721">
        <v>1</v>
      </c>
      <c r="F5721" t="s">
        <v>331</v>
      </c>
      <c r="G5721" t="s">
        <v>16</v>
      </c>
      <c r="H5721" t="s">
        <v>7475</v>
      </c>
      <c r="I5721">
        <v>2.3410000000000002</v>
      </c>
      <c r="J5721">
        <v>31803.23</v>
      </c>
      <c r="K5721">
        <v>13585.318240068347</v>
      </c>
    </row>
    <row r="5722" spans="1:11" x14ac:dyDescent="0.25">
      <c r="A5722" t="s">
        <v>976</v>
      </c>
      <c r="B5722" t="s">
        <v>977</v>
      </c>
      <c r="C5722" s="1">
        <v>41713</v>
      </c>
      <c r="D5722" s="1">
        <v>41715</v>
      </c>
      <c r="E5722">
        <v>20661</v>
      </c>
      <c r="F5722" t="s">
        <v>309</v>
      </c>
      <c r="G5722" t="s">
        <v>16</v>
      </c>
      <c r="H5722" t="s">
        <v>7476</v>
      </c>
      <c r="I5722">
        <v>2.3637999999999999</v>
      </c>
      <c r="J5722">
        <v>42589.59</v>
      </c>
      <c r="K5722">
        <v>18017.425332092393</v>
      </c>
    </row>
    <row r="5723" spans="1:11" x14ac:dyDescent="0.25">
      <c r="A5723" t="s">
        <v>976</v>
      </c>
      <c r="B5723" t="s">
        <v>977</v>
      </c>
      <c r="C5723" s="1">
        <v>41713</v>
      </c>
      <c r="D5723" s="1">
        <v>41715</v>
      </c>
      <c r="E5723">
        <v>20661</v>
      </c>
      <c r="F5723" t="s">
        <v>309</v>
      </c>
      <c r="G5723" t="s">
        <v>16</v>
      </c>
      <c r="H5723" t="s">
        <v>7477</v>
      </c>
      <c r="I5723">
        <v>2.3637999999999999</v>
      </c>
      <c r="J5723">
        <v>52949.22</v>
      </c>
      <c r="K5723">
        <v>22400.042304763516</v>
      </c>
    </row>
    <row r="5724" spans="1:11" x14ac:dyDescent="0.25">
      <c r="A5724" t="s">
        <v>1024</v>
      </c>
      <c r="B5724" t="s">
        <v>1025</v>
      </c>
      <c r="C5724" s="1">
        <v>41706</v>
      </c>
      <c r="D5724" s="1">
        <v>41712</v>
      </c>
      <c r="E5724">
        <v>1</v>
      </c>
      <c r="F5724" t="s">
        <v>331</v>
      </c>
      <c r="G5724" t="s">
        <v>16</v>
      </c>
      <c r="H5724" t="s">
        <v>4311</v>
      </c>
      <c r="I5724">
        <v>2.3382000000000001</v>
      </c>
      <c r="J5724">
        <v>41721.26</v>
      </c>
      <c r="K5724">
        <v>17843.323924386281</v>
      </c>
    </row>
    <row r="5725" spans="1:11" x14ac:dyDescent="0.25">
      <c r="A5725" t="s">
        <v>1024</v>
      </c>
      <c r="B5725" t="s">
        <v>1025</v>
      </c>
      <c r="C5725" s="1">
        <v>41705</v>
      </c>
      <c r="D5725" s="1">
        <v>41712</v>
      </c>
      <c r="E5725">
        <v>1</v>
      </c>
      <c r="F5725" t="s">
        <v>331</v>
      </c>
      <c r="G5725" t="s">
        <v>16</v>
      </c>
      <c r="H5725" t="s">
        <v>4312</v>
      </c>
      <c r="I5725">
        <v>2.3094000000000001</v>
      </c>
      <c r="J5725">
        <v>43031.35</v>
      </c>
      <c r="K5725">
        <v>18633.129817268553</v>
      </c>
    </row>
    <row r="5726" spans="1:11" x14ac:dyDescent="0.25">
      <c r="A5726" t="s">
        <v>976</v>
      </c>
      <c r="B5726" t="s">
        <v>977</v>
      </c>
      <c r="C5726" s="1">
        <v>41709</v>
      </c>
      <c r="D5726" s="1">
        <v>41712</v>
      </c>
      <c r="E5726">
        <v>20661</v>
      </c>
      <c r="F5726" t="s">
        <v>309</v>
      </c>
      <c r="G5726" t="s">
        <v>16</v>
      </c>
      <c r="H5726" t="s">
        <v>4313</v>
      </c>
      <c r="I5726">
        <v>2.3410000000000002</v>
      </c>
      <c r="J5726">
        <v>42589.59</v>
      </c>
      <c r="K5726">
        <v>18192.904741563434</v>
      </c>
    </row>
    <row r="5727" spans="1:11" x14ac:dyDescent="0.25">
      <c r="A5727" t="s">
        <v>976</v>
      </c>
      <c r="B5727" t="s">
        <v>977</v>
      </c>
      <c r="C5727" s="1">
        <v>41713</v>
      </c>
      <c r="D5727" s="1">
        <v>41717</v>
      </c>
      <c r="E5727">
        <v>20661</v>
      </c>
      <c r="F5727" t="s">
        <v>309</v>
      </c>
      <c r="G5727" t="s">
        <v>16</v>
      </c>
      <c r="H5727" t="s">
        <v>7478</v>
      </c>
      <c r="I5727">
        <v>2.3637999999999999</v>
      </c>
      <c r="J5727">
        <v>42589.59</v>
      </c>
      <c r="K5727">
        <v>18017.425332092393</v>
      </c>
    </row>
    <row r="5728" spans="1:11" x14ac:dyDescent="0.25">
      <c r="A5728" t="s">
        <v>4314</v>
      </c>
      <c r="B5728" t="s">
        <v>4315</v>
      </c>
      <c r="C5728" s="1">
        <v>41683</v>
      </c>
      <c r="D5728" s="1">
        <v>41690</v>
      </c>
      <c r="E5728">
        <v>21352</v>
      </c>
      <c r="F5728" t="s">
        <v>278</v>
      </c>
      <c r="G5728" t="s">
        <v>16</v>
      </c>
      <c r="H5728" t="s">
        <v>4316</v>
      </c>
      <c r="I5728">
        <v>2.4085999999999999</v>
      </c>
      <c r="J5728">
        <v>28666</v>
      </c>
      <c r="K5728">
        <v>11901.519554928174</v>
      </c>
    </row>
    <row r="5729" spans="1:11" x14ac:dyDescent="0.25">
      <c r="A5729" t="s">
        <v>4317</v>
      </c>
      <c r="B5729" t="s">
        <v>4318</v>
      </c>
      <c r="C5729" s="1">
        <v>41683</v>
      </c>
      <c r="D5729" s="1">
        <v>41690</v>
      </c>
      <c r="E5729">
        <v>21353</v>
      </c>
      <c r="F5729" t="s">
        <v>278</v>
      </c>
      <c r="G5729" t="s">
        <v>16</v>
      </c>
      <c r="H5729" t="s">
        <v>4319</v>
      </c>
      <c r="I5729">
        <v>2.4085999999999999</v>
      </c>
      <c r="J5729">
        <v>65150</v>
      </c>
      <c r="K5729">
        <v>27048.908079382214</v>
      </c>
    </row>
    <row r="5730" spans="1:11" x14ac:dyDescent="0.25">
      <c r="A5730" t="s">
        <v>1024</v>
      </c>
      <c r="B5730" t="s">
        <v>1025</v>
      </c>
      <c r="C5730" s="1">
        <v>41705</v>
      </c>
      <c r="D5730" s="1">
        <v>41709</v>
      </c>
      <c r="E5730">
        <v>1</v>
      </c>
      <c r="F5730" t="s">
        <v>331</v>
      </c>
      <c r="G5730" t="s">
        <v>16</v>
      </c>
      <c r="H5730" t="s">
        <v>4320</v>
      </c>
      <c r="I5730">
        <v>2.3094000000000001</v>
      </c>
      <c r="J5730">
        <v>42561.06</v>
      </c>
      <c r="K5730">
        <v>18429.488178747728</v>
      </c>
    </row>
    <row r="5731" spans="1:11" x14ac:dyDescent="0.25">
      <c r="A5731" t="s">
        <v>1024</v>
      </c>
      <c r="B5731" t="s">
        <v>1025</v>
      </c>
      <c r="C5731" s="1">
        <v>41706</v>
      </c>
      <c r="D5731" s="1">
        <v>41709</v>
      </c>
      <c r="E5731">
        <v>1</v>
      </c>
      <c r="F5731" t="s">
        <v>331</v>
      </c>
      <c r="G5731" t="s">
        <v>16</v>
      </c>
      <c r="H5731" t="s">
        <v>4321</v>
      </c>
      <c r="I5731">
        <v>2.3382000000000001</v>
      </c>
      <c r="J5731">
        <v>30560.32</v>
      </c>
      <c r="K5731">
        <v>13070.019673252929</v>
      </c>
    </row>
    <row r="5732" spans="1:11" x14ac:dyDescent="0.25">
      <c r="A5732" t="s">
        <v>1024</v>
      </c>
      <c r="B5732" t="s">
        <v>1025</v>
      </c>
      <c r="C5732" s="1">
        <v>41705</v>
      </c>
      <c r="D5732" s="1">
        <v>41709</v>
      </c>
      <c r="E5732">
        <v>1</v>
      </c>
      <c r="F5732" t="s">
        <v>331</v>
      </c>
      <c r="G5732" t="s">
        <v>16</v>
      </c>
      <c r="H5732" t="s">
        <v>7479</v>
      </c>
      <c r="I5732">
        <v>2.3094000000000001</v>
      </c>
      <c r="J5732">
        <v>26436.9</v>
      </c>
      <c r="K5732">
        <v>11447.518836061314</v>
      </c>
    </row>
    <row r="5733" spans="1:11" x14ac:dyDescent="0.25">
      <c r="A5733" t="s">
        <v>2550</v>
      </c>
      <c r="B5733" t="s">
        <v>2551</v>
      </c>
      <c r="C5733" s="1">
        <v>41708</v>
      </c>
      <c r="D5733" s="1">
        <v>41718</v>
      </c>
      <c r="E5733">
        <v>21506</v>
      </c>
      <c r="F5733" t="s">
        <v>309</v>
      </c>
      <c r="G5733" t="s">
        <v>16</v>
      </c>
      <c r="H5733" t="s">
        <v>7480</v>
      </c>
      <c r="I5733">
        <v>2.3382000000000001</v>
      </c>
      <c r="J5733">
        <v>55374</v>
      </c>
      <c r="K5733">
        <v>23682.319733128046</v>
      </c>
    </row>
    <row r="5734" spans="1:11" x14ac:dyDescent="0.25">
      <c r="A5734" t="s">
        <v>2550</v>
      </c>
      <c r="B5734" t="s">
        <v>2551</v>
      </c>
      <c r="C5734" s="1">
        <v>41744</v>
      </c>
      <c r="D5734" s="1">
        <v>41753</v>
      </c>
      <c r="E5734">
        <v>21506</v>
      </c>
      <c r="F5734" t="s">
        <v>309</v>
      </c>
      <c r="G5734" t="s">
        <v>16</v>
      </c>
      <c r="H5734" t="s">
        <v>2549</v>
      </c>
      <c r="I5734">
        <v>2.2096</v>
      </c>
      <c r="J5734">
        <v>144979.20000000001</v>
      </c>
      <c r="K5734">
        <v>65613.323678493849</v>
      </c>
    </row>
    <row r="5735" spans="1:11" x14ac:dyDescent="0.25">
      <c r="A5735" t="s">
        <v>1039</v>
      </c>
      <c r="C5735" s="1">
        <v>41736</v>
      </c>
      <c r="D5735" s="1">
        <v>41737</v>
      </c>
      <c r="E5735">
        <v>22692</v>
      </c>
      <c r="F5735" t="s">
        <v>421</v>
      </c>
      <c r="G5735" t="s">
        <v>16</v>
      </c>
      <c r="H5735" t="s">
        <v>4322</v>
      </c>
      <c r="I5735">
        <v>2.242</v>
      </c>
      <c r="J5735">
        <v>25</v>
      </c>
      <c r="K5735">
        <v>11.150758251561106</v>
      </c>
    </row>
    <row r="5736" spans="1:11" x14ac:dyDescent="0.25">
      <c r="A5736" t="s">
        <v>1039</v>
      </c>
      <c r="C5736" s="1">
        <v>41736</v>
      </c>
      <c r="D5736" s="1">
        <v>41737</v>
      </c>
      <c r="E5736">
        <v>22692</v>
      </c>
      <c r="F5736" t="s">
        <v>421</v>
      </c>
      <c r="G5736" t="s">
        <v>16</v>
      </c>
      <c r="H5736" t="s">
        <v>7481</v>
      </c>
      <c r="I5736">
        <v>2.242</v>
      </c>
      <c r="J5736">
        <v>144.47</v>
      </c>
      <c r="K5736">
        <v>64.438001784121326</v>
      </c>
    </row>
    <row r="5737" spans="1:11" x14ac:dyDescent="0.25">
      <c r="A5737" t="s">
        <v>1039</v>
      </c>
      <c r="C5737" s="1">
        <v>41736</v>
      </c>
      <c r="D5737" s="1">
        <v>41737</v>
      </c>
      <c r="E5737">
        <v>22692</v>
      </c>
      <c r="F5737" t="s">
        <v>421</v>
      </c>
      <c r="G5737" t="s">
        <v>16</v>
      </c>
      <c r="H5737" t="s">
        <v>7482</v>
      </c>
      <c r="I5737">
        <v>2.242</v>
      </c>
      <c r="J5737">
        <v>67.13</v>
      </c>
      <c r="K5737">
        <v>29.942016057091884</v>
      </c>
    </row>
    <row r="5738" spans="1:11" x14ac:dyDescent="0.25">
      <c r="A5738" t="s">
        <v>976</v>
      </c>
      <c r="B5738" t="s">
        <v>977</v>
      </c>
      <c r="C5738" s="1">
        <v>41714</v>
      </c>
      <c r="D5738" s="1">
        <v>41719</v>
      </c>
      <c r="E5738">
        <v>20661</v>
      </c>
      <c r="F5738" t="s">
        <v>309</v>
      </c>
      <c r="G5738" t="s">
        <v>16</v>
      </c>
      <c r="H5738" t="s">
        <v>4323</v>
      </c>
      <c r="I5738">
        <v>2.3637999999999999</v>
      </c>
      <c r="J5738">
        <v>42589.59</v>
      </c>
      <c r="K5738">
        <v>18017.425332092393</v>
      </c>
    </row>
    <row r="5739" spans="1:11" x14ac:dyDescent="0.25">
      <c r="A5739" t="s">
        <v>976</v>
      </c>
      <c r="B5739" t="s">
        <v>977</v>
      </c>
      <c r="C5739" s="1">
        <v>41716</v>
      </c>
      <c r="D5739" s="1">
        <v>41719</v>
      </c>
      <c r="E5739">
        <v>20661</v>
      </c>
      <c r="F5739" t="s">
        <v>309</v>
      </c>
      <c r="G5739" t="s">
        <v>16</v>
      </c>
      <c r="H5739" t="s">
        <v>4324</v>
      </c>
      <c r="I5739">
        <v>2.3517999999999999</v>
      </c>
      <c r="J5739">
        <v>42589.59</v>
      </c>
      <c r="K5739">
        <v>18109.358789012673</v>
      </c>
    </row>
    <row r="5740" spans="1:11" x14ac:dyDescent="0.25">
      <c r="A5740" t="s">
        <v>976</v>
      </c>
      <c r="B5740" t="s">
        <v>977</v>
      </c>
      <c r="C5740" s="1">
        <v>41715</v>
      </c>
      <c r="D5740" s="1">
        <v>41719</v>
      </c>
      <c r="E5740">
        <v>20661</v>
      </c>
      <c r="F5740" t="s">
        <v>309</v>
      </c>
      <c r="G5740" t="s">
        <v>16</v>
      </c>
      <c r="H5740" t="s">
        <v>4325</v>
      </c>
      <c r="I5740">
        <v>2.3637999999999999</v>
      </c>
      <c r="J5740">
        <v>55251.360000000001</v>
      </c>
      <c r="K5740">
        <v>23373.957187579323</v>
      </c>
    </row>
    <row r="5741" spans="1:11" x14ac:dyDescent="0.25">
      <c r="A5741" t="s">
        <v>976</v>
      </c>
      <c r="B5741" t="s">
        <v>977</v>
      </c>
      <c r="C5741" s="1">
        <v>41734</v>
      </c>
      <c r="D5741" s="1">
        <v>41737</v>
      </c>
      <c r="E5741">
        <v>20661</v>
      </c>
      <c r="F5741" t="s">
        <v>309</v>
      </c>
      <c r="G5741" t="s">
        <v>16</v>
      </c>
      <c r="H5741" t="s">
        <v>7483</v>
      </c>
      <c r="I5741">
        <v>2.242</v>
      </c>
      <c r="J5741">
        <v>5416.8</v>
      </c>
      <c r="K5741">
        <v>2416.0570918822482</v>
      </c>
    </row>
    <row r="5742" spans="1:11" x14ac:dyDescent="0.25">
      <c r="A5742" t="s">
        <v>3003</v>
      </c>
      <c r="C5742" s="1">
        <v>41743</v>
      </c>
      <c r="D5742" s="1">
        <v>41745</v>
      </c>
      <c r="E5742">
        <v>22754</v>
      </c>
      <c r="F5742" t="s">
        <v>421</v>
      </c>
      <c r="G5742" t="s">
        <v>16</v>
      </c>
      <c r="H5742" t="s">
        <v>4326</v>
      </c>
      <c r="I5742">
        <v>2.2059000000000002</v>
      </c>
      <c r="J5742">
        <v>50</v>
      </c>
      <c r="K5742">
        <v>22.666485334783989</v>
      </c>
    </row>
    <row r="5743" spans="1:11" x14ac:dyDescent="0.25">
      <c r="A5743" t="s">
        <v>3003</v>
      </c>
      <c r="C5743" s="1">
        <v>41743</v>
      </c>
      <c r="D5743" s="1">
        <v>41745</v>
      </c>
      <c r="E5743">
        <v>22754</v>
      </c>
      <c r="F5743" t="s">
        <v>421</v>
      </c>
      <c r="G5743" t="s">
        <v>16</v>
      </c>
      <c r="H5743" t="s">
        <v>3161</v>
      </c>
      <c r="I5743">
        <v>2.2059000000000002</v>
      </c>
      <c r="J5743">
        <v>127.03</v>
      </c>
      <c r="K5743">
        <v>57.586472641552199</v>
      </c>
    </row>
    <row r="5744" spans="1:11" x14ac:dyDescent="0.25">
      <c r="A5744" t="s">
        <v>3003</v>
      </c>
      <c r="C5744" s="1">
        <v>41738</v>
      </c>
      <c r="D5744" s="1">
        <v>41745</v>
      </c>
      <c r="E5744">
        <v>22754</v>
      </c>
      <c r="F5744" t="s">
        <v>421</v>
      </c>
      <c r="G5744" t="s">
        <v>16</v>
      </c>
      <c r="H5744" t="s">
        <v>7484</v>
      </c>
      <c r="I5744">
        <v>2.1974</v>
      </c>
      <c r="J5744">
        <v>156.49</v>
      </c>
      <c r="K5744">
        <v>71.215982524802044</v>
      </c>
    </row>
    <row r="5745" spans="1:11" x14ac:dyDescent="0.25">
      <c r="A5745" t="s">
        <v>7485</v>
      </c>
      <c r="B5745" t="s">
        <v>286</v>
      </c>
      <c r="C5745" s="1">
        <v>41708</v>
      </c>
      <c r="D5745" s="1">
        <v>41722</v>
      </c>
      <c r="E5745">
        <v>22014</v>
      </c>
      <c r="F5745" t="s">
        <v>311</v>
      </c>
      <c r="G5745" t="s">
        <v>16</v>
      </c>
      <c r="H5745" t="s">
        <v>7486</v>
      </c>
      <c r="I5745">
        <v>2.3382000000000001</v>
      </c>
      <c r="J5745">
        <v>30388.799999999999</v>
      </c>
      <c r="K5745">
        <v>12996.664100590198</v>
      </c>
    </row>
    <row r="5746" spans="1:11" x14ac:dyDescent="0.25">
      <c r="A5746" t="s">
        <v>896</v>
      </c>
      <c r="B5746" t="s">
        <v>897</v>
      </c>
      <c r="C5746" s="1">
        <v>41716</v>
      </c>
      <c r="D5746" s="1">
        <v>41722</v>
      </c>
      <c r="E5746">
        <v>296</v>
      </c>
      <c r="F5746" t="s">
        <v>887</v>
      </c>
      <c r="G5746" t="s">
        <v>16</v>
      </c>
      <c r="H5746" t="s">
        <v>7487</v>
      </c>
      <c r="I5746">
        <v>2.3517999999999999</v>
      </c>
      <c r="J5746">
        <v>480.79</v>
      </c>
      <c r="K5746">
        <v>204.43490092694958</v>
      </c>
    </row>
    <row r="5747" spans="1:11" x14ac:dyDescent="0.25">
      <c r="A5747" t="s">
        <v>1048</v>
      </c>
      <c r="C5747" s="1">
        <v>41751</v>
      </c>
      <c r="D5747" s="1">
        <v>41752</v>
      </c>
      <c r="E5747">
        <v>22793</v>
      </c>
      <c r="F5747" t="s">
        <v>421</v>
      </c>
      <c r="G5747" t="s">
        <v>16</v>
      </c>
      <c r="H5747" t="s">
        <v>7488</v>
      </c>
      <c r="I5747">
        <v>2.2482000000000002</v>
      </c>
      <c r="J5747">
        <v>104.82</v>
      </c>
      <c r="K5747">
        <v>46.62396583933814</v>
      </c>
    </row>
    <row r="5748" spans="1:11" x14ac:dyDescent="0.25">
      <c r="A5748" t="s">
        <v>1582</v>
      </c>
      <c r="B5748" t="s">
        <v>1583</v>
      </c>
      <c r="C5748" s="1">
        <v>41746</v>
      </c>
      <c r="D5748" s="1">
        <v>41757</v>
      </c>
      <c r="E5748">
        <v>20372</v>
      </c>
      <c r="F5748" t="s">
        <v>309</v>
      </c>
      <c r="G5748" t="s">
        <v>16</v>
      </c>
      <c r="H5748" t="s">
        <v>4327</v>
      </c>
      <c r="I5748">
        <v>2.2342</v>
      </c>
      <c r="J5748">
        <v>20719.259999999998</v>
      </c>
      <c r="K5748">
        <v>9273.6818548026131</v>
      </c>
    </row>
    <row r="5749" spans="1:11" x14ac:dyDescent="0.25">
      <c r="A5749" t="s">
        <v>4328</v>
      </c>
      <c r="B5749" t="s">
        <v>4329</v>
      </c>
      <c r="C5749" s="1">
        <v>41757</v>
      </c>
      <c r="D5749" s="1">
        <v>41761</v>
      </c>
      <c r="E5749">
        <v>23605</v>
      </c>
      <c r="F5749" t="s">
        <v>311</v>
      </c>
      <c r="G5749" t="s">
        <v>16</v>
      </c>
      <c r="H5749" t="s">
        <v>4330</v>
      </c>
      <c r="I5749">
        <v>2.2324999999999999</v>
      </c>
      <c r="J5749">
        <v>156411.54999999999</v>
      </c>
      <c r="K5749">
        <v>70061.164613661807</v>
      </c>
    </row>
    <row r="5750" spans="1:11" x14ac:dyDescent="0.25">
      <c r="A5750" t="s">
        <v>1057</v>
      </c>
      <c r="B5750" t="s">
        <v>1058</v>
      </c>
      <c r="C5750" s="1">
        <v>41783</v>
      </c>
      <c r="D5750" s="1">
        <v>41789</v>
      </c>
      <c r="E5750">
        <v>19681</v>
      </c>
      <c r="F5750" t="s">
        <v>309</v>
      </c>
      <c r="G5750" t="s">
        <v>16</v>
      </c>
      <c r="H5750" t="s">
        <v>7489</v>
      </c>
      <c r="I5750">
        <v>2.2187000000000001</v>
      </c>
      <c r="J5750">
        <v>27836.36</v>
      </c>
      <c r="K5750">
        <v>12546.247802767386</v>
      </c>
    </row>
    <row r="5751" spans="1:11" x14ac:dyDescent="0.25">
      <c r="A5751" t="s">
        <v>1057</v>
      </c>
      <c r="B5751" t="s">
        <v>1058</v>
      </c>
      <c r="C5751" s="1">
        <v>41782</v>
      </c>
      <c r="D5751" s="1">
        <v>41789</v>
      </c>
      <c r="E5751">
        <v>19681</v>
      </c>
      <c r="F5751" t="s">
        <v>309</v>
      </c>
      <c r="G5751" t="s">
        <v>16</v>
      </c>
      <c r="H5751" t="s">
        <v>7490</v>
      </c>
      <c r="I5751">
        <v>2.2130999999999998</v>
      </c>
      <c r="J5751">
        <v>25887.599999999999</v>
      </c>
      <c r="K5751">
        <v>11697.437982919886</v>
      </c>
    </row>
    <row r="5752" spans="1:11" x14ac:dyDescent="0.25">
      <c r="A5752" t="s">
        <v>1057</v>
      </c>
      <c r="B5752" t="s">
        <v>1058</v>
      </c>
      <c r="C5752" s="1">
        <v>41783</v>
      </c>
      <c r="D5752" s="1">
        <v>41789</v>
      </c>
      <c r="E5752">
        <v>19681</v>
      </c>
      <c r="F5752" t="s">
        <v>309</v>
      </c>
      <c r="G5752" t="s">
        <v>16</v>
      </c>
      <c r="H5752" t="s">
        <v>7491</v>
      </c>
      <c r="I5752">
        <v>2.2187000000000001</v>
      </c>
      <c r="J5752">
        <v>33826.46</v>
      </c>
      <c r="K5752">
        <v>15246.072024158291</v>
      </c>
    </row>
    <row r="5753" spans="1:11" x14ac:dyDescent="0.25">
      <c r="A5753" t="s">
        <v>1060</v>
      </c>
      <c r="B5753" t="s">
        <v>1061</v>
      </c>
      <c r="C5753" s="1">
        <v>41788</v>
      </c>
      <c r="D5753" s="1">
        <v>41790</v>
      </c>
      <c r="E5753">
        <v>19976</v>
      </c>
      <c r="F5753" t="s">
        <v>309</v>
      </c>
      <c r="G5753" t="s">
        <v>16</v>
      </c>
      <c r="H5753" t="s">
        <v>4331</v>
      </c>
      <c r="I5753">
        <v>2.2404999999999999</v>
      </c>
      <c r="J5753">
        <v>37044.89</v>
      </c>
      <c r="K5753">
        <v>16534.206650301272</v>
      </c>
    </row>
    <row r="5754" spans="1:11" x14ac:dyDescent="0.25">
      <c r="A5754" t="s">
        <v>1057</v>
      </c>
      <c r="B5754" t="s">
        <v>1058</v>
      </c>
      <c r="C5754" s="1">
        <v>41783</v>
      </c>
      <c r="D5754" s="1">
        <v>41794</v>
      </c>
      <c r="E5754">
        <v>19681</v>
      </c>
      <c r="F5754" t="s">
        <v>309</v>
      </c>
      <c r="G5754" t="s">
        <v>16</v>
      </c>
      <c r="H5754" t="s">
        <v>4332</v>
      </c>
      <c r="I5754">
        <v>2.2187000000000001</v>
      </c>
      <c r="J5754">
        <v>23938.84</v>
      </c>
      <c r="K5754">
        <v>10789.579483481319</v>
      </c>
    </row>
    <row r="5755" spans="1:11" x14ac:dyDescent="0.25">
      <c r="A5755" t="s">
        <v>1060</v>
      </c>
      <c r="B5755" t="s">
        <v>1061</v>
      </c>
      <c r="C5755" s="1">
        <v>41790</v>
      </c>
      <c r="D5755" s="1">
        <v>41794</v>
      </c>
      <c r="E5755">
        <v>19976</v>
      </c>
      <c r="F5755" t="s">
        <v>309</v>
      </c>
      <c r="G5755" t="s">
        <v>16</v>
      </c>
      <c r="H5755" t="s">
        <v>7492</v>
      </c>
      <c r="I5755">
        <v>2.2389999999999999</v>
      </c>
      <c r="J5755">
        <v>33481.300000000003</v>
      </c>
      <c r="K5755">
        <v>14953.68468066101</v>
      </c>
    </row>
    <row r="5756" spans="1:11" x14ac:dyDescent="0.25">
      <c r="A5756" t="s">
        <v>1060</v>
      </c>
      <c r="B5756" t="s">
        <v>1061</v>
      </c>
      <c r="C5756" s="1">
        <v>41781</v>
      </c>
      <c r="D5756" s="1">
        <v>41785</v>
      </c>
      <c r="E5756">
        <v>19976</v>
      </c>
      <c r="F5756" t="s">
        <v>309</v>
      </c>
      <c r="G5756" t="s">
        <v>16</v>
      </c>
      <c r="H5756" t="s">
        <v>7493</v>
      </c>
      <c r="I5756">
        <v>2.2111000000000001</v>
      </c>
      <c r="J5756">
        <v>26923.1</v>
      </c>
      <c r="K5756">
        <v>12176.337569535526</v>
      </c>
    </row>
    <row r="5757" spans="1:11" x14ac:dyDescent="0.25">
      <c r="A5757" t="s">
        <v>1060</v>
      </c>
      <c r="B5757" t="s">
        <v>1061</v>
      </c>
      <c r="C5757" s="1">
        <v>41796</v>
      </c>
      <c r="D5757" s="1">
        <v>41800</v>
      </c>
      <c r="E5757">
        <v>19976</v>
      </c>
      <c r="F5757" t="s">
        <v>309</v>
      </c>
      <c r="G5757" t="s">
        <v>16</v>
      </c>
      <c r="H5757" t="s">
        <v>7494</v>
      </c>
      <c r="I5757">
        <v>2.2694999999999999</v>
      </c>
      <c r="J5757">
        <v>36257.019999999997</v>
      </c>
      <c r="K5757">
        <v>15975.7743996475</v>
      </c>
    </row>
    <row r="5758" spans="1:11" x14ac:dyDescent="0.25">
      <c r="A5758" t="s">
        <v>1060</v>
      </c>
      <c r="B5758" t="s">
        <v>1061</v>
      </c>
      <c r="C5758" s="1">
        <v>41783</v>
      </c>
      <c r="D5758" s="1">
        <v>41786</v>
      </c>
      <c r="E5758">
        <v>19976</v>
      </c>
      <c r="F5758" t="s">
        <v>309</v>
      </c>
      <c r="G5758" t="s">
        <v>16</v>
      </c>
      <c r="H5758" t="s">
        <v>7495</v>
      </c>
      <c r="I5758">
        <v>2.2187000000000001</v>
      </c>
      <c r="J5758">
        <v>25758.16</v>
      </c>
      <c r="K5758">
        <v>11609.573173479966</v>
      </c>
    </row>
    <row r="5759" spans="1:11" x14ac:dyDescent="0.25">
      <c r="A5759" t="s">
        <v>1060</v>
      </c>
      <c r="B5759" t="s">
        <v>1061</v>
      </c>
      <c r="C5759" s="1">
        <v>41789</v>
      </c>
      <c r="D5759" s="1">
        <v>41792</v>
      </c>
      <c r="E5759">
        <v>19976</v>
      </c>
      <c r="F5759" t="s">
        <v>309</v>
      </c>
      <c r="G5759" t="s">
        <v>16</v>
      </c>
      <c r="H5759" t="s">
        <v>4333</v>
      </c>
      <c r="I5759">
        <v>2.2250999999999999</v>
      </c>
      <c r="J5759">
        <v>27347.37</v>
      </c>
      <c r="K5759">
        <v>12290.400431441283</v>
      </c>
    </row>
    <row r="5760" spans="1:11" x14ac:dyDescent="0.25">
      <c r="A5760" t="s">
        <v>1060</v>
      </c>
      <c r="B5760" t="s">
        <v>1061</v>
      </c>
      <c r="C5760" s="1">
        <v>41790</v>
      </c>
      <c r="D5760" s="1">
        <v>41795</v>
      </c>
      <c r="E5760">
        <v>19976</v>
      </c>
      <c r="F5760" t="s">
        <v>309</v>
      </c>
      <c r="G5760" t="s">
        <v>16</v>
      </c>
      <c r="H5760" t="s">
        <v>4334</v>
      </c>
      <c r="I5760">
        <v>2.2389999999999999</v>
      </c>
      <c r="J5760">
        <v>33466.910000000003</v>
      </c>
      <c r="K5760">
        <v>14947.257704332291</v>
      </c>
    </row>
    <row r="5761" spans="1:11" x14ac:dyDescent="0.25">
      <c r="A5761" t="s">
        <v>1060</v>
      </c>
      <c r="B5761" t="s">
        <v>1061</v>
      </c>
      <c r="C5761" s="1">
        <v>41797</v>
      </c>
      <c r="D5761" s="1">
        <v>41802</v>
      </c>
      <c r="E5761">
        <v>19976</v>
      </c>
      <c r="F5761" t="s">
        <v>309</v>
      </c>
      <c r="G5761" t="s">
        <v>16</v>
      </c>
      <c r="H5761" t="s">
        <v>4335</v>
      </c>
      <c r="I5761">
        <v>2.2444999999999999</v>
      </c>
      <c r="J5761">
        <v>36731.629999999997</v>
      </c>
      <c r="K5761">
        <v>16365.172644241478</v>
      </c>
    </row>
    <row r="5762" spans="1:11" x14ac:dyDescent="0.25">
      <c r="A5762" t="s">
        <v>1060</v>
      </c>
      <c r="B5762" t="s">
        <v>1061</v>
      </c>
      <c r="C5762" s="1">
        <v>41790</v>
      </c>
      <c r="D5762" s="1">
        <v>41793</v>
      </c>
      <c r="E5762">
        <v>19976</v>
      </c>
      <c r="F5762" t="s">
        <v>309</v>
      </c>
      <c r="G5762" t="s">
        <v>16</v>
      </c>
      <c r="H5762" t="s">
        <v>4336</v>
      </c>
      <c r="I5762">
        <v>2.2389999999999999</v>
      </c>
      <c r="J5762">
        <v>36228.26</v>
      </c>
      <c r="K5762">
        <v>16180.553818669048</v>
      </c>
    </row>
    <row r="5763" spans="1:11" x14ac:dyDescent="0.25">
      <c r="A5763" t="s">
        <v>1060</v>
      </c>
      <c r="B5763" t="s">
        <v>1061</v>
      </c>
      <c r="C5763" s="1">
        <v>41790</v>
      </c>
      <c r="D5763" s="1">
        <v>41793</v>
      </c>
      <c r="E5763">
        <v>19976</v>
      </c>
      <c r="F5763" t="s">
        <v>309</v>
      </c>
      <c r="G5763" t="s">
        <v>16</v>
      </c>
      <c r="H5763" t="s">
        <v>4337</v>
      </c>
      <c r="I5763">
        <v>2.2389999999999999</v>
      </c>
      <c r="J5763">
        <v>37357.25</v>
      </c>
      <c r="K5763">
        <v>16684.792317999108</v>
      </c>
    </row>
    <row r="5764" spans="1:11" x14ac:dyDescent="0.25">
      <c r="A5764" t="s">
        <v>1060</v>
      </c>
      <c r="B5764" t="s">
        <v>1061</v>
      </c>
      <c r="C5764" s="1">
        <v>41790</v>
      </c>
      <c r="D5764" s="1">
        <v>41794</v>
      </c>
      <c r="E5764">
        <v>19976</v>
      </c>
      <c r="F5764" t="s">
        <v>309</v>
      </c>
      <c r="G5764" t="s">
        <v>16</v>
      </c>
      <c r="H5764" t="s">
        <v>7496</v>
      </c>
      <c r="I5764">
        <v>2.2389999999999999</v>
      </c>
      <c r="J5764">
        <v>27225.13</v>
      </c>
      <c r="K5764">
        <v>12159.50424296561</v>
      </c>
    </row>
    <row r="5765" spans="1:11" x14ac:dyDescent="0.25">
      <c r="A5765" t="s">
        <v>1060</v>
      </c>
      <c r="B5765" t="s">
        <v>1061</v>
      </c>
      <c r="C5765" s="1">
        <v>41790</v>
      </c>
      <c r="D5765" s="1">
        <v>41795</v>
      </c>
      <c r="E5765">
        <v>19976</v>
      </c>
      <c r="F5765" t="s">
        <v>309</v>
      </c>
      <c r="G5765" t="s">
        <v>16</v>
      </c>
      <c r="H5765" t="s">
        <v>7497</v>
      </c>
      <c r="I5765">
        <v>2.2389999999999999</v>
      </c>
      <c r="J5765">
        <v>26204</v>
      </c>
      <c r="K5765">
        <v>11703.439035283609</v>
      </c>
    </row>
    <row r="5766" spans="1:11" x14ac:dyDescent="0.25">
      <c r="A5766" t="s">
        <v>1060</v>
      </c>
      <c r="B5766" t="s">
        <v>1061</v>
      </c>
      <c r="C5766" s="1">
        <v>41790</v>
      </c>
      <c r="D5766" s="1">
        <v>41795</v>
      </c>
      <c r="E5766">
        <v>19976</v>
      </c>
      <c r="F5766" t="s">
        <v>309</v>
      </c>
      <c r="G5766" t="s">
        <v>16</v>
      </c>
      <c r="H5766" t="s">
        <v>7498</v>
      </c>
      <c r="I5766">
        <v>2.2389999999999999</v>
      </c>
      <c r="J5766">
        <v>26232.77</v>
      </c>
      <c r="K5766">
        <v>11716.288521661456</v>
      </c>
    </row>
    <row r="5767" spans="1:11" x14ac:dyDescent="0.25">
      <c r="A5767" t="s">
        <v>7499</v>
      </c>
      <c r="B5767" t="s">
        <v>7500</v>
      </c>
      <c r="C5767" s="1">
        <v>41796</v>
      </c>
      <c r="D5767" s="1">
        <v>41803</v>
      </c>
      <c r="E5767">
        <v>25140</v>
      </c>
      <c r="F5767" t="s">
        <v>402</v>
      </c>
      <c r="G5767" t="s">
        <v>16</v>
      </c>
      <c r="H5767" t="s">
        <v>7501</v>
      </c>
      <c r="I5767">
        <v>2.2694999999999999</v>
      </c>
      <c r="J5767">
        <v>85950.43</v>
      </c>
      <c r="K5767">
        <v>37871.967393699051</v>
      </c>
    </row>
    <row r="5768" spans="1:11" x14ac:dyDescent="0.25">
      <c r="A5768" t="s">
        <v>1072</v>
      </c>
      <c r="B5768" t="s">
        <v>1073</v>
      </c>
      <c r="C5768" s="1">
        <v>41824</v>
      </c>
      <c r="D5768" s="1">
        <v>41827</v>
      </c>
      <c r="E5768">
        <v>19972</v>
      </c>
      <c r="F5768" t="s">
        <v>368</v>
      </c>
      <c r="G5768" t="s">
        <v>16</v>
      </c>
      <c r="H5768" t="s">
        <v>7502</v>
      </c>
      <c r="I5768">
        <v>2.2281</v>
      </c>
      <c r="J5768">
        <v>33804.75</v>
      </c>
      <c r="K5768">
        <v>15172.007540056551</v>
      </c>
    </row>
    <row r="5769" spans="1:11" x14ac:dyDescent="0.25">
      <c r="A5769" t="s">
        <v>1072</v>
      </c>
      <c r="B5769" t="s">
        <v>1073</v>
      </c>
      <c r="C5769" s="1">
        <v>41824</v>
      </c>
      <c r="D5769" s="1">
        <v>41827</v>
      </c>
      <c r="E5769">
        <v>19972</v>
      </c>
      <c r="F5769" t="s">
        <v>368</v>
      </c>
      <c r="G5769" t="s">
        <v>16</v>
      </c>
      <c r="H5769" t="s">
        <v>4338</v>
      </c>
      <c r="I5769">
        <v>2.2281</v>
      </c>
      <c r="J5769">
        <v>32554.71</v>
      </c>
      <c r="K5769">
        <v>14610.973475158207</v>
      </c>
    </row>
    <row r="5770" spans="1:11" x14ac:dyDescent="0.25">
      <c r="A5770" t="s">
        <v>1072</v>
      </c>
      <c r="B5770" t="s">
        <v>1073</v>
      </c>
      <c r="C5770" s="1">
        <v>41824</v>
      </c>
      <c r="D5770" s="1">
        <v>41825</v>
      </c>
      <c r="E5770">
        <v>19972</v>
      </c>
      <c r="F5770" t="s">
        <v>368</v>
      </c>
      <c r="G5770" t="s">
        <v>16</v>
      </c>
      <c r="H5770" t="s">
        <v>7503</v>
      </c>
      <c r="I5770">
        <v>2.2281</v>
      </c>
      <c r="J5770">
        <v>24216.560000000001</v>
      </c>
      <c r="K5770">
        <v>10868.70427718684</v>
      </c>
    </row>
    <row r="5771" spans="1:11" x14ac:dyDescent="0.25">
      <c r="A5771" t="s">
        <v>1072</v>
      </c>
      <c r="B5771" t="s">
        <v>1073</v>
      </c>
      <c r="C5771" s="1">
        <v>41823</v>
      </c>
      <c r="D5771" s="1">
        <v>41825</v>
      </c>
      <c r="E5771">
        <v>19972</v>
      </c>
      <c r="F5771" t="s">
        <v>368</v>
      </c>
      <c r="G5771" t="s">
        <v>16</v>
      </c>
      <c r="H5771" t="s">
        <v>4339</v>
      </c>
      <c r="I5771">
        <v>2.2134</v>
      </c>
      <c r="J5771">
        <v>33658.480000000003</v>
      </c>
      <c r="K5771">
        <v>15206.686545585977</v>
      </c>
    </row>
    <row r="5772" spans="1:11" x14ac:dyDescent="0.25">
      <c r="A5772" t="s">
        <v>1072</v>
      </c>
      <c r="B5772" t="s">
        <v>1073</v>
      </c>
      <c r="C5772" s="1">
        <v>41828</v>
      </c>
      <c r="D5772" s="1">
        <v>41831</v>
      </c>
      <c r="E5772">
        <v>19972</v>
      </c>
      <c r="F5772" t="s">
        <v>368</v>
      </c>
      <c r="G5772" t="s">
        <v>16</v>
      </c>
      <c r="H5772" t="s">
        <v>7504</v>
      </c>
      <c r="I5772">
        <v>2.2201</v>
      </c>
      <c r="J5772">
        <v>33698.36</v>
      </c>
      <c r="K5772">
        <v>15178.757713616504</v>
      </c>
    </row>
    <row r="5773" spans="1:11" x14ac:dyDescent="0.25">
      <c r="A5773" t="s">
        <v>1072</v>
      </c>
      <c r="B5773" t="s">
        <v>1073</v>
      </c>
      <c r="C5773" s="1">
        <v>41830</v>
      </c>
      <c r="D5773" s="1">
        <v>41832</v>
      </c>
      <c r="E5773">
        <v>19972</v>
      </c>
      <c r="F5773" t="s">
        <v>368</v>
      </c>
      <c r="G5773" t="s">
        <v>16</v>
      </c>
      <c r="H5773" t="s">
        <v>7505</v>
      </c>
      <c r="I5773">
        <v>2.2139000000000002</v>
      </c>
      <c r="J5773">
        <v>32541.4</v>
      </c>
      <c r="K5773">
        <v>14698.676543655991</v>
      </c>
    </row>
    <row r="5774" spans="1:11" x14ac:dyDescent="0.25">
      <c r="A5774" t="s">
        <v>7506</v>
      </c>
      <c r="C5774" s="1">
        <v>41823</v>
      </c>
      <c r="D5774" s="1">
        <v>41824</v>
      </c>
      <c r="E5774">
        <v>19036</v>
      </c>
      <c r="F5774" t="s">
        <v>519</v>
      </c>
      <c r="G5774" t="s">
        <v>16</v>
      </c>
      <c r="H5774" t="s">
        <v>7507</v>
      </c>
      <c r="I5774">
        <v>2.2134</v>
      </c>
      <c r="J5774">
        <v>594.5</v>
      </c>
      <c r="K5774">
        <v>268.59130749073825</v>
      </c>
    </row>
    <row r="5775" spans="1:11" x14ac:dyDescent="0.25">
      <c r="A5775" t="s">
        <v>1072</v>
      </c>
      <c r="B5775" t="s">
        <v>1073</v>
      </c>
      <c r="C5775" s="1">
        <v>41834</v>
      </c>
      <c r="D5775" s="1">
        <v>41837</v>
      </c>
      <c r="E5775">
        <v>19972</v>
      </c>
      <c r="F5775" t="s">
        <v>368</v>
      </c>
      <c r="G5775" t="s">
        <v>16</v>
      </c>
      <c r="H5775" t="s">
        <v>4340</v>
      </c>
      <c r="I5775">
        <v>2.2227999999999999</v>
      </c>
      <c r="J5775">
        <v>33445.69</v>
      </c>
      <c r="K5775">
        <v>15046.648371423429</v>
      </c>
    </row>
    <row r="5776" spans="1:11" x14ac:dyDescent="0.25">
      <c r="A5776" t="s">
        <v>1072</v>
      </c>
      <c r="B5776" t="s">
        <v>1073</v>
      </c>
      <c r="C5776" s="1">
        <v>41830</v>
      </c>
      <c r="D5776" s="1">
        <v>41838</v>
      </c>
      <c r="E5776">
        <v>19972</v>
      </c>
      <c r="F5776" t="s">
        <v>368</v>
      </c>
      <c r="G5776" t="s">
        <v>16</v>
      </c>
      <c r="H5776" t="s">
        <v>4341</v>
      </c>
      <c r="I5776">
        <v>2.2139000000000002</v>
      </c>
      <c r="J5776">
        <v>25147.439999999999</v>
      </c>
      <c r="K5776">
        <v>11358.887031934595</v>
      </c>
    </row>
    <row r="5777" spans="1:11" x14ac:dyDescent="0.25">
      <c r="A5777" t="s">
        <v>1072</v>
      </c>
      <c r="B5777" t="s">
        <v>1073</v>
      </c>
      <c r="C5777" s="1">
        <v>41828</v>
      </c>
      <c r="D5777" s="1">
        <v>41830</v>
      </c>
      <c r="E5777">
        <v>19972</v>
      </c>
      <c r="F5777" t="s">
        <v>368</v>
      </c>
      <c r="G5777" t="s">
        <v>16</v>
      </c>
      <c r="H5777" t="s">
        <v>4342</v>
      </c>
      <c r="I5777">
        <v>2.2201</v>
      </c>
      <c r="J5777">
        <v>25041.05</v>
      </c>
      <c r="K5777">
        <v>11279.244178190171</v>
      </c>
    </row>
    <row r="5778" spans="1:11" x14ac:dyDescent="0.25">
      <c r="A5778" t="s">
        <v>1072</v>
      </c>
      <c r="B5778" t="s">
        <v>1073</v>
      </c>
      <c r="C5778" s="1">
        <v>41830</v>
      </c>
      <c r="D5778" s="1">
        <v>41831</v>
      </c>
      <c r="E5778">
        <v>19972</v>
      </c>
      <c r="F5778" t="s">
        <v>368</v>
      </c>
      <c r="G5778" t="s">
        <v>16</v>
      </c>
      <c r="H5778" t="s">
        <v>4343</v>
      </c>
      <c r="I5778">
        <v>2.2139000000000002</v>
      </c>
      <c r="J5778">
        <v>24748.48</v>
      </c>
      <c r="K5778">
        <v>11178.680157188672</v>
      </c>
    </row>
    <row r="5779" spans="1:11" x14ac:dyDescent="0.25">
      <c r="A5779" t="s">
        <v>1072</v>
      </c>
      <c r="B5779" t="s">
        <v>1073</v>
      </c>
      <c r="C5779" s="1">
        <v>41828</v>
      </c>
      <c r="D5779" s="1">
        <v>41831</v>
      </c>
      <c r="E5779">
        <v>19972</v>
      </c>
      <c r="F5779" t="s">
        <v>368</v>
      </c>
      <c r="G5779" t="s">
        <v>16</v>
      </c>
      <c r="H5779" t="s">
        <v>4344</v>
      </c>
      <c r="I5779">
        <v>2.2201</v>
      </c>
      <c r="J5779">
        <v>24761.8</v>
      </c>
      <c r="K5779">
        <v>11153.461555785776</v>
      </c>
    </row>
    <row r="5780" spans="1:11" x14ac:dyDescent="0.25">
      <c r="A5780" t="s">
        <v>1075</v>
      </c>
      <c r="B5780" t="s">
        <v>1076</v>
      </c>
      <c r="C5780" s="1">
        <v>41832</v>
      </c>
      <c r="D5780" s="1">
        <v>41837</v>
      </c>
      <c r="E5780">
        <v>19680</v>
      </c>
      <c r="F5780" t="s">
        <v>368</v>
      </c>
      <c r="G5780" t="s">
        <v>16</v>
      </c>
      <c r="H5780" t="s">
        <v>4345</v>
      </c>
      <c r="I5780">
        <v>2.2227999999999999</v>
      </c>
      <c r="J5780">
        <v>24681.99</v>
      </c>
      <c r="K5780">
        <v>11104.008457800972</v>
      </c>
    </row>
    <row r="5781" spans="1:11" x14ac:dyDescent="0.25">
      <c r="A5781" t="s">
        <v>1075</v>
      </c>
      <c r="B5781" t="s">
        <v>1076</v>
      </c>
      <c r="C5781" s="1">
        <v>41834</v>
      </c>
      <c r="D5781" s="1">
        <v>41837</v>
      </c>
      <c r="E5781">
        <v>19680</v>
      </c>
      <c r="F5781" t="s">
        <v>368</v>
      </c>
      <c r="G5781" t="s">
        <v>16</v>
      </c>
      <c r="H5781" t="s">
        <v>7508</v>
      </c>
      <c r="I5781">
        <v>2.2227999999999999</v>
      </c>
      <c r="J5781">
        <v>33897.85</v>
      </c>
      <c r="K5781">
        <v>15250.067482454562</v>
      </c>
    </row>
    <row r="5782" spans="1:11" x14ac:dyDescent="0.25">
      <c r="A5782" t="s">
        <v>1072</v>
      </c>
      <c r="B5782" t="s">
        <v>1073</v>
      </c>
      <c r="C5782" s="1">
        <v>41827</v>
      </c>
      <c r="D5782" s="1">
        <v>41829</v>
      </c>
      <c r="E5782">
        <v>19972</v>
      </c>
      <c r="F5782" t="s">
        <v>368</v>
      </c>
      <c r="G5782" t="s">
        <v>16</v>
      </c>
      <c r="H5782" t="s">
        <v>4346</v>
      </c>
      <c r="I5782">
        <v>2.2149000000000001</v>
      </c>
      <c r="J5782">
        <v>33685.07</v>
      </c>
      <c r="K5782">
        <v>15208.393155447198</v>
      </c>
    </row>
    <row r="5783" spans="1:11" x14ac:dyDescent="0.25">
      <c r="A5783" t="s">
        <v>1088</v>
      </c>
      <c r="B5783" t="s">
        <v>1089</v>
      </c>
      <c r="C5783" s="1">
        <v>41864</v>
      </c>
      <c r="D5783" s="1">
        <v>41867</v>
      </c>
      <c r="E5783">
        <v>2</v>
      </c>
      <c r="F5783" t="s">
        <v>368</v>
      </c>
      <c r="G5783" t="s">
        <v>16</v>
      </c>
      <c r="H5783" t="s">
        <v>498</v>
      </c>
      <c r="I5783">
        <v>2.2770000000000001</v>
      </c>
      <c r="J5783">
        <v>28630.61</v>
      </c>
      <c r="K5783">
        <v>12573.829600351339</v>
      </c>
    </row>
    <row r="5784" spans="1:11" x14ac:dyDescent="0.25">
      <c r="A5784" t="s">
        <v>1653</v>
      </c>
      <c r="B5784" t="s">
        <v>1654</v>
      </c>
      <c r="C5784" s="1">
        <v>41852</v>
      </c>
      <c r="D5784" s="1">
        <v>41858</v>
      </c>
      <c r="E5784">
        <v>1</v>
      </c>
      <c r="F5784" t="s">
        <v>368</v>
      </c>
      <c r="G5784" t="s">
        <v>16</v>
      </c>
      <c r="H5784" t="s">
        <v>7509</v>
      </c>
      <c r="I5784">
        <v>2.2673999999999999</v>
      </c>
      <c r="J5784">
        <v>50366.239999999998</v>
      </c>
      <c r="K5784">
        <v>22213.213372144306</v>
      </c>
    </row>
    <row r="5785" spans="1:11" x14ac:dyDescent="0.25">
      <c r="A5785" t="s">
        <v>1083</v>
      </c>
      <c r="B5785" t="s">
        <v>1084</v>
      </c>
      <c r="C5785" s="1">
        <v>41849</v>
      </c>
      <c r="D5785" s="1">
        <v>41853</v>
      </c>
      <c r="E5785">
        <v>19679</v>
      </c>
      <c r="F5785" t="s">
        <v>368</v>
      </c>
      <c r="G5785" t="s">
        <v>16</v>
      </c>
      <c r="H5785" t="s">
        <v>4347</v>
      </c>
      <c r="I5785">
        <v>2.2302</v>
      </c>
      <c r="J5785">
        <v>52489.79</v>
      </c>
      <c r="K5785">
        <v>23535.911577437</v>
      </c>
    </row>
    <row r="5786" spans="1:11" x14ac:dyDescent="0.25">
      <c r="A5786" t="s">
        <v>3471</v>
      </c>
      <c r="B5786" t="s">
        <v>3472</v>
      </c>
      <c r="C5786" s="1">
        <v>41852</v>
      </c>
      <c r="D5786" s="1">
        <v>41857</v>
      </c>
      <c r="E5786">
        <v>1</v>
      </c>
      <c r="F5786" t="s">
        <v>368</v>
      </c>
      <c r="G5786" t="s">
        <v>16</v>
      </c>
      <c r="H5786" t="s">
        <v>7510</v>
      </c>
      <c r="I5786">
        <v>2.2673999999999999</v>
      </c>
      <c r="J5786">
        <v>36685.79</v>
      </c>
      <c r="K5786">
        <v>16179.672752932875</v>
      </c>
    </row>
    <row r="5787" spans="1:11" x14ac:dyDescent="0.25">
      <c r="A5787" t="s">
        <v>2590</v>
      </c>
      <c r="B5787" t="s">
        <v>2591</v>
      </c>
      <c r="C5787" s="1">
        <v>41849</v>
      </c>
      <c r="D5787" s="1">
        <v>41852</v>
      </c>
      <c r="E5787">
        <v>1</v>
      </c>
      <c r="F5787" t="s">
        <v>368</v>
      </c>
      <c r="G5787" t="s">
        <v>16</v>
      </c>
      <c r="H5787" t="s">
        <v>7511</v>
      </c>
      <c r="I5787">
        <v>2.2302</v>
      </c>
      <c r="J5787">
        <v>47614.31</v>
      </c>
      <c r="K5787">
        <v>21349.793740471705</v>
      </c>
    </row>
    <row r="5788" spans="1:11" x14ac:dyDescent="0.25">
      <c r="A5788" t="s">
        <v>2590</v>
      </c>
      <c r="B5788" t="s">
        <v>2591</v>
      </c>
      <c r="C5788" s="1">
        <v>41849</v>
      </c>
      <c r="D5788" s="1">
        <v>41852</v>
      </c>
      <c r="E5788">
        <v>1</v>
      </c>
      <c r="F5788" t="s">
        <v>368</v>
      </c>
      <c r="G5788" t="s">
        <v>16</v>
      </c>
      <c r="H5788" t="s">
        <v>7512</v>
      </c>
      <c r="I5788">
        <v>2.2302</v>
      </c>
      <c r="J5788">
        <v>50683.01</v>
      </c>
      <c r="K5788">
        <v>22725.76898932831</v>
      </c>
    </row>
    <row r="5789" spans="1:11" x14ac:dyDescent="0.25">
      <c r="A5789" t="s">
        <v>2585</v>
      </c>
      <c r="B5789" t="s">
        <v>2586</v>
      </c>
      <c r="C5789" s="1">
        <v>41661</v>
      </c>
      <c r="D5789" s="1">
        <v>41821</v>
      </c>
      <c r="E5789">
        <v>1044</v>
      </c>
      <c r="F5789" t="s">
        <v>301</v>
      </c>
      <c r="G5789" t="s">
        <v>16</v>
      </c>
      <c r="H5789" t="s">
        <v>7513</v>
      </c>
      <c r="I5789">
        <v>2.3607999999999998</v>
      </c>
      <c r="J5789">
        <v>3350</v>
      </c>
      <c r="K5789">
        <v>1419.0105049135886</v>
      </c>
    </row>
    <row r="5790" spans="1:11" x14ac:dyDescent="0.25">
      <c r="A5790" t="s">
        <v>1083</v>
      </c>
      <c r="B5790" t="s">
        <v>1084</v>
      </c>
      <c r="C5790" s="1">
        <v>41851</v>
      </c>
      <c r="D5790" s="1">
        <v>41857</v>
      </c>
      <c r="E5790">
        <v>19679</v>
      </c>
      <c r="F5790" t="s">
        <v>368</v>
      </c>
      <c r="G5790" t="s">
        <v>16</v>
      </c>
      <c r="H5790" t="s">
        <v>4348</v>
      </c>
      <c r="I5790">
        <v>2.2446999999999999</v>
      </c>
      <c r="J5790">
        <v>53092.88</v>
      </c>
      <c r="K5790">
        <v>23652.550452176238</v>
      </c>
    </row>
    <row r="5791" spans="1:11" x14ac:dyDescent="0.25">
      <c r="A5791" t="s">
        <v>1075</v>
      </c>
      <c r="B5791" t="s">
        <v>1076</v>
      </c>
      <c r="C5791" s="1">
        <v>41859</v>
      </c>
      <c r="D5791" s="1">
        <v>41862</v>
      </c>
      <c r="E5791">
        <v>19680</v>
      </c>
      <c r="F5791" t="s">
        <v>368</v>
      </c>
      <c r="G5791" t="s">
        <v>16</v>
      </c>
      <c r="H5791" t="s">
        <v>4349</v>
      </c>
      <c r="I5791">
        <v>2.2801999999999998</v>
      </c>
      <c r="J5791">
        <v>33645.19</v>
      </c>
      <c r="K5791">
        <v>14755.367950179809</v>
      </c>
    </row>
    <row r="5792" spans="1:11" x14ac:dyDescent="0.25">
      <c r="A5792" t="s">
        <v>2590</v>
      </c>
      <c r="B5792" t="s">
        <v>2591</v>
      </c>
      <c r="C5792" s="1">
        <v>41851</v>
      </c>
      <c r="D5792" s="1">
        <v>41853</v>
      </c>
      <c r="E5792">
        <v>1</v>
      </c>
      <c r="F5792" t="s">
        <v>368</v>
      </c>
      <c r="G5792" t="s">
        <v>16</v>
      </c>
      <c r="H5792" t="s">
        <v>6865</v>
      </c>
      <c r="I5792">
        <v>2.2446999999999999</v>
      </c>
      <c r="J5792">
        <v>36943.160000000003</v>
      </c>
      <c r="K5792">
        <v>16457.949837394754</v>
      </c>
    </row>
    <row r="5793" spans="1:11" x14ac:dyDescent="0.25">
      <c r="A5793" t="s">
        <v>1094</v>
      </c>
      <c r="B5793" t="s">
        <v>1095</v>
      </c>
      <c r="C5793" s="1">
        <v>41857</v>
      </c>
      <c r="D5793" s="1">
        <v>41866</v>
      </c>
      <c r="E5793">
        <v>2</v>
      </c>
      <c r="F5793" t="s">
        <v>368</v>
      </c>
      <c r="G5793" t="s">
        <v>16</v>
      </c>
      <c r="H5793" t="s">
        <v>7514</v>
      </c>
      <c r="I5793">
        <v>2.2755999999999998</v>
      </c>
      <c r="J5793">
        <v>47970.68</v>
      </c>
      <c r="K5793">
        <v>21080.453506767444</v>
      </c>
    </row>
    <row r="5794" spans="1:11" x14ac:dyDescent="0.25">
      <c r="A5794" t="s">
        <v>384</v>
      </c>
      <c r="B5794" t="s">
        <v>4350</v>
      </c>
      <c r="C5794" s="1">
        <v>41907</v>
      </c>
      <c r="D5794" s="1">
        <v>41919</v>
      </c>
      <c r="E5794">
        <v>20446</v>
      </c>
      <c r="F5794" t="s">
        <v>318</v>
      </c>
      <c r="G5794" t="s">
        <v>16</v>
      </c>
      <c r="H5794" t="s">
        <v>4351</v>
      </c>
      <c r="I5794">
        <v>2.407</v>
      </c>
      <c r="J5794">
        <v>273338.92</v>
      </c>
      <c r="K5794">
        <v>113560</v>
      </c>
    </row>
    <row r="5795" spans="1:11" x14ac:dyDescent="0.25">
      <c r="A5795" t="s">
        <v>384</v>
      </c>
      <c r="B5795" t="s">
        <v>4350</v>
      </c>
      <c r="C5795" s="1">
        <v>41907</v>
      </c>
      <c r="D5795" s="1">
        <v>41919</v>
      </c>
      <c r="E5795">
        <v>20446</v>
      </c>
      <c r="F5795" t="s">
        <v>318</v>
      </c>
      <c r="G5795" t="s">
        <v>16</v>
      </c>
      <c r="H5795" t="s">
        <v>4352</v>
      </c>
      <c r="I5795">
        <v>2.407</v>
      </c>
      <c r="J5795">
        <v>273338.92</v>
      </c>
      <c r="K5795">
        <v>113560</v>
      </c>
    </row>
    <row r="5796" spans="1:11" x14ac:dyDescent="0.25">
      <c r="A5796" t="s">
        <v>3920</v>
      </c>
      <c r="B5796" t="s">
        <v>3921</v>
      </c>
      <c r="C5796" s="1">
        <v>41898</v>
      </c>
      <c r="D5796" s="1">
        <v>41906</v>
      </c>
      <c r="E5796">
        <v>20190</v>
      </c>
      <c r="F5796" t="s">
        <v>301</v>
      </c>
      <c r="G5796" t="s">
        <v>16</v>
      </c>
      <c r="H5796" t="s">
        <v>4353</v>
      </c>
      <c r="I5796">
        <v>2.3401000000000001</v>
      </c>
      <c r="J5796">
        <v>20128</v>
      </c>
      <c r="K5796">
        <v>8601.3418229990166</v>
      </c>
    </row>
    <row r="5797" spans="1:11" x14ac:dyDescent="0.25">
      <c r="A5797" t="s">
        <v>1102</v>
      </c>
      <c r="B5797" t="s">
        <v>1103</v>
      </c>
      <c r="C5797" s="1">
        <v>41906</v>
      </c>
      <c r="D5797" s="1">
        <v>41911</v>
      </c>
      <c r="E5797">
        <v>19980</v>
      </c>
      <c r="F5797" t="s">
        <v>301</v>
      </c>
      <c r="G5797" t="s">
        <v>16</v>
      </c>
      <c r="H5797" t="s">
        <v>4354</v>
      </c>
      <c r="I5797">
        <v>2.4026000000000001</v>
      </c>
      <c r="J5797">
        <v>62370.01</v>
      </c>
      <c r="K5797">
        <v>25959.381503371347</v>
      </c>
    </row>
    <row r="5798" spans="1:11" x14ac:dyDescent="0.25">
      <c r="A5798" t="s">
        <v>1102</v>
      </c>
      <c r="B5798" t="s">
        <v>1103</v>
      </c>
      <c r="C5798" s="1">
        <v>41906</v>
      </c>
      <c r="D5798" s="1">
        <v>41911</v>
      </c>
      <c r="E5798">
        <v>19980</v>
      </c>
      <c r="F5798" t="s">
        <v>301</v>
      </c>
      <c r="G5798" t="s">
        <v>16</v>
      </c>
      <c r="H5798" t="s">
        <v>7515</v>
      </c>
      <c r="I5798">
        <v>2.4026000000000001</v>
      </c>
      <c r="J5798">
        <v>62370.01</v>
      </c>
      <c r="K5798">
        <v>25959.381503371347</v>
      </c>
    </row>
    <row r="5799" spans="1:11" x14ac:dyDescent="0.25">
      <c r="A5799" t="s">
        <v>4355</v>
      </c>
      <c r="B5799" t="s">
        <v>4356</v>
      </c>
      <c r="C5799" s="1">
        <v>41886</v>
      </c>
      <c r="D5799" s="1">
        <v>41891</v>
      </c>
      <c r="E5799">
        <v>20127</v>
      </c>
      <c r="F5799" t="s">
        <v>280</v>
      </c>
      <c r="G5799" t="s">
        <v>16</v>
      </c>
      <c r="H5799" t="s">
        <v>4357</v>
      </c>
      <c r="I5799">
        <v>2.2319</v>
      </c>
      <c r="J5799">
        <v>129010.11</v>
      </c>
      <c r="K5799">
        <v>57802.818226623058</v>
      </c>
    </row>
    <row r="5800" spans="1:11" x14ac:dyDescent="0.25">
      <c r="A5800" t="s">
        <v>361</v>
      </c>
      <c r="B5800" t="s">
        <v>2119</v>
      </c>
      <c r="C5800" s="1">
        <v>41907</v>
      </c>
      <c r="D5800" s="1">
        <v>41913</v>
      </c>
      <c r="E5800">
        <v>20126</v>
      </c>
      <c r="F5800" t="s">
        <v>278</v>
      </c>
      <c r="G5800" t="s">
        <v>16</v>
      </c>
      <c r="H5800" t="s">
        <v>4358</v>
      </c>
      <c r="I5800">
        <v>2.407</v>
      </c>
      <c r="J5800">
        <v>139211.28</v>
      </c>
      <c r="K5800">
        <v>57836.011632737849</v>
      </c>
    </row>
    <row r="5801" spans="1:11" x14ac:dyDescent="0.25">
      <c r="A5801" t="s">
        <v>1664</v>
      </c>
      <c r="B5801" t="s">
        <v>1665</v>
      </c>
      <c r="C5801" s="1">
        <v>41865</v>
      </c>
      <c r="D5801" s="1">
        <v>41884</v>
      </c>
      <c r="E5801">
        <v>2</v>
      </c>
      <c r="F5801" t="s">
        <v>368</v>
      </c>
      <c r="G5801" t="s">
        <v>16</v>
      </c>
      <c r="H5801" t="s">
        <v>7516</v>
      </c>
      <c r="I5801">
        <v>2.2692000000000001</v>
      </c>
      <c r="J5801">
        <v>38315.589999999997</v>
      </c>
      <c r="K5801">
        <v>16885.06522122334</v>
      </c>
    </row>
    <row r="5802" spans="1:11" x14ac:dyDescent="0.25">
      <c r="A5802" t="s">
        <v>1072</v>
      </c>
      <c r="B5802" t="s">
        <v>1073</v>
      </c>
      <c r="C5802" s="1">
        <v>41874</v>
      </c>
      <c r="D5802" s="1">
        <v>41884</v>
      </c>
      <c r="E5802">
        <v>19972</v>
      </c>
      <c r="F5802" t="s">
        <v>368</v>
      </c>
      <c r="G5802" t="s">
        <v>16</v>
      </c>
      <c r="H5802" t="s">
        <v>4359</v>
      </c>
      <c r="I5802">
        <v>2.2778</v>
      </c>
      <c r="J5802">
        <v>38956.660000000003</v>
      </c>
      <c r="K5802">
        <v>17102.75704627272</v>
      </c>
    </row>
    <row r="5803" spans="1:11" x14ac:dyDescent="0.25">
      <c r="A5803" t="s">
        <v>1072</v>
      </c>
      <c r="B5803" t="s">
        <v>1073</v>
      </c>
      <c r="C5803" s="1">
        <v>41897</v>
      </c>
      <c r="D5803" s="1">
        <v>41898</v>
      </c>
      <c r="E5803">
        <v>19972</v>
      </c>
      <c r="F5803" t="s">
        <v>368</v>
      </c>
      <c r="G5803" t="s">
        <v>16</v>
      </c>
      <c r="H5803" t="s">
        <v>4360</v>
      </c>
      <c r="I5803">
        <v>2.3250999999999999</v>
      </c>
      <c r="J5803">
        <v>25431.360000000001</v>
      </c>
      <c r="K5803">
        <v>10937.748914025204</v>
      </c>
    </row>
    <row r="5804" spans="1:11" x14ac:dyDescent="0.25">
      <c r="A5804" t="s">
        <v>535</v>
      </c>
      <c r="B5804" t="s">
        <v>7517</v>
      </c>
      <c r="C5804" s="1">
        <v>41893</v>
      </c>
      <c r="D5804" s="1">
        <v>41907</v>
      </c>
      <c r="E5804">
        <v>3</v>
      </c>
      <c r="F5804" t="s">
        <v>278</v>
      </c>
      <c r="G5804" t="s">
        <v>16</v>
      </c>
      <c r="H5804" t="s">
        <v>7518</v>
      </c>
      <c r="I5804">
        <v>2.2967</v>
      </c>
      <c r="J5804">
        <v>52157.8</v>
      </c>
      <c r="K5804">
        <v>22709.888100317847</v>
      </c>
    </row>
    <row r="5805" spans="1:11" x14ac:dyDescent="0.25">
      <c r="A5805" t="s">
        <v>3471</v>
      </c>
      <c r="B5805" t="s">
        <v>3472</v>
      </c>
      <c r="C5805" s="1">
        <v>41855</v>
      </c>
      <c r="D5805" s="1">
        <v>41883</v>
      </c>
      <c r="E5805">
        <v>1</v>
      </c>
      <c r="F5805" t="s">
        <v>368</v>
      </c>
      <c r="G5805" t="s">
        <v>16</v>
      </c>
      <c r="H5805" t="s">
        <v>4361</v>
      </c>
      <c r="I5805">
        <v>2.2606999999999999</v>
      </c>
      <c r="J5805">
        <v>46842.19</v>
      </c>
      <c r="K5805">
        <v>20720.214977661784</v>
      </c>
    </row>
    <row r="5806" spans="1:11" x14ac:dyDescent="0.25">
      <c r="A5806" t="s">
        <v>1664</v>
      </c>
      <c r="B5806" t="s">
        <v>1665</v>
      </c>
      <c r="C5806" s="1">
        <v>41873</v>
      </c>
      <c r="D5806" s="1">
        <v>41883</v>
      </c>
      <c r="E5806">
        <v>2</v>
      </c>
      <c r="F5806" t="s">
        <v>368</v>
      </c>
      <c r="G5806" t="s">
        <v>16</v>
      </c>
      <c r="H5806" t="s">
        <v>7519</v>
      </c>
      <c r="I5806">
        <v>2.2582</v>
      </c>
      <c r="J5806">
        <v>38603.57</v>
      </c>
      <c r="K5806">
        <v>17094.841023824283</v>
      </c>
    </row>
    <row r="5807" spans="1:11" x14ac:dyDescent="0.25">
      <c r="A5807" t="s">
        <v>1140</v>
      </c>
      <c r="B5807" t="s">
        <v>1141</v>
      </c>
      <c r="C5807" s="1">
        <v>41873</v>
      </c>
      <c r="D5807" s="1">
        <v>41883</v>
      </c>
      <c r="E5807">
        <v>3</v>
      </c>
      <c r="F5807" t="s">
        <v>368</v>
      </c>
      <c r="G5807" t="s">
        <v>16</v>
      </c>
      <c r="H5807" t="s">
        <v>7520</v>
      </c>
      <c r="I5807">
        <v>2.2582</v>
      </c>
      <c r="J5807">
        <v>38406.54</v>
      </c>
      <c r="K5807">
        <v>17007.590116021609</v>
      </c>
    </row>
    <row r="5808" spans="1:11" x14ac:dyDescent="0.25">
      <c r="A5808" t="s">
        <v>1140</v>
      </c>
      <c r="B5808" t="s">
        <v>1141</v>
      </c>
      <c r="C5808" s="1">
        <v>41874</v>
      </c>
      <c r="D5808" s="1">
        <v>41883</v>
      </c>
      <c r="E5808">
        <v>3</v>
      </c>
      <c r="F5808" t="s">
        <v>368</v>
      </c>
      <c r="G5808" t="s">
        <v>16</v>
      </c>
      <c r="H5808" t="s">
        <v>4362</v>
      </c>
      <c r="I5808">
        <v>2.2778</v>
      </c>
      <c r="J5808">
        <v>26872.46</v>
      </c>
      <c r="K5808">
        <v>11797.550267802266</v>
      </c>
    </row>
    <row r="5809" spans="1:11" x14ac:dyDescent="0.25">
      <c r="A5809" t="s">
        <v>1140</v>
      </c>
      <c r="B5809" t="s">
        <v>1141</v>
      </c>
      <c r="C5809" s="1">
        <v>41874</v>
      </c>
      <c r="D5809" s="1">
        <v>41883</v>
      </c>
      <c r="E5809">
        <v>3</v>
      </c>
      <c r="F5809" t="s">
        <v>368</v>
      </c>
      <c r="G5809" t="s">
        <v>16</v>
      </c>
      <c r="H5809" t="s">
        <v>7521</v>
      </c>
      <c r="I5809">
        <v>2.2778</v>
      </c>
      <c r="J5809">
        <v>38421.699999999997</v>
      </c>
      <c r="K5809">
        <v>16867.89884976732</v>
      </c>
    </row>
    <row r="5810" spans="1:11" x14ac:dyDescent="0.25">
      <c r="A5810" t="s">
        <v>1107</v>
      </c>
      <c r="B5810" t="s">
        <v>1108</v>
      </c>
      <c r="C5810" s="1">
        <v>41876</v>
      </c>
      <c r="D5810" s="1">
        <v>41883</v>
      </c>
      <c r="E5810">
        <v>2</v>
      </c>
      <c r="F5810" t="s">
        <v>368</v>
      </c>
      <c r="G5810" t="s">
        <v>16</v>
      </c>
      <c r="H5810" t="s">
        <v>7522</v>
      </c>
      <c r="I5810">
        <v>2.2778</v>
      </c>
      <c r="J5810">
        <v>1682.36</v>
      </c>
      <c r="K5810">
        <v>738.58986741592764</v>
      </c>
    </row>
    <row r="5811" spans="1:11" x14ac:dyDescent="0.25">
      <c r="A5811" t="s">
        <v>1072</v>
      </c>
      <c r="B5811" t="s">
        <v>1073</v>
      </c>
      <c r="C5811" s="1">
        <v>41876</v>
      </c>
      <c r="D5811" s="1">
        <v>41883</v>
      </c>
      <c r="E5811">
        <v>19972</v>
      </c>
      <c r="F5811" t="s">
        <v>368</v>
      </c>
      <c r="G5811" t="s">
        <v>16</v>
      </c>
      <c r="H5811" t="s">
        <v>4363</v>
      </c>
      <c r="I5811">
        <v>2.2778</v>
      </c>
      <c r="J5811">
        <v>10157.879999999999</v>
      </c>
      <c r="K5811">
        <v>4459.5135657213104</v>
      </c>
    </row>
    <row r="5812" spans="1:11" x14ac:dyDescent="0.25">
      <c r="A5812" t="s">
        <v>1072</v>
      </c>
      <c r="B5812" t="s">
        <v>1073</v>
      </c>
      <c r="C5812" s="1">
        <v>41874</v>
      </c>
      <c r="D5812" s="1">
        <v>41883</v>
      </c>
      <c r="E5812">
        <v>19972</v>
      </c>
      <c r="F5812" t="s">
        <v>368</v>
      </c>
      <c r="G5812" t="s">
        <v>16</v>
      </c>
      <c r="H5812" t="s">
        <v>4364</v>
      </c>
      <c r="I5812">
        <v>2.2778</v>
      </c>
      <c r="J5812">
        <v>27609.49</v>
      </c>
      <c r="K5812">
        <v>12121.121257353587</v>
      </c>
    </row>
    <row r="5813" spans="1:11" x14ac:dyDescent="0.25">
      <c r="A5813" t="s">
        <v>1072</v>
      </c>
      <c r="B5813" t="s">
        <v>1073</v>
      </c>
      <c r="C5813" s="1">
        <v>41873</v>
      </c>
      <c r="D5813" s="1">
        <v>41883</v>
      </c>
      <c r="E5813">
        <v>19972</v>
      </c>
      <c r="F5813" t="s">
        <v>368</v>
      </c>
      <c r="G5813" t="s">
        <v>16</v>
      </c>
      <c r="H5813" t="s">
        <v>4365</v>
      </c>
      <c r="I5813">
        <v>2.2582</v>
      </c>
      <c r="J5813">
        <v>37794.9</v>
      </c>
      <c r="K5813">
        <v>16736.737224337969</v>
      </c>
    </row>
    <row r="5814" spans="1:11" x14ac:dyDescent="0.25">
      <c r="A5814" t="s">
        <v>1072</v>
      </c>
      <c r="B5814" t="s">
        <v>1073</v>
      </c>
      <c r="C5814" s="1">
        <v>41874</v>
      </c>
      <c r="D5814" s="1">
        <v>41883</v>
      </c>
      <c r="E5814">
        <v>19972</v>
      </c>
      <c r="F5814" t="s">
        <v>368</v>
      </c>
      <c r="G5814" t="s">
        <v>16</v>
      </c>
      <c r="H5814" t="s">
        <v>4366</v>
      </c>
      <c r="I5814">
        <v>2.2778</v>
      </c>
      <c r="J5814">
        <v>37749.58</v>
      </c>
      <c r="K5814">
        <v>16572.824655369215</v>
      </c>
    </row>
    <row r="5815" spans="1:11" x14ac:dyDescent="0.25">
      <c r="A5815" t="s">
        <v>1667</v>
      </c>
      <c r="B5815" t="s">
        <v>1668</v>
      </c>
      <c r="C5815" s="1">
        <v>41887</v>
      </c>
      <c r="D5815" s="1">
        <v>41897</v>
      </c>
      <c r="E5815">
        <v>20188</v>
      </c>
      <c r="F5815" t="s">
        <v>309</v>
      </c>
      <c r="G5815" t="s">
        <v>16</v>
      </c>
      <c r="H5815" t="s">
        <v>4367</v>
      </c>
      <c r="I5815">
        <v>2.2355999999999998</v>
      </c>
      <c r="J5815">
        <v>134420</v>
      </c>
      <c r="K5815">
        <v>60127.035247808191</v>
      </c>
    </row>
    <row r="5816" spans="1:11" x14ac:dyDescent="0.25">
      <c r="A5816" t="s">
        <v>470</v>
      </c>
      <c r="B5816" t="s">
        <v>2117</v>
      </c>
      <c r="C5816" s="1">
        <v>41904</v>
      </c>
      <c r="D5816" s="1">
        <v>41918</v>
      </c>
      <c r="E5816">
        <v>19755</v>
      </c>
      <c r="F5816" t="s">
        <v>311</v>
      </c>
      <c r="G5816" t="s">
        <v>16</v>
      </c>
      <c r="H5816" t="s">
        <v>4368</v>
      </c>
      <c r="I5816">
        <v>2.3656000000000001</v>
      </c>
      <c r="J5816">
        <v>605723.80000000005</v>
      </c>
      <c r="K5816">
        <v>256055.03889076767</v>
      </c>
    </row>
    <row r="5817" spans="1:11" x14ac:dyDescent="0.25">
      <c r="A5817" t="s">
        <v>564</v>
      </c>
      <c r="B5817" t="s">
        <v>4369</v>
      </c>
      <c r="C5817" s="1">
        <v>41908</v>
      </c>
      <c r="D5817" s="1">
        <v>41928</v>
      </c>
      <c r="E5817">
        <v>3</v>
      </c>
      <c r="F5817" t="s">
        <v>278</v>
      </c>
      <c r="G5817" t="s">
        <v>16</v>
      </c>
      <c r="H5817" t="s">
        <v>4370</v>
      </c>
      <c r="I5817">
        <v>2.4085000000000001</v>
      </c>
      <c r="J5817">
        <v>5044</v>
      </c>
      <c r="K5817">
        <v>2094.2495329042972</v>
      </c>
    </row>
    <row r="5818" spans="1:11" x14ac:dyDescent="0.25">
      <c r="A5818" t="s">
        <v>7523</v>
      </c>
      <c r="C5818" s="1">
        <v>41900</v>
      </c>
      <c r="D5818" s="1">
        <v>41928</v>
      </c>
      <c r="E5818">
        <v>40</v>
      </c>
      <c r="F5818" t="s">
        <v>391</v>
      </c>
      <c r="G5818" t="s">
        <v>16</v>
      </c>
      <c r="H5818" t="s">
        <v>7524</v>
      </c>
      <c r="I5818">
        <v>2.3384</v>
      </c>
      <c r="J5818">
        <v>15.68</v>
      </c>
      <c r="K5818">
        <v>6.7054396168320221</v>
      </c>
    </row>
    <row r="5819" spans="1:11" x14ac:dyDescent="0.25">
      <c r="A5819" t="s">
        <v>1111</v>
      </c>
      <c r="B5819" t="s">
        <v>458</v>
      </c>
      <c r="C5819" s="1">
        <v>41941</v>
      </c>
      <c r="D5819" s="1">
        <v>41946</v>
      </c>
      <c r="E5819">
        <v>20492</v>
      </c>
      <c r="F5819" t="s">
        <v>301</v>
      </c>
      <c r="G5819" t="s">
        <v>16</v>
      </c>
      <c r="H5819" t="s">
        <v>7525</v>
      </c>
      <c r="I5819">
        <v>2.4868999999999999</v>
      </c>
      <c r="J5819">
        <v>28539.99</v>
      </c>
      <c r="K5819">
        <v>11476.130926052516</v>
      </c>
    </row>
    <row r="5820" spans="1:11" x14ac:dyDescent="0.25">
      <c r="A5820" t="s">
        <v>279</v>
      </c>
      <c r="B5820" t="s">
        <v>4371</v>
      </c>
      <c r="C5820" s="1">
        <v>41919</v>
      </c>
      <c r="D5820" s="1">
        <v>41923</v>
      </c>
      <c r="E5820">
        <v>20125</v>
      </c>
      <c r="F5820" t="s">
        <v>278</v>
      </c>
      <c r="G5820" t="s">
        <v>16</v>
      </c>
      <c r="H5820" t="s">
        <v>4372</v>
      </c>
      <c r="I5820">
        <v>2.4098000000000002</v>
      </c>
      <c r="J5820">
        <v>174161.6</v>
      </c>
      <c r="K5820">
        <v>72272.221761142006</v>
      </c>
    </row>
    <row r="5821" spans="1:11" x14ac:dyDescent="0.25">
      <c r="A5821" t="s">
        <v>1102</v>
      </c>
      <c r="B5821" t="s">
        <v>1103</v>
      </c>
      <c r="C5821" s="1">
        <v>41919</v>
      </c>
      <c r="D5821" s="1">
        <v>41923</v>
      </c>
      <c r="E5821">
        <v>19980</v>
      </c>
      <c r="F5821" t="s">
        <v>301</v>
      </c>
      <c r="G5821" t="s">
        <v>16</v>
      </c>
      <c r="H5821" t="s">
        <v>7526</v>
      </c>
      <c r="I5821">
        <v>2.4098000000000002</v>
      </c>
      <c r="J5821">
        <v>62550</v>
      </c>
      <c r="K5821">
        <v>25956.510913768776</v>
      </c>
    </row>
    <row r="5822" spans="1:11" x14ac:dyDescent="0.25">
      <c r="A5822" t="s">
        <v>1102</v>
      </c>
      <c r="B5822" t="s">
        <v>1103</v>
      </c>
      <c r="C5822" s="1">
        <v>41919</v>
      </c>
      <c r="D5822" s="1">
        <v>41923</v>
      </c>
      <c r="E5822">
        <v>19980</v>
      </c>
      <c r="F5822" t="s">
        <v>301</v>
      </c>
      <c r="G5822" t="s">
        <v>16</v>
      </c>
      <c r="H5822" t="s">
        <v>4373</v>
      </c>
      <c r="I5822">
        <v>2.4098000000000002</v>
      </c>
      <c r="J5822">
        <v>62550</v>
      </c>
      <c r="K5822">
        <v>25956.510913768776</v>
      </c>
    </row>
    <row r="5823" spans="1:11" x14ac:dyDescent="0.25">
      <c r="A5823" t="s">
        <v>1102</v>
      </c>
      <c r="B5823" t="s">
        <v>1103</v>
      </c>
      <c r="C5823" s="1">
        <v>41929</v>
      </c>
      <c r="D5823" s="1">
        <v>41935</v>
      </c>
      <c r="E5823">
        <v>19980</v>
      </c>
      <c r="F5823" t="s">
        <v>301</v>
      </c>
      <c r="G5823" t="s">
        <v>16</v>
      </c>
      <c r="H5823" t="s">
        <v>4374</v>
      </c>
      <c r="I5823">
        <v>2.4769999999999999</v>
      </c>
      <c r="J5823">
        <v>12861.01</v>
      </c>
      <c r="K5823">
        <v>5192.1719822365767</v>
      </c>
    </row>
    <row r="5824" spans="1:11" x14ac:dyDescent="0.25">
      <c r="A5824" t="s">
        <v>1102</v>
      </c>
      <c r="B5824" t="s">
        <v>1103</v>
      </c>
      <c r="C5824" s="1">
        <v>41929</v>
      </c>
      <c r="D5824" s="1">
        <v>41935</v>
      </c>
      <c r="E5824">
        <v>19980</v>
      </c>
      <c r="F5824" t="s">
        <v>301</v>
      </c>
      <c r="G5824" t="s">
        <v>16</v>
      </c>
      <c r="H5824" t="s">
        <v>4375</v>
      </c>
      <c r="I5824">
        <v>2.4769999999999999</v>
      </c>
      <c r="J5824">
        <v>64305</v>
      </c>
      <c r="K5824">
        <v>25960.839725474365</v>
      </c>
    </row>
    <row r="5825" spans="1:11" x14ac:dyDescent="0.25">
      <c r="A5825" t="s">
        <v>281</v>
      </c>
      <c r="B5825" t="s">
        <v>4376</v>
      </c>
      <c r="C5825" s="1">
        <v>41932</v>
      </c>
      <c r="D5825" s="1">
        <v>41935</v>
      </c>
      <c r="E5825">
        <v>20706</v>
      </c>
      <c r="F5825" t="s">
        <v>280</v>
      </c>
      <c r="G5825" t="s">
        <v>16</v>
      </c>
      <c r="H5825" t="s">
        <v>4377</v>
      </c>
      <c r="I5825">
        <v>2.4477000000000002</v>
      </c>
      <c r="J5825">
        <v>7560</v>
      </c>
      <c r="K5825">
        <v>3088.6138007108716</v>
      </c>
    </row>
    <row r="5826" spans="1:11" x14ac:dyDescent="0.25">
      <c r="A5826" t="s">
        <v>517</v>
      </c>
      <c r="B5826" t="s">
        <v>2184</v>
      </c>
      <c r="C5826" s="1">
        <v>41919</v>
      </c>
      <c r="D5826" s="1">
        <v>41927</v>
      </c>
      <c r="E5826">
        <v>7</v>
      </c>
      <c r="F5826" t="s">
        <v>311</v>
      </c>
      <c r="G5826" t="s">
        <v>16</v>
      </c>
      <c r="H5826" t="s">
        <v>7527</v>
      </c>
      <c r="I5826">
        <v>2.4098000000000002</v>
      </c>
      <c r="J5826">
        <v>27927.45</v>
      </c>
      <c r="K5826">
        <v>11589.115279276288</v>
      </c>
    </row>
    <row r="5827" spans="1:11" x14ac:dyDescent="0.25">
      <c r="A5827" t="s">
        <v>1123</v>
      </c>
      <c r="B5827" t="s">
        <v>1124</v>
      </c>
      <c r="C5827" s="1">
        <v>41962</v>
      </c>
      <c r="D5827" s="1">
        <v>41964</v>
      </c>
      <c r="E5827">
        <v>21159</v>
      </c>
      <c r="F5827" t="s">
        <v>368</v>
      </c>
      <c r="G5827" t="s">
        <v>16</v>
      </c>
      <c r="H5827" t="s">
        <v>7528</v>
      </c>
      <c r="I5827">
        <v>2.5966999999999998</v>
      </c>
      <c r="J5827">
        <v>62343.38</v>
      </c>
      <c r="K5827">
        <v>24008.695652173912</v>
      </c>
    </row>
    <row r="5828" spans="1:11" x14ac:dyDescent="0.25">
      <c r="A5828" t="s">
        <v>1111</v>
      </c>
      <c r="B5828" t="s">
        <v>458</v>
      </c>
      <c r="C5828" s="1">
        <v>41949</v>
      </c>
      <c r="D5828" s="1">
        <v>41967</v>
      </c>
      <c r="E5828">
        <v>20492</v>
      </c>
      <c r="F5828" t="s">
        <v>301</v>
      </c>
      <c r="G5828" t="s">
        <v>16</v>
      </c>
      <c r="H5828" t="s">
        <v>7529</v>
      </c>
      <c r="I5828">
        <v>2.5167999999999999</v>
      </c>
      <c r="J5828">
        <v>231440</v>
      </c>
      <c r="K5828">
        <v>91958.041958041955</v>
      </c>
    </row>
    <row r="5829" spans="1:11" x14ac:dyDescent="0.25">
      <c r="A5829" t="s">
        <v>279</v>
      </c>
      <c r="B5829" t="s">
        <v>4371</v>
      </c>
      <c r="C5829" s="1">
        <v>41922</v>
      </c>
      <c r="D5829" s="1">
        <v>41932</v>
      </c>
      <c r="E5829">
        <v>20125</v>
      </c>
      <c r="F5829" t="s">
        <v>278</v>
      </c>
      <c r="G5829" t="s">
        <v>16</v>
      </c>
      <c r="H5829" t="s">
        <v>7530</v>
      </c>
      <c r="I5829">
        <v>2.3914</v>
      </c>
      <c r="J5829">
        <v>235920</v>
      </c>
      <c r="K5829">
        <v>98653.508405118337</v>
      </c>
    </row>
    <row r="5830" spans="1:11" x14ac:dyDescent="0.25">
      <c r="A5830" t="s">
        <v>608</v>
      </c>
      <c r="B5830" t="s">
        <v>3065</v>
      </c>
      <c r="C5830" s="1">
        <v>41925</v>
      </c>
      <c r="D5830" s="1">
        <v>41946</v>
      </c>
      <c r="E5830">
        <v>59</v>
      </c>
      <c r="F5830" t="s">
        <v>311</v>
      </c>
      <c r="G5830" t="s">
        <v>16</v>
      </c>
      <c r="H5830" t="s">
        <v>7531</v>
      </c>
      <c r="I5830">
        <v>2.4102999999999999</v>
      </c>
      <c r="J5830">
        <v>22168.32</v>
      </c>
      <c r="K5830">
        <v>9197.3281334273743</v>
      </c>
    </row>
    <row r="5831" spans="1:11" x14ac:dyDescent="0.25">
      <c r="A5831" t="s">
        <v>337</v>
      </c>
      <c r="B5831" t="s">
        <v>1105</v>
      </c>
      <c r="C5831" s="1">
        <v>41997</v>
      </c>
      <c r="D5831" s="1">
        <v>42016</v>
      </c>
      <c r="E5831">
        <v>20192</v>
      </c>
      <c r="F5831" t="s">
        <v>311</v>
      </c>
      <c r="G5831" t="s">
        <v>16</v>
      </c>
      <c r="H5831" t="s">
        <v>4378</v>
      </c>
      <c r="I5831">
        <v>2.6775000000000002</v>
      </c>
      <c r="J5831">
        <v>331500</v>
      </c>
      <c r="K5831">
        <v>123809.52380952382</v>
      </c>
    </row>
    <row r="5832" spans="1:11" x14ac:dyDescent="0.25">
      <c r="A5832" t="s">
        <v>1116</v>
      </c>
      <c r="B5832" t="s">
        <v>1117</v>
      </c>
      <c r="C5832" s="1">
        <v>41985</v>
      </c>
      <c r="D5832" s="1">
        <v>41990</v>
      </c>
      <c r="E5832">
        <v>21004</v>
      </c>
      <c r="F5832" t="s">
        <v>368</v>
      </c>
      <c r="G5832" t="s">
        <v>16</v>
      </c>
      <c r="H5832" t="s">
        <v>7532</v>
      </c>
      <c r="I5832">
        <v>2.6271</v>
      </c>
      <c r="J5832">
        <v>43001.37</v>
      </c>
      <c r="K5832">
        <v>16368.379582048647</v>
      </c>
    </row>
    <row r="5833" spans="1:11" x14ac:dyDescent="0.25">
      <c r="A5833" t="s">
        <v>1116</v>
      </c>
      <c r="B5833" t="s">
        <v>1117</v>
      </c>
      <c r="C5833" s="1">
        <v>41985</v>
      </c>
      <c r="D5833" s="1">
        <v>41990</v>
      </c>
      <c r="E5833">
        <v>21004</v>
      </c>
      <c r="F5833" t="s">
        <v>368</v>
      </c>
      <c r="G5833" t="s">
        <v>16</v>
      </c>
      <c r="H5833" t="s">
        <v>4379</v>
      </c>
      <c r="I5833">
        <v>2.6271</v>
      </c>
      <c r="J5833">
        <v>46055.42</v>
      </c>
      <c r="K5833">
        <v>17530.897187012295</v>
      </c>
    </row>
    <row r="5834" spans="1:11" x14ac:dyDescent="0.25">
      <c r="A5834" t="s">
        <v>1116</v>
      </c>
      <c r="B5834" t="s">
        <v>1117</v>
      </c>
      <c r="C5834" s="1">
        <v>41985</v>
      </c>
      <c r="D5834" s="1">
        <v>41990</v>
      </c>
      <c r="E5834">
        <v>21004</v>
      </c>
      <c r="F5834" t="s">
        <v>368</v>
      </c>
      <c r="G5834" t="s">
        <v>16</v>
      </c>
      <c r="H5834" t="s">
        <v>7533</v>
      </c>
      <c r="I5834">
        <v>2.6271</v>
      </c>
      <c r="J5834">
        <v>42620.75</v>
      </c>
      <c r="K5834">
        <v>16223.497392562142</v>
      </c>
    </row>
    <row r="5835" spans="1:11" x14ac:dyDescent="0.25">
      <c r="A5835" t="s">
        <v>1116</v>
      </c>
      <c r="B5835" t="s">
        <v>1117</v>
      </c>
      <c r="C5835" s="1">
        <v>42021</v>
      </c>
      <c r="D5835" s="1">
        <v>42023</v>
      </c>
      <c r="E5835">
        <v>21004</v>
      </c>
      <c r="F5835" t="s">
        <v>368</v>
      </c>
      <c r="G5835" t="s">
        <v>16</v>
      </c>
      <c r="H5835" t="s">
        <v>7534</v>
      </c>
      <c r="I5835">
        <v>2.6193</v>
      </c>
      <c r="J5835">
        <v>32699.66</v>
      </c>
      <c r="K5835">
        <v>12484.121711907761</v>
      </c>
    </row>
    <row r="5836" spans="1:11" x14ac:dyDescent="0.25">
      <c r="A5836" t="s">
        <v>1102</v>
      </c>
      <c r="B5836" t="s">
        <v>1103</v>
      </c>
      <c r="C5836" s="1">
        <v>41970</v>
      </c>
      <c r="D5836" s="1">
        <v>41984</v>
      </c>
      <c r="E5836">
        <v>19980</v>
      </c>
      <c r="F5836" t="s">
        <v>301</v>
      </c>
      <c r="G5836" t="s">
        <v>16</v>
      </c>
      <c r="H5836" t="s">
        <v>4380</v>
      </c>
      <c r="I5836">
        <v>2.5103</v>
      </c>
      <c r="J5836">
        <v>65160.01</v>
      </c>
      <c r="K5836">
        <v>25957.060909054693</v>
      </c>
    </row>
    <row r="5837" spans="1:11" x14ac:dyDescent="0.25">
      <c r="A5837" t="s">
        <v>337</v>
      </c>
      <c r="B5837" t="s">
        <v>1105</v>
      </c>
      <c r="C5837" s="1">
        <v>42011</v>
      </c>
      <c r="D5837" s="1">
        <v>42017</v>
      </c>
      <c r="E5837">
        <v>20192</v>
      </c>
      <c r="F5837" t="s">
        <v>1255</v>
      </c>
      <c r="G5837" t="s">
        <v>16</v>
      </c>
      <c r="H5837" t="s">
        <v>7535</v>
      </c>
      <c r="I5837">
        <v>2.7023000000000001</v>
      </c>
      <c r="J5837">
        <v>231822.61</v>
      </c>
      <c r="K5837">
        <v>85787.147985049771</v>
      </c>
    </row>
    <row r="5838" spans="1:11" x14ac:dyDescent="0.25">
      <c r="A5838" t="s">
        <v>337</v>
      </c>
      <c r="B5838" t="s">
        <v>1105</v>
      </c>
      <c r="C5838" s="1">
        <v>42011</v>
      </c>
      <c r="D5838" s="1">
        <v>42017</v>
      </c>
      <c r="E5838">
        <v>20192</v>
      </c>
      <c r="F5838" t="s">
        <v>1255</v>
      </c>
      <c r="G5838" t="s">
        <v>16</v>
      </c>
      <c r="H5838" t="s">
        <v>7536</v>
      </c>
      <c r="I5838">
        <v>2.7023000000000001</v>
      </c>
      <c r="J5838">
        <v>281218.5</v>
      </c>
      <c r="K5838">
        <v>104066.35088628206</v>
      </c>
    </row>
    <row r="5839" spans="1:11" x14ac:dyDescent="0.25">
      <c r="A5839" t="s">
        <v>1131</v>
      </c>
      <c r="B5839" t="s">
        <v>1132</v>
      </c>
      <c r="C5839" s="1">
        <v>42011</v>
      </c>
      <c r="D5839" s="1">
        <v>42022</v>
      </c>
      <c r="E5839">
        <v>20276</v>
      </c>
      <c r="F5839" t="s">
        <v>368</v>
      </c>
      <c r="G5839" t="s">
        <v>16</v>
      </c>
      <c r="H5839" t="s">
        <v>4381</v>
      </c>
      <c r="I5839">
        <v>2.7023000000000001</v>
      </c>
      <c r="J5839">
        <v>66199</v>
      </c>
      <c r="K5839">
        <v>24497.280094734117</v>
      </c>
    </row>
    <row r="5840" spans="1:11" x14ac:dyDescent="0.25">
      <c r="A5840" t="s">
        <v>1111</v>
      </c>
      <c r="B5840" t="s">
        <v>458</v>
      </c>
      <c r="C5840" s="1">
        <v>41981</v>
      </c>
      <c r="D5840" s="1">
        <v>41988</v>
      </c>
      <c r="E5840">
        <v>20492</v>
      </c>
      <c r="F5840" t="s">
        <v>301</v>
      </c>
      <c r="G5840" t="s">
        <v>16</v>
      </c>
      <c r="H5840" t="s">
        <v>4382</v>
      </c>
      <c r="I5840">
        <v>2.5888</v>
      </c>
      <c r="J5840">
        <v>160709.6</v>
      </c>
      <c r="K5840">
        <v>62078.800988875155</v>
      </c>
    </row>
    <row r="5841" spans="1:11" x14ac:dyDescent="0.25">
      <c r="A5841" t="s">
        <v>362</v>
      </c>
      <c r="B5841" t="s">
        <v>1214</v>
      </c>
      <c r="C5841" s="1">
        <v>41960</v>
      </c>
      <c r="D5841" s="1">
        <v>41974</v>
      </c>
      <c r="E5841">
        <v>21348</v>
      </c>
      <c r="F5841" t="s">
        <v>311</v>
      </c>
      <c r="G5841" t="s">
        <v>16</v>
      </c>
      <c r="H5841" t="s">
        <v>7537</v>
      </c>
      <c r="I5841">
        <v>2.6135999999999999</v>
      </c>
      <c r="J5841">
        <v>20903.2</v>
      </c>
      <c r="K5841">
        <v>7997.857361493725</v>
      </c>
    </row>
    <row r="5842" spans="1:11" x14ac:dyDescent="0.25">
      <c r="A5842" t="s">
        <v>1120</v>
      </c>
      <c r="B5842" t="s">
        <v>1121</v>
      </c>
      <c r="C5842" s="1">
        <v>41995</v>
      </c>
      <c r="D5842" s="1">
        <v>41999</v>
      </c>
      <c r="E5842">
        <v>21633</v>
      </c>
      <c r="F5842" t="s">
        <v>368</v>
      </c>
      <c r="G5842" t="s">
        <v>16</v>
      </c>
      <c r="H5842" t="s">
        <v>4383</v>
      </c>
      <c r="I5842">
        <v>2.6486000000000001</v>
      </c>
      <c r="J5842">
        <v>63092.57</v>
      </c>
      <c r="K5842">
        <v>23821.101714113116</v>
      </c>
    </row>
    <row r="5843" spans="1:11" x14ac:dyDescent="0.25">
      <c r="A5843" t="s">
        <v>1116</v>
      </c>
      <c r="B5843" t="s">
        <v>1117</v>
      </c>
      <c r="C5843" s="1">
        <v>41985</v>
      </c>
      <c r="D5843" s="1">
        <v>41991</v>
      </c>
      <c r="E5843">
        <v>21004</v>
      </c>
      <c r="F5843" t="s">
        <v>368</v>
      </c>
      <c r="G5843" t="s">
        <v>16</v>
      </c>
      <c r="H5843" t="s">
        <v>7538</v>
      </c>
      <c r="I5843">
        <v>2.6271</v>
      </c>
      <c r="J5843">
        <v>34274.22</v>
      </c>
      <c r="K5843">
        <v>13046.408587415781</v>
      </c>
    </row>
    <row r="5844" spans="1:11" x14ac:dyDescent="0.25">
      <c r="A5844" t="s">
        <v>1116</v>
      </c>
      <c r="B5844" t="s">
        <v>1117</v>
      </c>
      <c r="C5844" s="1">
        <v>41985</v>
      </c>
      <c r="D5844" s="1">
        <v>41991</v>
      </c>
      <c r="E5844">
        <v>21004</v>
      </c>
      <c r="F5844" t="s">
        <v>368</v>
      </c>
      <c r="G5844" t="s">
        <v>16</v>
      </c>
      <c r="H5844" t="s">
        <v>7539</v>
      </c>
      <c r="I5844">
        <v>2.6271</v>
      </c>
      <c r="J5844">
        <v>33667.040000000001</v>
      </c>
      <c r="K5844">
        <v>12815.286818164515</v>
      </c>
    </row>
    <row r="5845" spans="1:11" x14ac:dyDescent="0.25">
      <c r="A5845" t="s">
        <v>1116</v>
      </c>
      <c r="B5845" t="s">
        <v>1117</v>
      </c>
      <c r="C5845" s="1">
        <v>42023</v>
      </c>
      <c r="D5845" s="1">
        <v>42024</v>
      </c>
      <c r="E5845">
        <v>21004</v>
      </c>
      <c r="F5845" t="s">
        <v>368</v>
      </c>
      <c r="G5845" t="s">
        <v>16</v>
      </c>
      <c r="H5845" t="s">
        <v>7540</v>
      </c>
      <c r="I5845">
        <v>2.6193</v>
      </c>
      <c r="J5845">
        <v>32636.41</v>
      </c>
      <c r="K5845">
        <v>12459.974038865346</v>
      </c>
    </row>
    <row r="5846" spans="1:11" x14ac:dyDescent="0.25">
      <c r="A5846" t="s">
        <v>1145</v>
      </c>
      <c r="B5846" t="s">
        <v>1146</v>
      </c>
      <c r="C5846" s="1">
        <v>42042</v>
      </c>
      <c r="D5846" s="1">
        <v>42043</v>
      </c>
      <c r="E5846">
        <v>21007</v>
      </c>
      <c r="F5846" t="s">
        <v>368</v>
      </c>
      <c r="G5846" t="s">
        <v>16</v>
      </c>
      <c r="H5846" t="s">
        <v>7541</v>
      </c>
      <c r="I5846">
        <v>2.7641</v>
      </c>
      <c r="J5846">
        <v>34890.76</v>
      </c>
      <c r="K5846">
        <v>12622.828407076444</v>
      </c>
    </row>
    <row r="5847" spans="1:11" x14ac:dyDescent="0.25">
      <c r="A5847" t="s">
        <v>7542</v>
      </c>
      <c r="C5847" s="1">
        <v>42040</v>
      </c>
      <c r="D5847" s="1">
        <v>42043</v>
      </c>
      <c r="E5847">
        <v>786</v>
      </c>
      <c r="F5847" t="s">
        <v>605</v>
      </c>
      <c r="G5847" t="s">
        <v>16</v>
      </c>
      <c r="H5847" t="s">
        <v>7543</v>
      </c>
      <c r="I5847">
        <v>2.7147999999999999</v>
      </c>
      <c r="J5847">
        <v>695.5</v>
      </c>
      <c r="K5847">
        <v>256.18830116398999</v>
      </c>
    </row>
    <row r="5848" spans="1:11" x14ac:dyDescent="0.25">
      <c r="A5848" t="s">
        <v>7544</v>
      </c>
      <c r="C5848" s="1">
        <v>41991</v>
      </c>
      <c r="D5848" s="1">
        <v>42047</v>
      </c>
      <c r="E5848">
        <v>734</v>
      </c>
      <c r="F5848" t="s">
        <v>519</v>
      </c>
      <c r="G5848" t="s">
        <v>16</v>
      </c>
      <c r="H5848" t="s">
        <v>7545</v>
      </c>
      <c r="I5848">
        <v>2.7246000000000001</v>
      </c>
      <c r="J5848">
        <v>199.58</v>
      </c>
      <c r="K5848">
        <v>73.251119430375098</v>
      </c>
    </row>
    <row r="5849" spans="1:11" x14ac:dyDescent="0.25">
      <c r="A5849" t="s">
        <v>7546</v>
      </c>
      <c r="C5849" s="1">
        <v>41991</v>
      </c>
      <c r="D5849" s="1">
        <v>42047</v>
      </c>
      <c r="E5849">
        <v>735</v>
      </c>
      <c r="F5849" t="s">
        <v>519</v>
      </c>
      <c r="G5849" t="s">
        <v>16</v>
      </c>
      <c r="H5849" t="s">
        <v>7547</v>
      </c>
      <c r="I5849">
        <v>2.7246000000000001</v>
      </c>
      <c r="J5849">
        <v>226.88</v>
      </c>
      <c r="K5849">
        <v>83.270938853409675</v>
      </c>
    </row>
    <row r="5850" spans="1:11" x14ac:dyDescent="0.25">
      <c r="A5850" t="s">
        <v>4384</v>
      </c>
      <c r="C5850" s="1">
        <v>41983</v>
      </c>
      <c r="D5850" s="1">
        <v>42047</v>
      </c>
      <c r="E5850">
        <v>225</v>
      </c>
      <c r="F5850" t="s">
        <v>519</v>
      </c>
      <c r="G5850" t="s">
        <v>16</v>
      </c>
      <c r="H5850" t="s">
        <v>587</v>
      </c>
      <c r="I5850">
        <v>2.6015999999999999</v>
      </c>
      <c r="J5850">
        <v>256.48</v>
      </c>
      <c r="K5850">
        <v>98.585485854858547</v>
      </c>
    </row>
    <row r="5851" spans="1:11" x14ac:dyDescent="0.25">
      <c r="A5851" t="s">
        <v>1145</v>
      </c>
      <c r="B5851" t="s">
        <v>1146</v>
      </c>
      <c r="C5851" s="1">
        <v>42045</v>
      </c>
      <c r="D5851" s="1">
        <v>42047</v>
      </c>
      <c r="E5851">
        <v>21007</v>
      </c>
      <c r="F5851" t="s">
        <v>368</v>
      </c>
      <c r="G5851" t="s">
        <v>16</v>
      </c>
      <c r="H5851" t="s">
        <v>7548</v>
      </c>
      <c r="I5851">
        <v>2.7873000000000001</v>
      </c>
      <c r="J5851">
        <v>34994.129999999997</v>
      </c>
      <c r="K5851">
        <v>12554.848778387686</v>
      </c>
    </row>
    <row r="5852" spans="1:11" x14ac:dyDescent="0.25">
      <c r="A5852" t="s">
        <v>445</v>
      </c>
      <c r="B5852" t="s">
        <v>1685</v>
      </c>
      <c r="C5852" s="1">
        <v>42056</v>
      </c>
      <c r="D5852" s="1">
        <v>42059</v>
      </c>
      <c r="E5852">
        <v>22321</v>
      </c>
      <c r="F5852" t="s">
        <v>309</v>
      </c>
      <c r="G5852" t="s">
        <v>16</v>
      </c>
      <c r="H5852" t="s">
        <v>7549</v>
      </c>
      <c r="I5852">
        <v>2.8700999999999999</v>
      </c>
      <c r="J5852">
        <v>26485.93</v>
      </c>
      <c r="K5852">
        <v>9228.2254973694289</v>
      </c>
    </row>
    <row r="5853" spans="1:11" x14ac:dyDescent="0.25">
      <c r="A5853" t="s">
        <v>423</v>
      </c>
      <c r="B5853" t="s">
        <v>1160</v>
      </c>
      <c r="C5853" s="1">
        <v>42057</v>
      </c>
      <c r="D5853" s="1">
        <v>42059</v>
      </c>
      <c r="E5853">
        <v>22776</v>
      </c>
      <c r="F5853" t="s">
        <v>368</v>
      </c>
      <c r="G5853" t="s">
        <v>16</v>
      </c>
      <c r="H5853" t="s">
        <v>4385</v>
      </c>
      <c r="I5853">
        <v>2.8700999999999999</v>
      </c>
      <c r="J5853">
        <v>36083.629999999997</v>
      </c>
      <c r="K5853">
        <v>12572.255322114212</v>
      </c>
    </row>
    <row r="5854" spans="1:11" x14ac:dyDescent="0.25">
      <c r="A5854" t="s">
        <v>1116</v>
      </c>
      <c r="B5854" t="s">
        <v>1117</v>
      </c>
      <c r="C5854" s="1">
        <v>42026</v>
      </c>
      <c r="D5854" s="1">
        <v>42027</v>
      </c>
      <c r="E5854">
        <v>21004</v>
      </c>
      <c r="F5854" t="s">
        <v>368</v>
      </c>
      <c r="G5854" t="s">
        <v>16</v>
      </c>
      <c r="H5854" t="s">
        <v>4386</v>
      </c>
      <c r="I5854">
        <v>2.5968</v>
      </c>
      <c r="J5854">
        <v>33520.559999999998</v>
      </c>
      <c r="K5854">
        <v>12908.410351201479</v>
      </c>
    </row>
    <row r="5855" spans="1:11" x14ac:dyDescent="0.25">
      <c r="A5855" t="s">
        <v>1116</v>
      </c>
      <c r="B5855" t="s">
        <v>1117</v>
      </c>
      <c r="C5855" s="1">
        <v>42025</v>
      </c>
      <c r="D5855" s="1">
        <v>42027</v>
      </c>
      <c r="E5855">
        <v>21004</v>
      </c>
      <c r="F5855" t="s">
        <v>368</v>
      </c>
      <c r="G5855" t="s">
        <v>16</v>
      </c>
      <c r="H5855" t="s">
        <v>7550</v>
      </c>
      <c r="I5855">
        <v>2.6246999999999998</v>
      </c>
      <c r="J5855">
        <v>45886.58</v>
      </c>
      <c r="K5855">
        <v>17482.599916180898</v>
      </c>
    </row>
    <row r="5856" spans="1:11" x14ac:dyDescent="0.25">
      <c r="A5856" t="s">
        <v>2629</v>
      </c>
      <c r="C5856" s="1">
        <v>42019</v>
      </c>
      <c r="D5856" s="1">
        <v>42026</v>
      </c>
      <c r="E5856">
        <v>22298</v>
      </c>
      <c r="F5856" t="s">
        <v>298</v>
      </c>
      <c r="G5856" t="s">
        <v>16</v>
      </c>
      <c r="H5856" t="s">
        <v>4387</v>
      </c>
      <c r="I5856">
        <v>2.6221999999999999</v>
      </c>
      <c r="J5856">
        <v>27.27</v>
      </c>
      <c r="K5856">
        <v>10.399664403935626</v>
      </c>
    </row>
    <row r="5857" spans="1:11" x14ac:dyDescent="0.25">
      <c r="A5857" t="s">
        <v>422</v>
      </c>
      <c r="B5857" t="s">
        <v>4388</v>
      </c>
      <c r="C5857" s="1">
        <v>42018</v>
      </c>
      <c r="D5857" s="1">
        <v>42020</v>
      </c>
      <c r="E5857">
        <v>22012</v>
      </c>
      <c r="F5857" t="s">
        <v>278</v>
      </c>
      <c r="G5857" t="s">
        <v>16</v>
      </c>
      <c r="H5857" t="s">
        <v>4389</v>
      </c>
      <c r="I5857">
        <v>2.6484999999999999</v>
      </c>
      <c r="J5857">
        <v>373680</v>
      </c>
      <c r="K5857">
        <v>141091.1836888805</v>
      </c>
    </row>
    <row r="5858" spans="1:11" x14ac:dyDescent="0.25">
      <c r="A5858" t="s">
        <v>423</v>
      </c>
      <c r="B5858" t="s">
        <v>1160</v>
      </c>
      <c r="C5858" s="1">
        <v>42048</v>
      </c>
      <c r="D5858" s="1">
        <v>42051</v>
      </c>
      <c r="E5858">
        <v>22776</v>
      </c>
      <c r="F5858" t="s">
        <v>368</v>
      </c>
      <c r="G5858" t="s">
        <v>16</v>
      </c>
      <c r="H5858" t="s">
        <v>4390</v>
      </c>
      <c r="I5858">
        <v>2.8624999999999998</v>
      </c>
      <c r="J5858">
        <v>35958.879999999997</v>
      </c>
      <c r="K5858">
        <v>12562.054148471616</v>
      </c>
    </row>
    <row r="5859" spans="1:11" x14ac:dyDescent="0.25">
      <c r="A5859" t="s">
        <v>423</v>
      </c>
      <c r="B5859" t="s">
        <v>1160</v>
      </c>
      <c r="C5859" s="1">
        <v>42049</v>
      </c>
      <c r="D5859" s="1">
        <v>42052</v>
      </c>
      <c r="E5859">
        <v>22776</v>
      </c>
      <c r="F5859" t="s">
        <v>368</v>
      </c>
      <c r="G5859" t="s">
        <v>16</v>
      </c>
      <c r="H5859" t="s">
        <v>4391</v>
      </c>
      <c r="I5859">
        <v>2.8391999999999999</v>
      </c>
      <c r="J5859">
        <v>49121.8</v>
      </c>
      <c r="K5859">
        <v>17301.282051282051</v>
      </c>
    </row>
    <row r="5860" spans="1:11" x14ac:dyDescent="0.25">
      <c r="A5860" t="s">
        <v>7551</v>
      </c>
      <c r="C5860" s="1">
        <v>42037</v>
      </c>
      <c r="D5860" s="1">
        <v>42041</v>
      </c>
      <c r="E5860">
        <v>22558</v>
      </c>
      <c r="F5860" t="s">
        <v>289</v>
      </c>
      <c r="G5860" t="s">
        <v>16</v>
      </c>
      <c r="H5860" t="s">
        <v>7552</v>
      </c>
      <c r="I5860">
        <v>2.6623000000000001</v>
      </c>
      <c r="J5860">
        <v>62.04</v>
      </c>
      <c r="K5860">
        <v>23.303158922735982</v>
      </c>
    </row>
    <row r="5861" spans="1:11" x14ac:dyDescent="0.25">
      <c r="A5861" t="s">
        <v>7553</v>
      </c>
      <c r="C5861" s="1">
        <v>42034</v>
      </c>
      <c r="D5861" s="1">
        <v>42041</v>
      </c>
      <c r="E5861">
        <v>22635</v>
      </c>
      <c r="F5861" t="s">
        <v>304</v>
      </c>
      <c r="G5861" t="s">
        <v>16</v>
      </c>
      <c r="H5861" t="s">
        <v>7554</v>
      </c>
      <c r="I5861">
        <v>2.5960000000000001</v>
      </c>
      <c r="J5861">
        <v>99.14</v>
      </c>
      <c r="K5861">
        <v>38.189522342064713</v>
      </c>
    </row>
    <row r="5862" spans="1:11" x14ac:dyDescent="0.25">
      <c r="A5862" t="s">
        <v>369</v>
      </c>
      <c r="B5862" t="s">
        <v>1153</v>
      </c>
      <c r="C5862" s="1">
        <v>42053</v>
      </c>
      <c r="D5862" s="1">
        <v>42055</v>
      </c>
      <c r="E5862">
        <v>22709</v>
      </c>
      <c r="F5862" t="s">
        <v>368</v>
      </c>
      <c r="G5862" t="s">
        <v>16</v>
      </c>
      <c r="H5862" t="s">
        <v>7555</v>
      </c>
      <c r="I5862">
        <v>2.8391999999999999</v>
      </c>
      <c r="J5862">
        <v>67874.69</v>
      </c>
      <c r="K5862">
        <v>23906.272893772893</v>
      </c>
    </row>
    <row r="5863" spans="1:11" x14ac:dyDescent="0.25">
      <c r="A5863" t="s">
        <v>369</v>
      </c>
      <c r="B5863" t="s">
        <v>1153</v>
      </c>
      <c r="C5863" s="1">
        <v>42052</v>
      </c>
      <c r="D5863" s="1">
        <v>42056</v>
      </c>
      <c r="E5863">
        <v>22709</v>
      </c>
      <c r="F5863" t="s">
        <v>368</v>
      </c>
      <c r="G5863" t="s">
        <v>16</v>
      </c>
      <c r="H5863" t="s">
        <v>4392</v>
      </c>
      <c r="I5863">
        <v>2.8391999999999999</v>
      </c>
      <c r="J5863">
        <v>49969.18</v>
      </c>
      <c r="K5863">
        <v>17599.739363200901</v>
      </c>
    </row>
    <row r="5864" spans="1:11" x14ac:dyDescent="0.25">
      <c r="A5864" t="s">
        <v>423</v>
      </c>
      <c r="B5864" t="s">
        <v>1160</v>
      </c>
      <c r="C5864" s="1">
        <v>42057</v>
      </c>
      <c r="D5864" s="1">
        <v>42058</v>
      </c>
      <c r="E5864">
        <v>22776</v>
      </c>
      <c r="F5864" t="s">
        <v>368</v>
      </c>
      <c r="G5864" t="s">
        <v>16</v>
      </c>
      <c r="H5864" t="s">
        <v>7556</v>
      </c>
      <c r="I5864">
        <v>2.8700999999999999</v>
      </c>
      <c r="J5864">
        <v>35810.43</v>
      </c>
      <c r="K5864">
        <v>12477.067001149786</v>
      </c>
    </row>
    <row r="5865" spans="1:11" x14ac:dyDescent="0.25">
      <c r="A5865" t="s">
        <v>7557</v>
      </c>
      <c r="C5865" s="1">
        <v>41944</v>
      </c>
      <c r="D5865" s="1">
        <v>42030</v>
      </c>
      <c r="E5865">
        <v>22275</v>
      </c>
      <c r="F5865" t="s">
        <v>327</v>
      </c>
      <c r="G5865" t="s">
        <v>16</v>
      </c>
      <c r="H5865" t="s">
        <v>7558</v>
      </c>
      <c r="I5865">
        <v>2.4441999999999999</v>
      </c>
      <c r="J5865">
        <v>22</v>
      </c>
      <c r="K5865">
        <v>9.0009000900090008</v>
      </c>
    </row>
    <row r="5866" spans="1:11" x14ac:dyDescent="0.25">
      <c r="A5866" t="s">
        <v>1145</v>
      </c>
      <c r="B5866" t="s">
        <v>1146</v>
      </c>
      <c r="C5866" s="1">
        <v>42047</v>
      </c>
      <c r="D5866" s="1">
        <v>42048</v>
      </c>
      <c r="E5866">
        <v>21007</v>
      </c>
      <c r="F5866" t="s">
        <v>368</v>
      </c>
      <c r="G5866" t="s">
        <v>16</v>
      </c>
      <c r="H5866" t="s">
        <v>4393</v>
      </c>
      <c r="I5866">
        <v>2.8624999999999998</v>
      </c>
      <c r="J5866">
        <v>35847.69</v>
      </c>
      <c r="K5866">
        <v>12523.210480349346</v>
      </c>
    </row>
    <row r="5867" spans="1:11" x14ac:dyDescent="0.25">
      <c r="A5867" t="s">
        <v>342</v>
      </c>
      <c r="B5867" t="s">
        <v>1169</v>
      </c>
      <c r="C5867" s="1">
        <v>42090</v>
      </c>
      <c r="D5867" s="1">
        <v>42095</v>
      </c>
      <c r="E5867">
        <v>2</v>
      </c>
      <c r="F5867" t="s">
        <v>301</v>
      </c>
      <c r="G5867" t="s">
        <v>16</v>
      </c>
      <c r="H5867" t="s">
        <v>7559</v>
      </c>
      <c r="I5867">
        <v>3.1915</v>
      </c>
      <c r="J5867">
        <v>79830.009999999995</v>
      </c>
      <c r="K5867">
        <v>25013.319755600816</v>
      </c>
    </row>
    <row r="5868" spans="1:11" x14ac:dyDescent="0.25">
      <c r="A5868" t="s">
        <v>342</v>
      </c>
      <c r="B5868" t="s">
        <v>1169</v>
      </c>
      <c r="C5868" s="1">
        <v>42090</v>
      </c>
      <c r="D5868" s="1">
        <v>42095</v>
      </c>
      <c r="E5868">
        <v>2</v>
      </c>
      <c r="F5868" t="s">
        <v>301</v>
      </c>
      <c r="G5868" t="s">
        <v>16</v>
      </c>
      <c r="H5868" t="s">
        <v>4394</v>
      </c>
      <c r="I5868">
        <v>3.1915</v>
      </c>
      <c r="J5868">
        <v>79830.009999999995</v>
      </c>
      <c r="K5868">
        <v>25013.319755600816</v>
      </c>
    </row>
    <row r="5869" spans="1:11" x14ac:dyDescent="0.25">
      <c r="A5869" t="s">
        <v>342</v>
      </c>
      <c r="B5869" t="s">
        <v>1169</v>
      </c>
      <c r="C5869" s="1">
        <v>42090</v>
      </c>
      <c r="D5869" s="1">
        <v>42095</v>
      </c>
      <c r="E5869">
        <v>2</v>
      </c>
      <c r="F5869" t="s">
        <v>301</v>
      </c>
      <c r="G5869" t="s">
        <v>16</v>
      </c>
      <c r="H5869" t="s">
        <v>4395</v>
      </c>
      <c r="I5869">
        <v>3.1915</v>
      </c>
      <c r="J5869">
        <v>79830.009999999995</v>
      </c>
      <c r="K5869">
        <v>25013.319755600816</v>
      </c>
    </row>
    <row r="5870" spans="1:11" x14ac:dyDescent="0.25">
      <c r="A5870" t="s">
        <v>312</v>
      </c>
      <c r="B5870" t="s">
        <v>4329</v>
      </c>
      <c r="C5870" s="1">
        <v>42086</v>
      </c>
      <c r="D5870" s="1">
        <v>42090</v>
      </c>
      <c r="E5870">
        <v>23594</v>
      </c>
      <c r="F5870" t="s">
        <v>311</v>
      </c>
      <c r="G5870" t="s">
        <v>16</v>
      </c>
      <c r="H5870" t="s">
        <v>7560</v>
      </c>
      <c r="I5870">
        <v>3.2423000000000002</v>
      </c>
      <c r="J5870">
        <v>298236.40000000002</v>
      </c>
      <c r="K5870">
        <v>91982.975048576627</v>
      </c>
    </row>
    <row r="5871" spans="1:11" x14ac:dyDescent="0.25">
      <c r="A5871" t="s">
        <v>1175</v>
      </c>
      <c r="B5871" t="s">
        <v>1176</v>
      </c>
      <c r="C5871" s="1">
        <v>42084</v>
      </c>
      <c r="D5871" s="1">
        <v>42087</v>
      </c>
      <c r="E5871">
        <v>20066</v>
      </c>
      <c r="F5871" t="s">
        <v>368</v>
      </c>
      <c r="G5871" t="s">
        <v>16</v>
      </c>
      <c r="H5871" t="s">
        <v>4396</v>
      </c>
      <c r="I5871">
        <v>3.2423000000000002</v>
      </c>
      <c r="J5871">
        <v>10118.93</v>
      </c>
      <c r="K5871">
        <v>3120.9110816395769</v>
      </c>
    </row>
    <row r="5872" spans="1:11" x14ac:dyDescent="0.25">
      <c r="A5872" t="s">
        <v>1137</v>
      </c>
      <c r="B5872" t="s">
        <v>1138</v>
      </c>
      <c r="C5872" s="1">
        <v>42065</v>
      </c>
      <c r="D5872" s="1">
        <v>42076</v>
      </c>
      <c r="E5872">
        <v>20065</v>
      </c>
      <c r="F5872" t="s">
        <v>368</v>
      </c>
      <c r="G5872" t="s">
        <v>16</v>
      </c>
      <c r="H5872" t="s">
        <v>7561</v>
      </c>
      <c r="I5872">
        <v>2.8782000000000001</v>
      </c>
      <c r="J5872">
        <v>36678.1</v>
      </c>
      <c r="K5872">
        <v>12743.416023903828</v>
      </c>
    </row>
    <row r="5873" spans="1:11" x14ac:dyDescent="0.25">
      <c r="A5873" t="s">
        <v>1175</v>
      </c>
      <c r="B5873" t="s">
        <v>1176</v>
      </c>
      <c r="C5873" s="1">
        <v>42068</v>
      </c>
      <c r="D5873" s="1">
        <v>42076</v>
      </c>
      <c r="E5873">
        <v>20066</v>
      </c>
      <c r="F5873" t="s">
        <v>368</v>
      </c>
      <c r="G5873" t="s">
        <v>16</v>
      </c>
      <c r="H5873" t="s">
        <v>4397</v>
      </c>
      <c r="I5873">
        <v>2.9803999999999999</v>
      </c>
      <c r="J5873">
        <v>37317.410000000003</v>
      </c>
      <c r="K5873">
        <v>12520.940142262783</v>
      </c>
    </row>
    <row r="5874" spans="1:11" x14ac:dyDescent="0.25">
      <c r="A5874" t="s">
        <v>414</v>
      </c>
      <c r="B5874" t="s">
        <v>7562</v>
      </c>
      <c r="C5874" s="1">
        <v>42060</v>
      </c>
      <c r="D5874" s="1">
        <v>42074</v>
      </c>
      <c r="E5874">
        <v>23072</v>
      </c>
      <c r="F5874" t="s">
        <v>370</v>
      </c>
      <c r="G5874" t="s">
        <v>16</v>
      </c>
      <c r="H5874" t="s">
        <v>7563</v>
      </c>
      <c r="I5874">
        <v>2.8649</v>
      </c>
      <c r="J5874">
        <v>409185.07</v>
      </c>
      <c r="K5874">
        <v>142826.99919717966</v>
      </c>
    </row>
    <row r="5875" spans="1:11" x14ac:dyDescent="0.25">
      <c r="A5875" t="s">
        <v>415</v>
      </c>
      <c r="B5875" t="s">
        <v>7564</v>
      </c>
      <c r="C5875" s="1">
        <v>42100</v>
      </c>
      <c r="D5875" s="1">
        <v>42102</v>
      </c>
      <c r="E5875">
        <v>23701</v>
      </c>
      <c r="F5875" t="s">
        <v>278</v>
      </c>
      <c r="G5875" t="s">
        <v>16</v>
      </c>
      <c r="H5875" t="s">
        <v>7565</v>
      </c>
      <c r="I5875">
        <v>3.1492</v>
      </c>
      <c r="J5875">
        <v>119535</v>
      </c>
      <c r="K5875">
        <v>37957.258986409244</v>
      </c>
    </row>
    <row r="5876" spans="1:11" x14ac:dyDescent="0.25">
      <c r="A5876" t="s">
        <v>463</v>
      </c>
      <c r="B5876" t="s">
        <v>1185</v>
      </c>
      <c r="C5876" s="1">
        <v>42090</v>
      </c>
      <c r="D5876" s="1">
        <v>42101</v>
      </c>
      <c r="E5876">
        <v>2</v>
      </c>
      <c r="F5876" t="s">
        <v>301</v>
      </c>
      <c r="G5876" t="s">
        <v>16</v>
      </c>
      <c r="H5876" t="s">
        <v>7566</v>
      </c>
      <c r="I5876">
        <v>3.1915</v>
      </c>
      <c r="J5876">
        <v>62089.99</v>
      </c>
      <c r="K5876">
        <v>19454.798684004385</v>
      </c>
    </row>
    <row r="5877" spans="1:11" x14ac:dyDescent="0.25">
      <c r="A5877" t="s">
        <v>343</v>
      </c>
      <c r="B5877" t="s">
        <v>1699</v>
      </c>
      <c r="C5877" s="1">
        <v>42118</v>
      </c>
      <c r="D5877" s="1">
        <v>42132</v>
      </c>
      <c r="E5877">
        <v>24297</v>
      </c>
      <c r="F5877" t="s">
        <v>311</v>
      </c>
      <c r="G5877" t="s">
        <v>16</v>
      </c>
      <c r="H5877" t="s">
        <v>7567</v>
      </c>
      <c r="I5877">
        <v>3.0084</v>
      </c>
      <c r="J5877">
        <v>60635.23</v>
      </c>
      <c r="K5877">
        <v>20155.308469618401</v>
      </c>
    </row>
    <row r="5878" spans="1:11" x14ac:dyDescent="0.25">
      <c r="A5878" t="s">
        <v>7568</v>
      </c>
      <c r="C5878" s="1">
        <v>42124</v>
      </c>
      <c r="D5878" s="1">
        <v>42137</v>
      </c>
      <c r="E5878">
        <v>22551</v>
      </c>
      <c r="F5878" t="s">
        <v>519</v>
      </c>
      <c r="G5878" t="s">
        <v>16</v>
      </c>
      <c r="H5878" t="s">
        <v>7569</v>
      </c>
      <c r="I5878">
        <v>2.9375</v>
      </c>
      <c r="J5878">
        <v>115.44</v>
      </c>
      <c r="K5878">
        <v>39.29872340425532</v>
      </c>
    </row>
    <row r="5879" spans="1:11" x14ac:dyDescent="0.25">
      <c r="A5879" t="s">
        <v>345</v>
      </c>
      <c r="B5879" t="s">
        <v>1190</v>
      </c>
      <c r="C5879" s="1">
        <v>42160</v>
      </c>
      <c r="D5879" s="1">
        <v>42165</v>
      </c>
      <c r="E5879">
        <v>3</v>
      </c>
      <c r="F5879" t="s">
        <v>309</v>
      </c>
      <c r="G5879" t="s">
        <v>16</v>
      </c>
      <c r="H5879" t="s">
        <v>4398</v>
      </c>
      <c r="I5879">
        <v>3.1183999999999998</v>
      </c>
      <c r="J5879">
        <v>98048.88</v>
      </c>
      <c r="K5879">
        <v>31442.047203694201</v>
      </c>
    </row>
    <row r="5880" spans="1:11" x14ac:dyDescent="0.25">
      <c r="A5880" t="s">
        <v>4399</v>
      </c>
      <c r="C5880" s="1">
        <v>42152</v>
      </c>
      <c r="D5880" s="1">
        <v>42153</v>
      </c>
      <c r="E5880">
        <v>1049</v>
      </c>
      <c r="F5880" t="s">
        <v>519</v>
      </c>
      <c r="G5880" t="s">
        <v>16</v>
      </c>
      <c r="H5880" t="s">
        <v>3825</v>
      </c>
      <c r="I5880">
        <v>3.1739999999999999</v>
      </c>
      <c r="J5880">
        <v>12.72</v>
      </c>
      <c r="K5880">
        <v>4.0075614366729679</v>
      </c>
    </row>
    <row r="5881" spans="1:11" x14ac:dyDescent="0.25">
      <c r="A5881" t="s">
        <v>418</v>
      </c>
      <c r="B5881" t="s">
        <v>541</v>
      </c>
      <c r="C5881" s="1">
        <v>42171</v>
      </c>
      <c r="D5881" s="1">
        <v>42174</v>
      </c>
      <c r="E5881">
        <v>25203</v>
      </c>
      <c r="F5881" t="s">
        <v>301</v>
      </c>
      <c r="G5881" t="s">
        <v>16</v>
      </c>
      <c r="H5881" t="s">
        <v>4400</v>
      </c>
      <c r="I5881">
        <v>3.1036000000000001</v>
      </c>
      <c r="J5881">
        <v>238475.01</v>
      </c>
      <c r="K5881">
        <v>76838.191132877953</v>
      </c>
    </row>
    <row r="5882" spans="1:11" x14ac:dyDescent="0.25">
      <c r="A5882" t="s">
        <v>345</v>
      </c>
      <c r="B5882" t="s">
        <v>1190</v>
      </c>
      <c r="C5882" s="1">
        <v>42158</v>
      </c>
      <c r="D5882" s="1">
        <v>42161</v>
      </c>
      <c r="E5882">
        <v>3</v>
      </c>
      <c r="F5882" t="s">
        <v>309</v>
      </c>
      <c r="G5882" t="s">
        <v>16</v>
      </c>
      <c r="H5882" t="s">
        <v>7570</v>
      </c>
      <c r="I5882">
        <v>3.1442999999999999</v>
      </c>
      <c r="J5882">
        <v>98048.88</v>
      </c>
      <c r="K5882">
        <v>31183.055051998854</v>
      </c>
    </row>
    <row r="5883" spans="1:11" x14ac:dyDescent="0.25">
      <c r="A5883" t="s">
        <v>345</v>
      </c>
      <c r="B5883" t="s">
        <v>1190</v>
      </c>
      <c r="C5883" s="1">
        <v>42158</v>
      </c>
      <c r="D5883" s="1">
        <v>42161</v>
      </c>
      <c r="E5883">
        <v>3</v>
      </c>
      <c r="F5883" t="s">
        <v>309</v>
      </c>
      <c r="G5883" t="s">
        <v>16</v>
      </c>
      <c r="H5883" t="s">
        <v>4401</v>
      </c>
      <c r="I5883">
        <v>3.1442999999999999</v>
      </c>
      <c r="J5883">
        <v>98048.88</v>
      </c>
      <c r="K5883">
        <v>31183.055051998854</v>
      </c>
    </row>
    <row r="5884" spans="1:11" x14ac:dyDescent="0.25">
      <c r="A5884" t="s">
        <v>7571</v>
      </c>
      <c r="C5884" s="1">
        <v>42191</v>
      </c>
      <c r="D5884" s="1">
        <v>42195</v>
      </c>
      <c r="E5884">
        <v>1127</v>
      </c>
      <c r="F5884" t="s">
        <v>519</v>
      </c>
      <c r="G5884" t="s">
        <v>16</v>
      </c>
      <c r="H5884" t="s">
        <v>4127</v>
      </c>
      <c r="I5884">
        <v>3.1271</v>
      </c>
      <c r="J5884">
        <v>183.15</v>
      </c>
      <c r="K5884">
        <v>58.568641872661573</v>
      </c>
    </row>
    <row r="5885" spans="1:11" x14ac:dyDescent="0.25">
      <c r="A5885" t="s">
        <v>610</v>
      </c>
      <c r="B5885" t="s">
        <v>1192</v>
      </c>
      <c r="C5885" s="1">
        <v>42181</v>
      </c>
      <c r="D5885" s="1">
        <v>42192</v>
      </c>
      <c r="E5885">
        <v>5</v>
      </c>
      <c r="F5885" t="s">
        <v>368</v>
      </c>
      <c r="G5885" t="s">
        <v>16</v>
      </c>
      <c r="H5885" t="s">
        <v>7572</v>
      </c>
      <c r="I5885">
        <v>3.1015000000000001</v>
      </c>
      <c r="J5885">
        <v>32277.599999999999</v>
      </c>
      <c r="K5885">
        <v>10407.093341931324</v>
      </c>
    </row>
    <row r="5886" spans="1:11" x14ac:dyDescent="0.25">
      <c r="A5886" t="s">
        <v>610</v>
      </c>
      <c r="B5886" t="s">
        <v>1192</v>
      </c>
      <c r="C5886" s="1">
        <v>42179</v>
      </c>
      <c r="D5886" s="1">
        <v>42192</v>
      </c>
      <c r="E5886">
        <v>5</v>
      </c>
      <c r="F5886" t="s">
        <v>368</v>
      </c>
      <c r="G5886" t="s">
        <v>16</v>
      </c>
      <c r="H5886" t="s">
        <v>4402</v>
      </c>
      <c r="I5886">
        <v>3.1042000000000001</v>
      </c>
      <c r="J5886">
        <v>44331.45</v>
      </c>
      <c r="K5886">
        <v>14281.119128922106</v>
      </c>
    </row>
    <row r="5887" spans="1:11" x14ac:dyDescent="0.25">
      <c r="A5887" t="s">
        <v>610</v>
      </c>
      <c r="B5887" t="s">
        <v>1192</v>
      </c>
      <c r="C5887" s="1">
        <v>42191</v>
      </c>
      <c r="D5887" s="1">
        <v>42192</v>
      </c>
      <c r="E5887">
        <v>5</v>
      </c>
      <c r="F5887" t="s">
        <v>368</v>
      </c>
      <c r="G5887" t="s">
        <v>16</v>
      </c>
      <c r="H5887" t="s">
        <v>913</v>
      </c>
      <c r="I5887">
        <v>3.1271</v>
      </c>
      <c r="J5887">
        <v>46181.9</v>
      </c>
      <c r="K5887">
        <v>14768.283713344632</v>
      </c>
    </row>
    <row r="5888" spans="1:11" x14ac:dyDescent="0.25">
      <c r="A5888" t="s">
        <v>610</v>
      </c>
      <c r="B5888" t="s">
        <v>1192</v>
      </c>
      <c r="C5888" s="1">
        <v>42189</v>
      </c>
      <c r="D5888" s="1">
        <v>42192</v>
      </c>
      <c r="E5888">
        <v>5</v>
      </c>
      <c r="F5888" t="s">
        <v>368</v>
      </c>
      <c r="G5888" t="s">
        <v>16</v>
      </c>
      <c r="H5888" t="s">
        <v>7573</v>
      </c>
      <c r="I5888">
        <v>3.1271</v>
      </c>
      <c r="J5888">
        <v>33722.85</v>
      </c>
      <c r="K5888">
        <v>10784.065108247258</v>
      </c>
    </row>
    <row r="5889" spans="1:11" x14ac:dyDescent="0.25">
      <c r="A5889" t="s">
        <v>610</v>
      </c>
      <c r="B5889" t="s">
        <v>1192</v>
      </c>
      <c r="C5889" s="1">
        <v>42189</v>
      </c>
      <c r="D5889" s="1">
        <v>42192</v>
      </c>
      <c r="E5889">
        <v>5</v>
      </c>
      <c r="F5889" t="s">
        <v>368</v>
      </c>
      <c r="G5889" t="s">
        <v>16</v>
      </c>
      <c r="H5889" t="s">
        <v>4403</v>
      </c>
      <c r="I5889">
        <v>3.1271</v>
      </c>
      <c r="J5889">
        <v>33958.61</v>
      </c>
      <c r="K5889">
        <v>10859.45764446292</v>
      </c>
    </row>
    <row r="5890" spans="1:11" x14ac:dyDescent="0.25">
      <c r="A5890" t="s">
        <v>610</v>
      </c>
      <c r="B5890" t="s">
        <v>1192</v>
      </c>
      <c r="C5890" s="1">
        <v>42178</v>
      </c>
      <c r="D5890" s="1">
        <v>42192</v>
      </c>
      <c r="E5890">
        <v>5</v>
      </c>
      <c r="F5890" t="s">
        <v>368</v>
      </c>
      <c r="G5890" t="s">
        <v>16</v>
      </c>
      <c r="H5890" t="s">
        <v>4404</v>
      </c>
      <c r="I5890">
        <v>3.0756999999999999</v>
      </c>
      <c r="J5890">
        <v>44566.54</v>
      </c>
      <c r="K5890">
        <v>14489.885229378679</v>
      </c>
    </row>
    <row r="5891" spans="1:11" x14ac:dyDescent="0.25">
      <c r="A5891" t="s">
        <v>625</v>
      </c>
      <c r="B5891" t="s">
        <v>1711</v>
      </c>
      <c r="C5891" s="1">
        <v>42207</v>
      </c>
      <c r="D5891" s="1">
        <v>42210</v>
      </c>
      <c r="E5891">
        <v>1</v>
      </c>
      <c r="F5891" t="s">
        <v>368</v>
      </c>
      <c r="G5891" t="s">
        <v>16</v>
      </c>
      <c r="H5891" t="s">
        <v>7574</v>
      </c>
      <c r="I5891">
        <v>3.1812999999999998</v>
      </c>
      <c r="J5891">
        <v>74475.960000000006</v>
      </c>
      <c r="K5891">
        <v>23410.542859837173</v>
      </c>
    </row>
    <row r="5892" spans="1:11" x14ac:dyDescent="0.25">
      <c r="A5892" t="s">
        <v>625</v>
      </c>
      <c r="B5892" t="s">
        <v>1711</v>
      </c>
      <c r="C5892" s="1">
        <v>42208</v>
      </c>
      <c r="D5892" s="1">
        <v>42210</v>
      </c>
      <c r="E5892">
        <v>1</v>
      </c>
      <c r="F5892" t="s">
        <v>368</v>
      </c>
      <c r="G5892" t="s">
        <v>16</v>
      </c>
      <c r="H5892" t="s">
        <v>7575</v>
      </c>
      <c r="I5892">
        <v>3.2094</v>
      </c>
      <c r="J5892">
        <v>76178.42</v>
      </c>
      <c r="K5892">
        <v>23736.031657007541</v>
      </c>
    </row>
    <row r="5893" spans="1:11" x14ac:dyDescent="0.25">
      <c r="A5893" t="s">
        <v>625</v>
      </c>
      <c r="B5893" t="s">
        <v>1711</v>
      </c>
      <c r="C5893" s="1">
        <v>42209</v>
      </c>
      <c r="D5893" s="1">
        <v>42210</v>
      </c>
      <c r="E5893">
        <v>1</v>
      </c>
      <c r="F5893" t="s">
        <v>368</v>
      </c>
      <c r="G5893" t="s">
        <v>16</v>
      </c>
      <c r="H5893" t="s">
        <v>4405</v>
      </c>
      <c r="I5893">
        <v>3.2850000000000001</v>
      </c>
      <c r="J5893">
        <v>56666</v>
      </c>
      <c r="K5893">
        <v>17249.92389649924</v>
      </c>
    </row>
    <row r="5894" spans="1:11" x14ac:dyDescent="0.25">
      <c r="A5894" t="s">
        <v>502</v>
      </c>
      <c r="B5894" t="s">
        <v>2671</v>
      </c>
      <c r="C5894" s="1">
        <v>42208</v>
      </c>
      <c r="D5894" s="1">
        <v>42212</v>
      </c>
      <c r="E5894">
        <v>1</v>
      </c>
      <c r="F5894" t="s">
        <v>368</v>
      </c>
      <c r="G5894" t="s">
        <v>16</v>
      </c>
      <c r="H5894" t="s">
        <v>7576</v>
      </c>
      <c r="I5894">
        <v>3.2094</v>
      </c>
      <c r="J5894">
        <v>77025.33</v>
      </c>
      <c r="K5894">
        <v>23999.915872125632</v>
      </c>
    </row>
    <row r="5895" spans="1:11" x14ac:dyDescent="0.25">
      <c r="A5895" t="s">
        <v>610</v>
      </c>
      <c r="B5895" t="s">
        <v>1192</v>
      </c>
      <c r="C5895" s="1">
        <v>42192</v>
      </c>
      <c r="D5895" s="1">
        <v>42196</v>
      </c>
      <c r="E5895">
        <v>5</v>
      </c>
      <c r="F5895" t="s">
        <v>368</v>
      </c>
      <c r="G5895" t="s">
        <v>16</v>
      </c>
      <c r="H5895" t="s">
        <v>4406</v>
      </c>
      <c r="I5895">
        <v>3.1431</v>
      </c>
      <c r="J5895">
        <v>33339.449999999997</v>
      </c>
      <c r="K5895">
        <v>10607.187171900354</v>
      </c>
    </row>
    <row r="5896" spans="1:11" x14ac:dyDescent="0.25">
      <c r="A5896" t="s">
        <v>610</v>
      </c>
      <c r="B5896" t="s">
        <v>1192</v>
      </c>
      <c r="C5896" s="1">
        <v>42192</v>
      </c>
      <c r="D5896" s="1">
        <v>42196</v>
      </c>
      <c r="E5896">
        <v>5</v>
      </c>
      <c r="F5896" t="s">
        <v>368</v>
      </c>
      <c r="G5896" t="s">
        <v>16</v>
      </c>
      <c r="H5896" t="s">
        <v>4407</v>
      </c>
      <c r="I5896">
        <v>3.1431</v>
      </c>
      <c r="J5896">
        <v>34305.550000000003</v>
      </c>
      <c r="K5896">
        <v>10914.558874996022</v>
      </c>
    </row>
    <row r="5897" spans="1:11" x14ac:dyDescent="0.25">
      <c r="A5897" t="s">
        <v>502</v>
      </c>
      <c r="B5897" t="s">
        <v>2671</v>
      </c>
      <c r="C5897" s="1">
        <v>42210</v>
      </c>
      <c r="D5897" s="1">
        <v>42212</v>
      </c>
      <c r="E5897">
        <v>1</v>
      </c>
      <c r="F5897" t="s">
        <v>368</v>
      </c>
      <c r="G5897" t="s">
        <v>16</v>
      </c>
      <c r="H5897" t="s">
        <v>4408</v>
      </c>
      <c r="I5897">
        <v>3.3254000000000001</v>
      </c>
      <c r="J5897">
        <v>56255.11</v>
      </c>
      <c r="K5897">
        <v>16916.79497203344</v>
      </c>
    </row>
    <row r="5898" spans="1:11" x14ac:dyDescent="0.25">
      <c r="A5898" t="s">
        <v>571</v>
      </c>
      <c r="B5898" t="s">
        <v>1198</v>
      </c>
      <c r="C5898" s="1">
        <v>42188</v>
      </c>
      <c r="D5898" s="1">
        <v>42195</v>
      </c>
      <c r="E5898">
        <v>3</v>
      </c>
      <c r="F5898" t="s">
        <v>368</v>
      </c>
      <c r="G5898" t="s">
        <v>16</v>
      </c>
      <c r="H5898" t="s">
        <v>4409</v>
      </c>
      <c r="I5898">
        <v>3.1173000000000002</v>
      </c>
      <c r="J5898">
        <v>44988.6</v>
      </c>
      <c r="K5898">
        <v>14431.912231739005</v>
      </c>
    </row>
    <row r="5899" spans="1:11" x14ac:dyDescent="0.25">
      <c r="A5899" t="s">
        <v>556</v>
      </c>
      <c r="B5899" t="s">
        <v>2682</v>
      </c>
      <c r="C5899" s="1">
        <v>42212</v>
      </c>
      <c r="D5899" s="1">
        <v>42220</v>
      </c>
      <c r="E5899">
        <v>1</v>
      </c>
      <c r="F5899" t="s">
        <v>368</v>
      </c>
      <c r="G5899" t="s">
        <v>16</v>
      </c>
      <c r="H5899" t="s">
        <v>7577</v>
      </c>
      <c r="I5899">
        <v>3.3254000000000001</v>
      </c>
      <c r="J5899">
        <v>78971.13</v>
      </c>
      <c r="K5899">
        <v>23747.858904191977</v>
      </c>
    </row>
    <row r="5900" spans="1:11" x14ac:dyDescent="0.25">
      <c r="A5900" t="s">
        <v>571</v>
      </c>
      <c r="B5900" t="s">
        <v>1198</v>
      </c>
      <c r="C5900" s="1">
        <v>42188</v>
      </c>
      <c r="D5900" s="1">
        <v>42198</v>
      </c>
      <c r="E5900">
        <v>3</v>
      </c>
      <c r="F5900" t="s">
        <v>368</v>
      </c>
      <c r="G5900" t="s">
        <v>16</v>
      </c>
      <c r="H5900" t="s">
        <v>7578</v>
      </c>
      <c r="I5900">
        <v>3.1173000000000002</v>
      </c>
      <c r="J5900">
        <v>33120</v>
      </c>
      <c r="K5900">
        <v>10624.578962563757</v>
      </c>
    </row>
    <row r="5901" spans="1:11" x14ac:dyDescent="0.25">
      <c r="A5901" t="s">
        <v>571</v>
      </c>
      <c r="B5901" t="s">
        <v>1198</v>
      </c>
      <c r="C5901" s="1">
        <v>42188</v>
      </c>
      <c r="D5901" s="1">
        <v>42198</v>
      </c>
      <c r="E5901">
        <v>3</v>
      </c>
      <c r="F5901" t="s">
        <v>368</v>
      </c>
      <c r="G5901" t="s">
        <v>16</v>
      </c>
      <c r="H5901" t="s">
        <v>7579</v>
      </c>
      <c r="I5901">
        <v>3.1173000000000002</v>
      </c>
      <c r="J5901">
        <v>34186.629999999997</v>
      </c>
      <c r="K5901">
        <v>10966.743656369294</v>
      </c>
    </row>
    <row r="5902" spans="1:11" x14ac:dyDescent="0.25">
      <c r="A5902" t="s">
        <v>571</v>
      </c>
      <c r="B5902" t="s">
        <v>1198</v>
      </c>
      <c r="C5902" s="1">
        <v>42189</v>
      </c>
      <c r="D5902" s="1">
        <v>42198</v>
      </c>
      <c r="E5902">
        <v>3</v>
      </c>
      <c r="F5902" t="s">
        <v>368</v>
      </c>
      <c r="G5902" t="s">
        <v>16</v>
      </c>
      <c r="H5902" t="s">
        <v>4410</v>
      </c>
      <c r="I5902">
        <v>3.1271</v>
      </c>
      <c r="J5902">
        <v>10328.129999999999</v>
      </c>
      <c r="K5902">
        <v>3302.7821304083654</v>
      </c>
    </row>
    <row r="5903" spans="1:11" x14ac:dyDescent="0.25">
      <c r="A5903" t="s">
        <v>413</v>
      </c>
      <c r="B5903" t="s">
        <v>1196</v>
      </c>
      <c r="C5903" s="1">
        <v>42223</v>
      </c>
      <c r="D5903" s="1">
        <v>42227</v>
      </c>
      <c r="E5903">
        <v>1</v>
      </c>
      <c r="F5903" t="s">
        <v>368</v>
      </c>
      <c r="G5903" t="s">
        <v>16</v>
      </c>
      <c r="H5903" t="s">
        <v>4411</v>
      </c>
      <c r="I5903">
        <v>3.5347</v>
      </c>
      <c r="J5903">
        <v>78919.350000000006</v>
      </c>
      <c r="K5903">
        <v>22327.029167963334</v>
      </c>
    </row>
    <row r="5904" spans="1:11" x14ac:dyDescent="0.25">
      <c r="A5904" t="s">
        <v>454</v>
      </c>
      <c r="B5904" t="s">
        <v>1183</v>
      </c>
      <c r="C5904" s="1">
        <v>42256</v>
      </c>
      <c r="D5904" s="1">
        <v>42259</v>
      </c>
      <c r="E5904">
        <v>3</v>
      </c>
      <c r="F5904" t="s">
        <v>368</v>
      </c>
      <c r="G5904" t="s">
        <v>16</v>
      </c>
      <c r="H5904" t="s">
        <v>7580</v>
      </c>
      <c r="I5904">
        <v>3.8028</v>
      </c>
      <c r="J5904">
        <v>21816.87</v>
      </c>
      <c r="K5904">
        <v>5737.0542757967814</v>
      </c>
    </row>
    <row r="5905" spans="1:11" x14ac:dyDescent="0.25">
      <c r="A5905" t="s">
        <v>468</v>
      </c>
      <c r="B5905" t="s">
        <v>1203</v>
      </c>
      <c r="C5905" s="1">
        <v>42227</v>
      </c>
      <c r="D5905" s="1">
        <v>42230</v>
      </c>
      <c r="E5905">
        <v>1</v>
      </c>
      <c r="F5905" t="s">
        <v>368</v>
      </c>
      <c r="G5905" t="s">
        <v>16</v>
      </c>
      <c r="H5905" t="s">
        <v>4412</v>
      </c>
      <c r="I5905">
        <v>3.4908999999999999</v>
      </c>
      <c r="J5905">
        <v>71260.81</v>
      </c>
      <c r="K5905">
        <v>20413.306024234436</v>
      </c>
    </row>
    <row r="5906" spans="1:11" x14ac:dyDescent="0.25">
      <c r="A5906" t="s">
        <v>468</v>
      </c>
      <c r="B5906" t="s">
        <v>1203</v>
      </c>
      <c r="C5906" s="1">
        <v>42226</v>
      </c>
      <c r="D5906" s="1">
        <v>42230</v>
      </c>
      <c r="E5906">
        <v>1</v>
      </c>
      <c r="F5906" t="s">
        <v>368</v>
      </c>
      <c r="G5906" t="s">
        <v>16</v>
      </c>
      <c r="H5906" t="s">
        <v>4413</v>
      </c>
      <c r="I5906">
        <v>3.5181</v>
      </c>
      <c r="J5906">
        <v>80184.25</v>
      </c>
      <c r="K5906">
        <v>22791.918933515251</v>
      </c>
    </row>
    <row r="5907" spans="1:11" x14ac:dyDescent="0.25">
      <c r="A5907" t="s">
        <v>413</v>
      </c>
      <c r="B5907" t="s">
        <v>1196</v>
      </c>
      <c r="C5907" s="1">
        <v>42217</v>
      </c>
      <c r="D5907" s="1">
        <v>42219</v>
      </c>
      <c r="E5907">
        <v>1</v>
      </c>
      <c r="F5907" t="s">
        <v>368</v>
      </c>
      <c r="G5907" t="s">
        <v>16</v>
      </c>
      <c r="H5907" t="s">
        <v>4414</v>
      </c>
      <c r="I5907">
        <v>3.3940000000000001</v>
      </c>
      <c r="J5907">
        <v>58793.14</v>
      </c>
      <c r="K5907">
        <v>17322.669416617562</v>
      </c>
    </row>
    <row r="5908" spans="1:11" x14ac:dyDescent="0.25">
      <c r="A5908" t="s">
        <v>4415</v>
      </c>
      <c r="B5908" t="s">
        <v>4416</v>
      </c>
      <c r="C5908" s="1">
        <v>42255</v>
      </c>
      <c r="D5908" s="1">
        <v>42262</v>
      </c>
      <c r="E5908">
        <v>14</v>
      </c>
      <c r="F5908" t="s">
        <v>642</v>
      </c>
      <c r="G5908" t="s">
        <v>16</v>
      </c>
      <c r="H5908" t="s">
        <v>4417</v>
      </c>
      <c r="I5908">
        <v>3.7986</v>
      </c>
      <c r="J5908">
        <v>290620.01</v>
      </c>
      <c r="K5908">
        <v>76507.136839888379</v>
      </c>
    </row>
    <row r="5909" spans="1:11" x14ac:dyDescent="0.25">
      <c r="A5909" t="s">
        <v>413</v>
      </c>
      <c r="B5909" t="s">
        <v>1196</v>
      </c>
      <c r="C5909" s="1">
        <v>42220</v>
      </c>
      <c r="D5909" s="1">
        <v>42222</v>
      </c>
      <c r="E5909">
        <v>1</v>
      </c>
      <c r="F5909" t="s">
        <v>368</v>
      </c>
      <c r="G5909" t="s">
        <v>16</v>
      </c>
      <c r="H5909" t="s">
        <v>4418</v>
      </c>
      <c r="I5909">
        <v>3.4424999999999999</v>
      </c>
      <c r="J5909">
        <v>79441.259999999995</v>
      </c>
      <c r="K5909">
        <v>23076.618736383443</v>
      </c>
    </row>
    <row r="5910" spans="1:11" x14ac:dyDescent="0.25">
      <c r="A5910" t="s">
        <v>534</v>
      </c>
      <c r="B5910" t="s">
        <v>3990</v>
      </c>
      <c r="C5910" s="1">
        <v>42213</v>
      </c>
      <c r="D5910" s="1">
        <v>42242</v>
      </c>
      <c r="E5910">
        <v>1</v>
      </c>
      <c r="F5910" t="s">
        <v>368</v>
      </c>
      <c r="G5910" t="s">
        <v>16</v>
      </c>
      <c r="H5910" t="s">
        <v>7581</v>
      </c>
      <c r="I5910">
        <v>3.3557000000000001</v>
      </c>
      <c r="J5910">
        <v>79690.75</v>
      </c>
      <c r="K5910">
        <v>23747.876747027447</v>
      </c>
    </row>
    <row r="5911" spans="1:11" x14ac:dyDescent="0.25">
      <c r="A5911" t="s">
        <v>556</v>
      </c>
      <c r="B5911" t="s">
        <v>2682</v>
      </c>
      <c r="C5911" s="1">
        <v>42213</v>
      </c>
      <c r="D5911" s="1">
        <v>42242</v>
      </c>
      <c r="E5911">
        <v>1</v>
      </c>
      <c r="F5911" t="s">
        <v>368</v>
      </c>
      <c r="G5911" t="s">
        <v>16</v>
      </c>
      <c r="H5911" t="s">
        <v>4419</v>
      </c>
      <c r="I5911">
        <v>3.3557000000000001</v>
      </c>
      <c r="J5911">
        <v>79690.75</v>
      </c>
      <c r="K5911">
        <v>23747.876747027447</v>
      </c>
    </row>
    <row r="5912" spans="1:11" x14ac:dyDescent="0.25">
      <c r="A5912" t="s">
        <v>468</v>
      </c>
      <c r="B5912" t="s">
        <v>1203</v>
      </c>
      <c r="C5912" s="1">
        <v>42220</v>
      </c>
      <c r="D5912" s="1">
        <v>42223</v>
      </c>
      <c r="E5912">
        <v>1</v>
      </c>
      <c r="F5912" t="s">
        <v>368</v>
      </c>
      <c r="G5912" t="s">
        <v>16</v>
      </c>
      <c r="H5912" t="s">
        <v>7582</v>
      </c>
      <c r="I5912">
        <v>3.4424999999999999</v>
      </c>
      <c r="J5912">
        <v>59325.89</v>
      </c>
      <c r="K5912">
        <v>17233.374001452434</v>
      </c>
    </row>
    <row r="5913" spans="1:11" x14ac:dyDescent="0.25">
      <c r="A5913" t="s">
        <v>468</v>
      </c>
      <c r="B5913" t="s">
        <v>1203</v>
      </c>
      <c r="C5913" s="1">
        <v>42222</v>
      </c>
      <c r="D5913" s="1">
        <v>42224</v>
      </c>
      <c r="E5913">
        <v>1</v>
      </c>
      <c r="F5913" t="s">
        <v>368</v>
      </c>
      <c r="G5913" t="s">
        <v>16</v>
      </c>
      <c r="H5913" t="s">
        <v>4420</v>
      </c>
      <c r="I5913">
        <v>3.4851000000000001</v>
      </c>
      <c r="J5913">
        <v>59484.38</v>
      </c>
      <c r="K5913">
        <v>17068.198903905195</v>
      </c>
    </row>
    <row r="5914" spans="1:11" x14ac:dyDescent="0.25">
      <c r="A5914" t="s">
        <v>468</v>
      </c>
      <c r="B5914" t="s">
        <v>1203</v>
      </c>
      <c r="C5914" s="1">
        <v>42221</v>
      </c>
      <c r="D5914" s="1">
        <v>42224</v>
      </c>
      <c r="E5914">
        <v>1</v>
      </c>
      <c r="F5914" t="s">
        <v>368</v>
      </c>
      <c r="G5914" t="s">
        <v>16</v>
      </c>
      <c r="H5914" t="s">
        <v>7583</v>
      </c>
      <c r="I5914">
        <v>3.4674999999999998</v>
      </c>
      <c r="J5914">
        <v>59357.59</v>
      </c>
      <c r="K5914">
        <v>17118.266762797404</v>
      </c>
    </row>
    <row r="5915" spans="1:11" x14ac:dyDescent="0.25">
      <c r="A5915" t="s">
        <v>468</v>
      </c>
      <c r="B5915" t="s">
        <v>1203</v>
      </c>
      <c r="C5915" s="1">
        <v>42221</v>
      </c>
      <c r="D5915" s="1">
        <v>42224</v>
      </c>
      <c r="E5915">
        <v>1</v>
      </c>
      <c r="F5915" t="s">
        <v>368</v>
      </c>
      <c r="G5915" t="s">
        <v>16</v>
      </c>
      <c r="H5915" t="s">
        <v>4421</v>
      </c>
      <c r="I5915">
        <v>3.4674999999999998</v>
      </c>
      <c r="J5915">
        <v>79439.3</v>
      </c>
      <c r="K5915">
        <v>22909.675558759915</v>
      </c>
    </row>
    <row r="5916" spans="1:11" x14ac:dyDescent="0.25">
      <c r="A5916" t="s">
        <v>413</v>
      </c>
      <c r="B5916" t="s">
        <v>1196</v>
      </c>
      <c r="C5916" s="1">
        <v>42227</v>
      </c>
      <c r="D5916" s="1">
        <v>42229</v>
      </c>
      <c r="E5916">
        <v>1</v>
      </c>
      <c r="F5916" t="s">
        <v>368</v>
      </c>
      <c r="G5916" t="s">
        <v>16</v>
      </c>
      <c r="H5916" t="s">
        <v>4422</v>
      </c>
      <c r="I5916">
        <v>3.4908999999999999</v>
      </c>
      <c r="J5916">
        <v>79077.5</v>
      </c>
      <c r="K5916">
        <v>22652.467844968345</v>
      </c>
    </row>
    <row r="5917" spans="1:11" x14ac:dyDescent="0.25">
      <c r="A5917" t="s">
        <v>555</v>
      </c>
      <c r="B5917" t="s">
        <v>2199</v>
      </c>
      <c r="C5917" s="1">
        <v>42215</v>
      </c>
      <c r="D5917" s="1">
        <v>42230</v>
      </c>
      <c r="E5917">
        <v>3</v>
      </c>
      <c r="F5917" t="s">
        <v>301</v>
      </c>
      <c r="G5917" t="s">
        <v>16</v>
      </c>
      <c r="H5917" t="s">
        <v>7584</v>
      </c>
      <c r="I5917">
        <v>3.3418999999999999</v>
      </c>
      <c r="J5917">
        <v>63430.57</v>
      </c>
      <c r="K5917">
        <v>18980.391394117119</v>
      </c>
    </row>
    <row r="5918" spans="1:11" x14ac:dyDescent="0.25">
      <c r="A5918" t="s">
        <v>534</v>
      </c>
      <c r="B5918" t="s">
        <v>3990</v>
      </c>
      <c r="C5918" s="1">
        <v>42213</v>
      </c>
      <c r="D5918" s="1">
        <v>42220</v>
      </c>
      <c r="E5918">
        <v>1</v>
      </c>
      <c r="F5918" t="s">
        <v>368</v>
      </c>
      <c r="G5918" t="s">
        <v>16</v>
      </c>
      <c r="H5918" t="s">
        <v>4423</v>
      </c>
      <c r="I5918">
        <v>3.3557000000000001</v>
      </c>
      <c r="J5918">
        <v>59768.06</v>
      </c>
      <c r="K5918">
        <v>17810.90681526954</v>
      </c>
    </row>
    <row r="5919" spans="1:11" x14ac:dyDescent="0.25">
      <c r="A5919" t="s">
        <v>534</v>
      </c>
      <c r="B5919" t="s">
        <v>3990</v>
      </c>
      <c r="C5919" s="1">
        <v>42213</v>
      </c>
      <c r="D5919" s="1">
        <v>42220</v>
      </c>
      <c r="E5919">
        <v>1</v>
      </c>
      <c r="F5919" t="s">
        <v>368</v>
      </c>
      <c r="G5919" t="s">
        <v>16</v>
      </c>
      <c r="H5919" t="s">
        <v>1825</v>
      </c>
      <c r="I5919">
        <v>3.3557000000000001</v>
      </c>
      <c r="J5919">
        <v>59768.06</v>
      </c>
      <c r="K5919">
        <v>17810.90681526954</v>
      </c>
    </row>
    <row r="5920" spans="1:11" x14ac:dyDescent="0.25">
      <c r="A5920" t="s">
        <v>413</v>
      </c>
      <c r="B5920" t="s">
        <v>1196</v>
      </c>
      <c r="C5920" s="1">
        <v>42221</v>
      </c>
      <c r="D5920" s="1">
        <v>42223</v>
      </c>
      <c r="E5920">
        <v>1</v>
      </c>
      <c r="F5920" t="s">
        <v>368</v>
      </c>
      <c r="G5920" t="s">
        <v>16</v>
      </c>
      <c r="H5920" t="s">
        <v>7585</v>
      </c>
      <c r="I5920">
        <v>3.4674999999999998</v>
      </c>
      <c r="J5920">
        <v>57837.279999999999</v>
      </c>
      <c r="K5920">
        <v>16679.821196827685</v>
      </c>
    </row>
    <row r="5921" spans="1:11" x14ac:dyDescent="0.25">
      <c r="A5921" t="s">
        <v>413</v>
      </c>
      <c r="B5921" t="s">
        <v>1196</v>
      </c>
      <c r="C5921" s="1">
        <v>42222</v>
      </c>
      <c r="D5921" s="1">
        <v>42223</v>
      </c>
      <c r="E5921">
        <v>1</v>
      </c>
      <c r="F5921" t="s">
        <v>368</v>
      </c>
      <c r="G5921" t="s">
        <v>16</v>
      </c>
      <c r="H5921" t="s">
        <v>7586</v>
      </c>
      <c r="I5921">
        <v>3.4851000000000001</v>
      </c>
      <c r="J5921">
        <v>60083.08</v>
      </c>
      <c r="K5921">
        <v>17239.987374824253</v>
      </c>
    </row>
    <row r="5922" spans="1:11" x14ac:dyDescent="0.25">
      <c r="A5922" t="s">
        <v>606</v>
      </c>
      <c r="B5922" t="s">
        <v>1205</v>
      </c>
      <c r="C5922" s="1">
        <v>42258</v>
      </c>
      <c r="D5922" s="1">
        <v>42286</v>
      </c>
      <c r="E5922">
        <v>6</v>
      </c>
      <c r="F5922" t="s">
        <v>301</v>
      </c>
      <c r="G5922" t="s">
        <v>16</v>
      </c>
      <c r="H5922" t="s">
        <v>7587</v>
      </c>
      <c r="I5922">
        <v>3.8698000000000001</v>
      </c>
      <c r="J5922">
        <v>187991.59</v>
      </c>
      <c r="K5922">
        <v>48579.14879321929</v>
      </c>
    </row>
    <row r="5923" spans="1:11" x14ac:dyDescent="0.25">
      <c r="A5923" t="s">
        <v>531</v>
      </c>
      <c r="B5923" t="s">
        <v>1105</v>
      </c>
      <c r="C5923" s="1">
        <v>42258</v>
      </c>
      <c r="D5923" s="1">
        <v>42275</v>
      </c>
      <c r="E5923">
        <v>10</v>
      </c>
      <c r="F5923" t="s">
        <v>311</v>
      </c>
      <c r="G5923" t="s">
        <v>16</v>
      </c>
      <c r="H5923" t="s">
        <v>7588</v>
      </c>
      <c r="I5923">
        <v>3.8698000000000001</v>
      </c>
      <c r="J5923">
        <v>10968.9</v>
      </c>
      <c r="K5923">
        <v>2834.4875704170759</v>
      </c>
    </row>
    <row r="5924" spans="1:11" x14ac:dyDescent="0.25">
      <c r="A5924" t="s">
        <v>467</v>
      </c>
      <c r="B5924" t="s">
        <v>3122</v>
      </c>
      <c r="C5924" s="1">
        <v>42275</v>
      </c>
      <c r="D5924" s="1">
        <v>42283</v>
      </c>
      <c r="E5924">
        <v>5</v>
      </c>
      <c r="F5924" t="s">
        <v>675</v>
      </c>
      <c r="G5924" t="s">
        <v>16</v>
      </c>
      <c r="H5924" t="s">
        <v>4424</v>
      </c>
      <c r="I5924">
        <v>3.9479000000000002</v>
      </c>
      <c r="J5924">
        <v>93350</v>
      </c>
      <c r="K5924">
        <v>23645.482408369007</v>
      </c>
    </row>
    <row r="5925" spans="1:11" x14ac:dyDescent="0.25">
      <c r="A5925" t="s">
        <v>342</v>
      </c>
      <c r="B5925" t="s">
        <v>1169</v>
      </c>
      <c r="C5925" s="1">
        <v>42260</v>
      </c>
      <c r="D5925" s="1">
        <v>42268</v>
      </c>
      <c r="E5925">
        <v>2</v>
      </c>
      <c r="F5925" t="s">
        <v>675</v>
      </c>
      <c r="G5925" t="s">
        <v>16</v>
      </c>
      <c r="H5925" t="s">
        <v>7589</v>
      </c>
      <c r="I5925">
        <v>3.8698000000000001</v>
      </c>
      <c r="J5925">
        <v>79830</v>
      </c>
      <c r="K5925">
        <v>20628.973073543853</v>
      </c>
    </row>
    <row r="5926" spans="1:11" x14ac:dyDescent="0.25">
      <c r="A5926" t="s">
        <v>4425</v>
      </c>
      <c r="B5926" t="s">
        <v>4426</v>
      </c>
      <c r="C5926" s="1">
        <v>42268</v>
      </c>
      <c r="D5926" s="1">
        <v>42276</v>
      </c>
      <c r="E5926">
        <v>15</v>
      </c>
      <c r="F5926" t="s">
        <v>318</v>
      </c>
      <c r="G5926" t="s">
        <v>16</v>
      </c>
      <c r="H5926" t="s">
        <v>7590</v>
      </c>
      <c r="I5926">
        <v>3.9020999999999999</v>
      </c>
      <c r="J5926">
        <v>648206.24</v>
      </c>
      <c r="K5926">
        <v>166117.28043873812</v>
      </c>
    </row>
    <row r="5927" spans="1:11" x14ac:dyDescent="0.25">
      <c r="A5927" t="s">
        <v>4425</v>
      </c>
      <c r="B5927" t="s">
        <v>4426</v>
      </c>
      <c r="C5927" s="1">
        <v>42268</v>
      </c>
      <c r="D5927" s="1">
        <v>42276</v>
      </c>
      <c r="E5927">
        <v>15</v>
      </c>
      <c r="F5927" t="s">
        <v>318</v>
      </c>
      <c r="G5927" t="s">
        <v>16</v>
      </c>
      <c r="H5927" t="s">
        <v>4427</v>
      </c>
      <c r="I5927">
        <v>3.9020999999999999</v>
      </c>
      <c r="J5927">
        <v>432137.49</v>
      </c>
      <c r="K5927">
        <v>110744.85277158453</v>
      </c>
    </row>
    <row r="5928" spans="1:11" x14ac:dyDescent="0.25">
      <c r="A5928" t="s">
        <v>623</v>
      </c>
      <c r="B5928" t="s">
        <v>2193</v>
      </c>
      <c r="C5928" s="1">
        <v>42268</v>
      </c>
      <c r="D5928" s="1">
        <v>42280</v>
      </c>
      <c r="E5928">
        <v>266</v>
      </c>
      <c r="F5928" t="s">
        <v>311</v>
      </c>
      <c r="G5928" t="s">
        <v>16</v>
      </c>
      <c r="H5928" t="s">
        <v>4428</v>
      </c>
      <c r="I5928">
        <v>3.9020999999999999</v>
      </c>
      <c r="J5928">
        <v>301710.8</v>
      </c>
      <c r="K5928">
        <v>77320.109684528841</v>
      </c>
    </row>
    <row r="5929" spans="1:11" x14ac:dyDescent="0.25">
      <c r="A5929" t="s">
        <v>7591</v>
      </c>
      <c r="C5929" s="1">
        <v>42305</v>
      </c>
      <c r="D5929" s="1">
        <v>42306</v>
      </c>
      <c r="E5929">
        <v>29</v>
      </c>
      <c r="F5929" t="s">
        <v>519</v>
      </c>
      <c r="G5929" t="s">
        <v>16</v>
      </c>
      <c r="H5929" t="s">
        <v>7592</v>
      </c>
      <c r="I5929">
        <v>3.9114</v>
      </c>
      <c r="J5929">
        <v>100.02</v>
      </c>
      <c r="K5929">
        <v>25.571406657462802</v>
      </c>
    </row>
    <row r="5930" spans="1:11" x14ac:dyDescent="0.25">
      <c r="A5930" t="s">
        <v>408</v>
      </c>
      <c r="B5930" t="s">
        <v>1097</v>
      </c>
      <c r="C5930" s="1">
        <v>42263</v>
      </c>
      <c r="D5930" s="1">
        <v>42270</v>
      </c>
      <c r="E5930">
        <v>16</v>
      </c>
      <c r="F5930" t="s">
        <v>311</v>
      </c>
      <c r="G5930" t="s">
        <v>16</v>
      </c>
      <c r="H5930" t="s">
        <v>7593</v>
      </c>
      <c r="I5930">
        <v>3.8599000000000001</v>
      </c>
      <c r="J5930">
        <v>161928.51</v>
      </c>
      <c r="K5930">
        <v>41951.478017565219</v>
      </c>
    </row>
    <row r="5931" spans="1:11" x14ac:dyDescent="0.25">
      <c r="A5931" t="s">
        <v>4429</v>
      </c>
      <c r="B5931" t="s">
        <v>4430</v>
      </c>
      <c r="C5931" s="1">
        <v>42290</v>
      </c>
      <c r="D5931" s="1">
        <v>42297</v>
      </c>
      <c r="E5931">
        <v>11</v>
      </c>
      <c r="F5931" t="s">
        <v>278</v>
      </c>
      <c r="G5931" t="s">
        <v>16</v>
      </c>
      <c r="H5931" t="s">
        <v>3854</v>
      </c>
      <c r="I5931">
        <v>3.7385999999999999</v>
      </c>
      <c r="J5931">
        <v>424049.6</v>
      </c>
      <c r="K5931">
        <v>113424.70443481517</v>
      </c>
    </row>
    <row r="5932" spans="1:11" x14ac:dyDescent="0.25">
      <c r="A5932" t="s">
        <v>527</v>
      </c>
      <c r="B5932" t="s">
        <v>3132</v>
      </c>
      <c r="C5932" s="1">
        <v>42258</v>
      </c>
      <c r="D5932" s="1">
        <v>42298</v>
      </c>
      <c r="E5932">
        <v>3</v>
      </c>
      <c r="F5932" t="s">
        <v>301</v>
      </c>
      <c r="G5932" t="s">
        <v>16</v>
      </c>
      <c r="H5932" t="s">
        <v>7594</v>
      </c>
      <c r="I5932">
        <v>3.8698000000000001</v>
      </c>
      <c r="J5932">
        <v>138557.96</v>
      </c>
      <c r="K5932">
        <v>35804.940823815181</v>
      </c>
    </row>
    <row r="5933" spans="1:11" x14ac:dyDescent="0.25">
      <c r="A5933" t="s">
        <v>527</v>
      </c>
      <c r="B5933" t="s">
        <v>3132</v>
      </c>
      <c r="C5933" s="1">
        <v>42257</v>
      </c>
      <c r="D5933" s="1">
        <v>42298</v>
      </c>
      <c r="E5933">
        <v>3</v>
      </c>
      <c r="F5933" t="s">
        <v>301</v>
      </c>
      <c r="G5933" t="s">
        <v>16</v>
      </c>
      <c r="H5933" t="s">
        <v>4431</v>
      </c>
      <c r="I5933">
        <v>3.7869999999999999</v>
      </c>
      <c r="J5933">
        <v>21850.38</v>
      </c>
      <c r="K5933">
        <v>5769.8389226300505</v>
      </c>
    </row>
    <row r="5934" spans="1:11" x14ac:dyDescent="0.25">
      <c r="A5934" t="s">
        <v>350</v>
      </c>
      <c r="B5934" t="s">
        <v>1733</v>
      </c>
      <c r="C5934" s="1">
        <v>42301</v>
      </c>
      <c r="D5934" s="1">
        <v>42307</v>
      </c>
      <c r="E5934">
        <v>21</v>
      </c>
      <c r="F5934" t="s">
        <v>331</v>
      </c>
      <c r="G5934" t="s">
        <v>16</v>
      </c>
      <c r="H5934" t="s">
        <v>7595</v>
      </c>
      <c r="I5934">
        <v>3.8988</v>
      </c>
      <c r="J5934">
        <v>117118.89</v>
      </c>
      <c r="K5934">
        <v>30039.727608494923</v>
      </c>
    </row>
    <row r="5935" spans="1:11" x14ac:dyDescent="0.25">
      <c r="A5935" t="s">
        <v>439</v>
      </c>
      <c r="B5935" t="s">
        <v>2197</v>
      </c>
      <c r="C5935" s="1">
        <v>42301</v>
      </c>
      <c r="D5935" s="1">
        <v>42305</v>
      </c>
      <c r="E5935">
        <v>19</v>
      </c>
      <c r="F5935" t="s">
        <v>331</v>
      </c>
      <c r="G5935" t="s">
        <v>16</v>
      </c>
      <c r="H5935" t="s">
        <v>4432</v>
      </c>
      <c r="I5935">
        <v>3.8988</v>
      </c>
      <c r="J5935">
        <v>91622.080000000002</v>
      </c>
      <c r="K5935">
        <v>23500.071816969325</v>
      </c>
    </row>
    <row r="5936" spans="1:11" x14ac:dyDescent="0.25">
      <c r="A5936" t="s">
        <v>632</v>
      </c>
      <c r="B5936" t="s">
        <v>3998</v>
      </c>
      <c r="C5936" s="1">
        <v>42258</v>
      </c>
      <c r="D5936" s="1">
        <v>42286</v>
      </c>
      <c r="E5936">
        <v>4</v>
      </c>
      <c r="F5936" t="s">
        <v>301</v>
      </c>
      <c r="G5936" t="s">
        <v>16</v>
      </c>
      <c r="H5936" t="s">
        <v>7596</v>
      </c>
      <c r="I5936">
        <v>3.8698000000000001</v>
      </c>
      <c r="J5936">
        <v>64346.61</v>
      </c>
      <c r="K5936">
        <v>16627.890330249626</v>
      </c>
    </row>
    <row r="5937" spans="1:11" x14ac:dyDescent="0.25">
      <c r="A5937" t="s">
        <v>350</v>
      </c>
      <c r="B5937" t="s">
        <v>1733</v>
      </c>
      <c r="C5937" s="1">
        <v>42301</v>
      </c>
      <c r="D5937" s="1">
        <v>42306</v>
      </c>
      <c r="E5937">
        <v>21</v>
      </c>
      <c r="F5937" t="s">
        <v>331</v>
      </c>
      <c r="G5937" t="s">
        <v>16</v>
      </c>
      <c r="H5937" t="s">
        <v>4433</v>
      </c>
      <c r="I5937">
        <v>3.8988</v>
      </c>
      <c r="J5937">
        <v>119590.39</v>
      </c>
      <c r="K5937">
        <v>30673.640607366367</v>
      </c>
    </row>
    <row r="5938" spans="1:11" x14ac:dyDescent="0.25">
      <c r="A5938" t="s">
        <v>342</v>
      </c>
      <c r="B5938" t="s">
        <v>1169</v>
      </c>
      <c r="C5938" s="1">
        <v>42350</v>
      </c>
      <c r="D5938" s="1">
        <v>42355</v>
      </c>
      <c r="E5938">
        <v>2</v>
      </c>
      <c r="F5938" t="s">
        <v>675</v>
      </c>
      <c r="G5938" t="s">
        <v>16</v>
      </c>
      <c r="H5938" t="s">
        <v>4434</v>
      </c>
      <c r="I5938">
        <v>3.8548</v>
      </c>
      <c r="J5938">
        <v>96180.75</v>
      </c>
      <c r="K5938">
        <v>24950.905364740065</v>
      </c>
    </row>
    <row r="5939" spans="1:11" x14ac:dyDescent="0.25">
      <c r="A5939" t="s">
        <v>342</v>
      </c>
      <c r="B5939" t="s">
        <v>1169</v>
      </c>
      <c r="C5939" s="1">
        <v>42350</v>
      </c>
      <c r="D5939" s="1">
        <v>42355</v>
      </c>
      <c r="E5939">
        <v>2</v>
      </c>
      <c r="F5939" t="s">
        <v>675</v>
      </c>
      <c r="G5939" t="s">
        <v>16</v>
      </c>
      <c r="H5939" t="s">
        <v>7597</v>
      </c>
      <c r="I5939">
        <v>3.8548</v>
      </c>
      <c r="J5939">
        <v>79830</v>
      </c>
      <c r="K5939">
        <v>20709.245615855558</v>
      </c>
    </row>
    <row r="5940" spans="1:11" x14ac:dyDescent="0.25">
      <c r="A5940" t="s">
        <v>429</v>
      </c>
      <c r="B5940" t="s">
        <v>1216</v>
      </c>
      <c r="C5940" s="1">
        <v>42311</v>
      </c>
      <c r="D5940" s="1">
        <v>42312</v>
      </c>
      <c r="E5940">
        <v>5</v>
      </c>
      <c r="F5940" t="s">
        <v>675</v>
      </c>
      <c r="G5940" t="s">
        <v>16</v>
      </c>
      <c r="H5940" t="s">
        <v>7598</v>
      </c>
      <c r="I5940">
        <v>3.8589000000000002</v>
      </c>
      <c r="J5940">
        <v>51102.99</v>
      </c>
      <c r="K5940">
        <v>13242.890461012206</v>
      </c>
    </row>
    <row r="5941" spans="1:11" x14ac:dyDescent="0.25">
      <c r="A5941" t="s">
        <v>560</v>
      </c>
      <c r="B5941" t="s">
        <v>559</v>
      </c>
      <c r="C5941" s="1">
        <v>42329</v>
      </c>
      <c r="D5941" s="1">
        <v>42339</v>
      </c>
      <c r="E5941">
        <v>47</v>
      </c>
      <c r="F5941" t="s">
        <v>301</v>
      </c>
      <c r="G5941" t="s">
        <v>16</v>
      </c>
      <c r="H5941" t="s">
        <v>7599</v>
      </c>
      <c r="I5941">
        <v>3.7010000000000001</v>
      </c>
      <c r="J5941">
        <v>30051.56</v>
      </c>
      <c r="K5941">
        <v>8119.8486895433671</v>
      </c>
    </row>
    <row r="5942" spans="1:11" x14ac:dyDescent="0.25">
      <c r="A5942" t="s">
        <v>1220</v>
      </c>
      <c r="B5942" t="s">
        <v>1221</v>
      </c>
      <c r="C5942" s="1">
        <v>42334</v>
      </c>
      <c r="D5942" s="1">
        <v>42348</v>
      </c>
      <c r="E5942">
        <v>20</v>
      </c>
      <c r="F5942" t="s">
        <v>331</v>
      </c>
      <c r="G5942" t="s">
        <v>16</v>
      </c>
      <c r="H5942" t="s">
        <v>7600</v>
      </c>
      <c r="I5942">
        <v>3.7688000000000001</v>
      </c>
      <c r="J5942">
        <v>59105.13</v>
      </c>
      <c r="K5942">
        <v>15682.745170876671</v>
      </c>
    </row>
    <row r="5943" spans="1:11" x14ac:dyDescent="0.25">
      <c r="A5943" t="s">
        <v>1220</v>
      </c>
      <c r="B5943" t="s">
        <v>1221</v>
      </c>
      <c r="C5943" s="1">
        <v>42334</v>
      </c>
      <c r="D5943" s="1">
        <v>42342</v>
      </c>
      <c r="E5943">
        <v>20</v>
      </c>
      <c r="F5943" t="s">
        <v>331</v>
      </c>
      <c r="G5943" t="s">
        <v>16</v>
      </c>
      <c r="H5943" t="s">
        <v>7601</v>
      </c>
      <c r="I5943">
        <v>3.7688000000000001</v>
      </c>
      <c r="J5943">
        <v>40230.410000000003</v>
      </c>
      <c r="K5943">
        <v>10674.59403523668</v>
      </c>
    </row>
    <row r="5944" spans="1:11" x14ac:dyDescent="0.25">
      <c r="A5944" t="s">
        <v>1220</v>
      </c>
      <c r="B5944" t="s">
        <v>1221</v>
      </c>
      <c r="C5944" s="1">
        <v>42335</v>
      </c>
      <c r="D5944" s="1">
        <v>42342</v>
      </c>
      <c r="E5944">
        <v>20</v>
      </c>
      <c r="F5944" t="s">
        <v>331</v>
      </c>
      <c r="G5944" t="s">
        <v>16</v>
      </c>
      <c r="H5944" t="s">
        <v>7602</v>
      </c>
      <c r="I5944">
        <v>3.7606000000000002</v>
      </c>
      <c r="J5944">
        <v>60224</v>
      </c>
      <c r="K5944">
        <v>16014.465776737754</v>
      </c>
    </row>
    <row r="5945" spans="1:11" x14ac:dyDescent="0.25">
      <c r="A5945" t="s">
        <v>350</v>
      </c>
      <c r="B5945" t="s">
        <v>1733</v>
      </c>
      <c r="C5945" s="1">
        <v>42304</v>
      </c>
      <c r="D5945" s="1">
        <v>42311</v>
      </c>
      <c r="E5945">
        <v>21</v>
      </c>
      <c r="F5945" t="s">
        <v>331</v>
      </c>
      <c r="G5945" t="s">
        <v>16</v>
      </c>
      <c r="H5945" t="s">
        <v>4435</v>
      </c>
      <c r="I5945">
        <v>3.8582000000000001</v>
      </c>
      <c r="J5945">
        <v>123877.69</v>
      </c>
      <c r="K5945">
        <v>32107.638276916696</v>
      </c>
    </row>
    <row r="5946" spans="1:11" x14ac:dyDescent="0.25">
      <c r="A5946" t="s">
        <v>1220</v>
      </c>
      <c r="B5946" t="s">
        <v>1221</v>
      </c>
      <c r="C5946" s="1">
        <v>42335</v>
      </c>
      <c r="D5946" s="1">
        <v>42341</v>
      </c>
      <c r="E5946">
        <v>20</v>
      </c>
      <c r="F5946" t="s">
        <v>331</v>
      </c>
      <c r="G5946" t="s">
        <v>16</v>
      </c>
      <c r="H5946" t="s">
        <v>7603</v>
      </c>
      <c r="I5946">
        <v>3.7606000000000002</v>
      </c>
      <c r="J5946">
        <v>60694.239999999998</v>
      </c>
      <c r="K5946">
        <v>16139.509652714993</v>
      </c>
    </row>
    <row r="5947" spans="1:11" x14ac:dyDescent="0.25">
      <c r="A5947" t="s">
        <v>623</v>
      </c>
      <c r="B5947" t="s">
        <v>2193</v>
      </c>
      <c r="C5947" s="1">
        <v>42304</v>
      </c>
      <c r="D5947" s="1">
        <v>42322</v>
      </c>
      <c r="E5947">
        <v>266</v>
      </c>
      <c r="F5947" t="s">
        <v>311</v>
      </c>
      <c r="G5947" t="s">
        <v>16</v>
      </c>
      <c r="H5947" t="s">
        <v>4436</v>
      </c>
      <c r="I5947">
        <v>3.8582000000000001</v>
      </c>
      <c r="J5947">
        <v>30860</v>
      </c>
      <c r="K5947">
        <v>7998.5485459540714</v>
      </c>
    </row>
    <row r="5948" spans="1:11" x14ac:dyDescent="0.25">
      <c r="A5948" t="s">
        <v>1220</v>
      </c>
      <c r="B5948" t="s">
        <v>1221</v>
      </c>
      <c r="C5948" s="1">
        <v>42335</v>
      </c>
      <c r="D5948" s="1">
        <v>42343</v>
      </c>
      <c r="E5948">
        <v>20</v>
      </c>
      <c r="F5948" t="s">
        <v>331</v>
      </c>
      <c r="G5948" t="s">
        <v>16</v>
      </c>
      <c r="H5948" t="s">
        <v>4437</v>
      </c>
      <c r="I5948">
        <v>3.7606000000000002</v>
      </c>
      <c r="J5948">
        <v>59542.95</v>
      </c>
      <c r="K5948">
        <v>15833.364356751583</v>
      </c>
    </row>
    <row r="5949" spans="1:11" x14ac:dyDescent="0.25">
      <c r="A5949" t="s">
        <v>554</v>
      </c>
      <c r="B5949" t="s">
        <v>553</v>
      </c>
      <c r="C5949" s="1">
        <v>42305</v>
      </c>
      <c r="D5949" s="1">
        <v>42328</v>
      </c>
      <c r="E5949">
        <v>135</v>
      </c>
      <c r="F5949" t="s">
        <v>301</v>
      </c>
      <c r="G5949" t="s">
        <v>16</v>
      </c>
      <c r="H5949" t="s">
        <v>4438</v>
      </c>
      <c r="I5949">
        <v>3.9114</v>
      </c>
      <c r="J5949">
        <v>32011.599999999999</v>
      </c>
      <c r="K5949">
        <v>8184.1795776448334</v>
      </c>
    </row>
    <row r="5950" spans="1:11" x14ac:dyDescent="0.25">
      <c r="A5950" t="s">
        <v>462</v>
      </c>
      <c r="B5950" t="s">
        <v>461</v>
      </c>
      <c r="C5950" s="1">
        <v>42313</v>
      </c>
      <c r="D5950" s="1">
        <v>42327</v>
      </c>
      <c r="E5950">
        <v>367</v>
      </c>
      <c r="F5950" t="s">
        <v>675</v>
      </c>
      <c r="G5950" t="s">
        <v>16</v>
      </c>
      <c r="H5950" t="s">
        <v>7604</v>
      </c>
      <c r="I5950">
        <v>3.7686999999999999</v>
      </c>
      <c r="J5950">
        <v>23062</v>
      </c>
      <c r="K5950">
        <v>6119.3515005174195</v>
      </c>
    </row>
    <row r="5951" spans="1:11" x14ac:dyDescent="0.25">
      <c r="A5951" t="s">
        <v>350</v>
      </c>
      <c r="B5951" t="s">
        <v>1733</v>
      </c>
      <c r="C5951" s="1">
        <v>42301</v>
      </c>
      <c r="D5951" s="1">
        <v>42306</v>
      </c>
      <c r="E5951">
        <v>21</v>
      </c>
      <c r="F5951" t="s">
        <v>331</v>
      </c>
      <c r="G5951" t="s">
        <v>16</v>
      </c>
      <c r="H5951" t="s">
        <v>7605</v>
      </c>
      <c r="I5951">
        <v>3.8988</v>
      </c>
      <c r="J5951">
        <v>91899.49</v>
      </c>
      <c r="K5951">
        <v>23571.224479326971</v>
      </c>
    </row>
    <row r="5952" spans="1:11" x14ac:dyDescent="0.25">
      <c r="A5952" t="s">
        <v>1220</v>
      </c>
      <c r="B5952" t="s">
        <v>1221</v>
      </c>
      <c r="C5952" s="1">
        <v>42335</v>
      </c>
      <c r="D5952" s="1">
        <v>42346</v>
      </c>
      <c r="E5952">
        <v>20</v>
      </c>
      <c r="F5952" t="s">
        <v>331</v>
      </c>
      <c r="G5952" t="s">
        <v>16</v>
      </c>
      <c r="H5952" t="s">
        <v>7606</v>
      </c>
      <c r="I5952">
        <v>3.7606000000000002</v>
      </c>
      <c r="J5952">
        <v>59315.93</v>
      </c>
      <c r="K5952">
        <v>15772.996330372813</v>
      </c>
    </row>
    <row r="5953" spans="1:11" x14ac:dyDescent="0.25">
      <c r="A5953" t="s">
        <v>429</v>
      </c>
      <c r="B5953" t="s">
        <v>1216</v>
      </c>
      <c r="C5953" s="1">
        <v>42307</v>
      </c>
      <c r="D5953" s="1">
        <v>42311</v>
      </c>
      <c r="E5953">
        <v>5</v>
      </c>
      <c r="F5953" t="s">
        <v>675</v>
      </c>
      <c r="G5953" t="s">
        <v>16</v>
      </c>
      <c r="H5953" t="s">
        <v>7607</v>
      </c>
      <c r="I5953">
        <v>3.9327999999999999</v>
      </c>
      <c r="J5953">
        <v>479940</v>
      </c>
      <c r="K5953">
        <v>122035.19121236778</v>
      </c>
    </row>
    <row r="5954" spans="1:11" x14ac:dyDescent="0.25">
      <c r="A5954" t="s">
        <v>429</v>
      </c>
      <c r="B5954" t="s">
        <v>1216</v>
      </c>
      <c r="C5954" s="1">
        <v>42307</v>
      </c>
      <c r="D5954" s="1">
        <v>42311</v>
      </c>
      <c r="E5954">
        <v>5</v>
      </c>
      <c r="F5954" t="s">
        <v>675</v>
      </c>
      <c r="G5954" t="s">
        <v>16</v>
      </c>
      <c r="H5954" t="s">
        <v>4439</v>
      </c>
      <c r="I5954">
        <v>3.9327999999999999</v>
      </c>
      <c r="J5954">
        <v>479940</v>
      </c>
      <c r="K5954">
        <v>122035.19121236778</v>
      </c>
    </row>
    <row r="5955" spans="1:11" x14ac:dyDescent="0.25">
      <c r="A5955" t="s">
        <v>351</v>
      </c>
      <c r="B5955" t="s">
        <v>1214</v>
      </c>
      <c r="C5955" s="1">
        <v>42319</v>
      </c>
      <c r="D5955" s="1">
        <v>42331</v>
      </c>
      <c r="E5955">
        <v>17</v>
      </c>
      <c r="F5955" t="s">
        <v>311</v>
      </c>
      <c r="G5955" t="s">
        <v>16</v>
      </c>
      <c r="H5955" t="s">
        <v>7608</v>
      </c>
      <c r="I5955">
        <v>3.7980999999999998</v>
      </c>
      <c r="J5955">
        <v>182280</v>
      </c>
      <c r="K5955">
        <v>47992.417261262213</v>
      </c>
    </row>
    <row r="5956" spans="1:11" x14ac:dyDescent="0.25">
      <c r="A5956" t="s">
        <v>342</v>
      </c>
      <c r="B5956" t="s">
        <v>1169</v>
      </c>
      <c r="C5956" s="1">
        <v>42327</v>
      </c>
      <c r="D5956" s="1">
        <v>42331</v>
      </c>
      <c r="E5956">
        <v>2</v>
      </c>
      <c r="F5956" t="s">
        <v>675</v>
      </c>
      <c r="G5956" t="s">
        <v>16</v>
      </c>
      <c r="H5956" t="s">
        <v>7609</v>
      </c>
      <c r="I5956">
        <v>3.7921</v>
      </c>
      <c r="J5956">
        <v>79830</v>
      </c>
      <c r="K5956">
        <v>21051.6600300625</v>
      </c>
    </row>
    <row r="5957" spans="1:11" x14ac:dyDescent="0.25">
      <c r="A5957" t="s">
        <v>4440</v>
      </c>
      <c r="B5957" t="s">
        <v>4441</v>
      </c>
      <c r="C5957" s="1">
        <v>42327</v>
      </c>
      <c r="D5957" s="1">
        <v>42332</v>
      </c>
      <c r="E5957">
        <v>348</v>
      </c>
      <c r="F5957" t="s">
        <v>406</v>
      </c>
      <c r="G5957" t="s">
        <v>16</v>
      </c>
      <c r="H5957" t="s">
        <v>4442</v>
      </c>
      <c r="I5957">
        <v>3.7921</v>
      </c>
      <c r="J5957">
        <v>399308.13</v>
      </c>
      <c r="K5957">
        <v>105300</v>
      </c>
    </row>
    <row r="5958" spans="1:11" x14ac:dyDescent="0.25">
      <c r="A5958" t="s">
        <v>353</v>
      </c>
      <c r="B5958" t="s">
        <v>352</v>
      </c>
      <c r="C5958" s="1">
        <v>42313</v>
      </c>
      <c r="D5958" s="1">
        <v>42338</v>
      </c>
      <c r="E5958">
        <v>981</v>
      </c>
      <c r="F5958" t="s">
        <v>675</v>
      </c>
      <c r="G5958" t="s">
        <v>16</v>
      </c>
      <c r="H5958" t="s">
        <v>4443</v>
      </c>
      <c r="I5958">
        <v>3.7686999999999999</v>
      </c>
      <c r="J5958">
        <v>23062</v>
      </c>
      <c r="K5958">
        <v>6119.3515005174195</v>
      </c>
    </row>
    <row r="5959" spans="1:11" x14ac:dyDescent="0.25">
      <c r="A5959" t="s">
        <v>429</v>
      </c>
      <c r="B5959" t="s">
        <v>1216</v>
      </c>
      <c r="C5959" s="1">
        <v>42332</v>
      </c>
      <c r="D5959" s="1">
        <v>42338</v>
      </c>
      <c r="E5959">
        <v>5</v>
      </c>
      <c r="F5959" t="s">
        <v>675</v>
      </c>
      <c r="G5959" t="s">
        <v>16</v>
      </c>
      <c r="H5959" t="s">
        <v>4444</v>
      </c>
      <c r="I5959">
        <v>3.7231000000000001</v>
      </c>
      <c r="J5959">
        <v>267354.40000000002</v>
      </c>
      <c r="K5959">
        <v>71809.621014745775</v>
      </c>
    </row>
    <row r="5960" spans="1:11" x14ac:dyDescent="0.25">
      <c r="A5960" t="s">
        <v>429</v>
      </c>
      <c r="B5960" t="s">
        <v>1216</v>
      </c>
      <c r="C5960" s="1">
        <v>42366</v>
      </c>
      <c r="D5960" s="1">
        <v>42380</v>
      </c>
      <c r="E5960">
        <v>5</v>
      </c>
      <c r="F5960" t="s">
        <v>675</v>
      </c>
      <c r="G5960" t="s">
        <v>16</v>
      </c>
      <c r="H5960" t="s">
        <v>4445</v>
      </c>
      <c r="I5960">
        <v>3.9523999999999999</v>
      </c>
      <c r="J5960">
        <v>221722.4</v>
      </c>
      <c r="K5960">
        <v>56098.16820159903</v>
      </c>
    </row>
    <row r="5961" spans="1:11" x14ac:dyDescent="0.25">
      <c r="A5961" t="s">
        <v>428</v>
      </c>
      <c r="B5961" t="s">
        <v>1231</v>
      </c>
      <c r="C5961" s="1">
        <v>42356</v>
      </c>
      <c r="D5961" s="1">
        <v>42360</v>
      </c>
      <c r="E5961">
        <v>22</v>
      </c>
      <c r="F5961" t="s">
        <v>331</v>
      </c>
      <c r="G5961" t="s">
        <v>16</v>
      </c>
      <c r="H5961" t="s">
        <v>7610</v>
      </c>
      <c r="I5961">
        <v>3.8929</v>
      </c>
      <c r="J5961">
        <v>48085.41</v>
      </c>
      <c r="K5961">
        <v>12352.079426648514</v>
      </c>
    </row>
    <row r="5962" spans="1:11" x14ac:dyDescent="0.25">
      <c r="A5962" t="s">
        <v>428</v>
      </c>
      <c r="B5962" t="s">
        <v>1231</v>
      </c>
      <c r="C5962" s="1">
        <v>42356</v>
      </c>
      <c r="D5962" s="1">
        <v>42360</v>
      </c>
      <c r="E5962">
        <v>22</v>
      </c>
      <c r="F5962" t="s">
        <v>331</v>
      </c>
      <c r="G5962" t="s">
        <v>16</v>
      </c>
      <c r="H5962" t="s">
        <v>4446</v>
      </c>
      <c r="I5962">
        <v>3.8929</v>
      </c>
      <c r="J5962">
        <v>40670.730000000003</v>
      </c>
      <c r="K5962">
        <v>10447.411955097741</v>
      </c>
    </row>
    <row r="5963" spans="1:11" x14ac:dyDescent="0.25">
      <c r="A5963" t="s">
        <v>428</v>
      </c>
      <c r="B5963" t="s">
        <v>1231</v>
      </c>
      <c r="C5963" s="1">
        <v>42357</v>
      </c>
      <c r="D5963" s="1">
        <v>42366</v>
      </c>
      <c r="E5963">
        <v>22</v>
      </c>
      <c r="F5963" t="s">
        <v>331</v>
      </c>
      <c r="G5963" t="s">
        <v>16</v>
      </c>
      <c r="H5963" t="s">
        <v>7611</v>
      </c>
      <c r="I5963">
        <v>3.9062000000000001</v>
      </c>
      <c r="J5963">
        <v>48784.18</v>
      </c>
      <c r="K5963">
        <v>12488.909938047207</v>
      </c>
    </row>
    <row r="5964" spans="1:11" x14ac:dyDescent="0.25">
      <c r="A5964" t="s">
        <v>428</v>
      </c>
      <c r="B5964" t="s">
        <v>1231</v>
      </c>
      <c r="C5964" s="1">
        <v>42358</v>
      </c>
      <c r="D5964" s="1">
        <v>42367</v>
      </c>
      <c r="E5964">
        <v>22</v>
      </c>
      <c r="F5964" t="s">
        <v>331</v>
      </c>
      <c r="G5964" t="s">
        <v>16</v>
      </c>
      <c r="H5964" t="s">
        <v>4447</v>
      </c>
      <c r="I5964">
        <v>3.9062000000000001</v>
      </c>
      <c r="J5964">
        <v>32130.27</v>
      </c>
      <c r="K5964">
        <v>8225.4544058163938</v>
      </c>
    </row>
    <row r="5965" spans="1:11" x14ac:dyDescent="0.25">
      <c r="A5965" t="s">
        <v>351</v>
      </c>
      <c r="B5965" t="s">
        <v>1214</v>
      </c>
      <c r="C5965" s="1">
        <v>42356</v>
      </c>
      <c r="D5965" s="1">
        <v>42366</v>
      </c>
      <c r="E5965">
        <v>17</v>
      </c>
      <c r="F5965" t="s">
        <v>1255</v>
      </c>
      <c r="G5965" t="s">
        <v>16</v>
      </c>
      <c r="H5965" t="s">
        <v>7612</v>
      </c>
      <c r="I5965">
        <v>3.8929</v>
      </c>
      <c r="J5965">
        <v>428100</v>
      </c>
      <c r="K5965">
        <v>109969.43152919417</v>
      </c>
    </row>
    <row r="5966" spans="1:11" x14ac:dyDescent="0.25">
      <c r="A5966" t="s">
        <v>429</v>
      </c>
      <c r="B5966" t="s">
        <v>1216</v>
      </c>
      <c r="C5966" s="1">
        <v>42364</v>
      </c>
      <c r="D5966" s="1">
        <v>42367</v>
      </c>
      <c r="E5966">
        <v>5</v>
      </c>
      <c r="F5966" t="s">
        <v>675</v>
      </c>
      <c r="G5966" t="s">
        <v>16</v>
      </c>
      <c r="H5966" t="s">
        <v>4448</v>
      </c>
      <c r="I5966">
        <v>3.9523999999999999</v>
      </c>
      <c r="J5966">
        <v>489546.23999999999</v>
      </c>
      <c r="K5966">
        <v>123860.49994939784</v>
      </c>
    </row>
    <row r="5967" spans="1:11" x14ac:dyDescent="0.25">
      <c r="A5967" t="s">
        <v>489</v>
      </c>
      <c r="B5967" t="s">
        <v>1767</v>
      </c>
      <c r="C5967" s="1">
        <v>42402</v>
      </c>
      <c r="D5967" s="1">
        <v>42403</v>
      </c>
      <c r="E5967">
        <v>570</v>
      </c>
      <c r="F5967" t="s">
        <v>331</v>
      </c>
      <c r="G5967" t="s">
        <v>16</v>
      </c>
      <c r="H5967" t="s">
        <v>4449</v>
      </c>
      <c r="I5967">
        <v>3.9986000000000002</v>
      </c>
      <c r="J5967">
        <v>70559.679999999993</v>
      </c>
      <c r="K5967">
        <v>17646.096133646777</v>
      </c>
    </row>
    <row r="5968" spans="1:11" x14ac:dyDescent="0.25">
      <c r="A5968" t="s">
        <v>429</v>
      </c>
      <c r="B5968" t="s">
        <v>1216</v>
      </c>
      <c r="C5968" s="1">
        <v>42391</v>
      </c>
      <c r="D5968" s="1">
        <v>42404</v>
      </c>
      <c r="E5968">
        <v>5</v>
      </c>
      <c r="F5968" t="s">
        <v>301</v>
      </c>
      <c r="G5968" t="s">
        <v>16</v>
      </c>
      <c r="H5968" t="s">
        <v>4450</v>
      </c>
      <c r="I5968">
        <v>4.1558000000000002</v>
      </c>
      <c r="J5968">
        <v>37461.919999999998</v>
      </c>
      <c r="K5968">
        <v>9014.3702776842001</v>
      </c>
    </row>
    <row r="5969" spans="1:11" x14ac:dyDescent="0.25">
      <c r="A5969" t="s">
        <v>429</v>
      </c>
      <c r="B5969" t="s">
        <v>1216</v>
      </c>
      <c r="C5969" s="1">
        <v>42391</v>
      </c>
      <c r="D5969" s="1">
        <v>42404</v>
      </c>
      <c r="E5969">
        <v>5</v>
      </c>
      <c r="F5969" t="s">
        <v>301</v>
      </c>
      <c r="G5969" t="s">
        <v>16</v>
      </c>
      <c r="H5969" t="s">
        <v>4451</v>
      </c>
      <c r="I5969">
        <v>4.1558000000000002</v>
      </c>
      <c r="J5969">
        <v>12487.31</v>
      </c>
      <c r="K5969">
        <v>3004.7908946532557</v>
      </c>
    </row>
    <row r="5970" spans="1:11" x14ac:dyDescent="0.25">
      <c r="A5970" t="s">
        <v>62</v>
      </c>
      <c r="B5970" t="s">
        <v>63</v>
      </c>
      <c r="C5970" s="1">
        <v>42399</v>
      </c>
      <c r="D5970" s="1">
        <v>42410</v>
      </c>
      <c r="E5970">
        <v>1</v>
      </c>
      <c r="F5970" t="s">
        <v>368</v>
      </c>
      <c r="G5970" t="s">
        <v>16</v>
      </c>
      <c r="H5970" t="s">
        <v>4452</v>
      </c>
      <c r="I5970">
        <v>4.0427999999999997</v>
      </c>
      <c r="J5970">
        <v>70945.88</v>
      </c>
      <c r="K5970">
        <v>17548.698921539526</v>
      </c>
    </row>
    <row r="5971" spans="1:11" x14ac:dyDescent="0.25">
      <c r="A5971" t="s">
        <v>428</v>
      </c>
      <c r="B5971" t="s">
        <v>1231</v>
      </c>
      <c r="C5971" s="1">
        <v>42423</v>
      </c>
      <c r="D5971" s="1">
        <v>42430</v>
      </c>
      <c r="E5971">
        <v>22</v>
      </c>
      <c r="F5971" t="s">
        <v>331</v>
      </c>
      <c r="G5971" t="s">
        <v>16</v>
      </c>
      <c r="H5971" t="s">
        <v>7613</v>
      </c>
      <c r="I5971">
        <v>3.9618000000000002</v>
      </c>
      <c r="J5971">
        <v>65153.4</v>
      </c>
      <c r="K5971">
        <v>16445.403604422234</v>
      </c>
    </row>
    <row r="5972" spans="1:11" x14ac:dyDescent="0.25">
      <c r="A5972" t="s">
        <v>410</v>
      </c>
      <c r="B5972" t="s">
        <v>1250</v>
      </c>
      <c r="C5972" s="1">
        <v>42429</v>
      </c>
      <c r="D5972" s="1">
        <v>42434</v>
      </c>
      <c r="E5972">
        <v>2108</v>
      </c>
      <c r="F5972" t="s">
        <v>409</v>
      </c>
      <c r="G5972" t="s">
        <v>16</v>
      </c>
      <c r="H5972" t="s">
        <v>1437</v>
      </c>
      <c r="I5972">
        <v>3.9578000000000002</v>
      </c>
      <c r="J5972">
        <v>40852.11</v>
      </c>
      <c r="K5972">
        <v>10321.92379604831</v>
      </c>
    </row>
    <row r="5973" spans="1:11" x14ac:dyDescent="0.25">
      <c r="A5973" t="s">
        <v>4453</v>
      </c>
      <c r="B5973" t="s">
        <v>4454</v>
      </c>
      <c r="C5973" s="1">
        <v>42376</v>
      </c>
      <c r="D5973" s="1">
        <v>42417</v>
      </c>
      <c r="E5973">
        <v>2771</v>
      </c>
      <c r="F5973" t="s">
        <v>441</v>
      </c>
      <c r="G5973" t="s">
        <v>16</v>
      </c>
      <c r="H5973" t="s">
        <v>4455</v>
      </c>
      <c r="I5973">
        <v>4.0303000000000004</v>
      </c>
      <c r="J5973">
        <v>281880</v>
      </c>
      <c r="K5973">
        <v>69940.202962558615</v>
      </c>
    </row>
    <row r="5974" spans="1:11" x14ac:dyDescent="0.25">
      <c r="A5974" t="s">
        <v>4453</v>
      </c>
      <c r="B5974" t="s">
        <v>4454</v>
      </c>
      <c r="C5974" s="1">
        <v>42395</v>
      </c>
      <c r="D5974" s="1">
        <v>42417</v>
      </c>
      <c r="E5974">
        <v>2771</v>
      </c>
      <c r="F5974" t="s">
        <v>441</v>
      </c>
      <c r="G5974" t="s">
        <v>16</v>
      </c>
      <c r="H5974" t="s">
        <v>4456</v>
      </c>
      <c r="I5974">
        <v>4.1002000000000001</v>
      </c>
      <c r="J5974">
        <v>140940</v>
      </c>
      <c r="K5974">
        <v>34373.932978879078</v>
      </c>
    </row>
    <row r="5975" spans="1:11" x14ac:dyDescent="0.25">
      <c r="A5975" t="s">
        <v>1243</v>
      </c>
      <c r="B5975" t="s">
        <v>1244</v>
      </c>
      <c r="C5975" s="1">
        <v>42435</v>
      </c>
      <c r="D5975" s="1">
        <v>42437</v>
      </c>
      <c r="E5975">
        <v>2461</v>
      </c>
      <c r="F5975" t="s">
        <v>368</v>
      </c>
      <c r="G5975" t="s">
        <v>16</v>
      </c>
      <c r="H5975" t="s">
        <v>7614</v>
      </c>
      <c r="I5975">
        <v>3.7187999999999999</v>
      </c>
      <c r="J5975">
        <v>52836.95</v>
      </c>
      <c r="K5975">
        <v>14208.064429385824</v>
      </c>
    </row>
    <row r="5976" spans="1:11" x14ac:dyDescent="0.25">
      <c r="A5976" t="s">
        <v>7615</v>
      </c>
      <c r="B5976" t="s">
        <v>7616</v>
      </c>
      <c r="C5976" s="1">
        <v>42360</v>
      </c>
      <c r="D5976" s="1">
        <v>42425</v>
      </c>
      <c r="E5976">
        <v>2972</v>
      </c>
      <c r="F5976" t="s">
        <v>441</v>
      </c>
      <c r="G5976" t="s">
        <v>16</v>
      </c>
      <c r="H5976" t="s">
        <v>7617</v>
      </c>
      <c r="I5976">
        <v>3.9830999999999999</v>
      </c>
      <c r="J5976">
        <v>52692.639999999999</v>
      </c>
      <c r="K5976">
        <v>13229.052747859707</v>
      </c>
    </row>
    <row r="5977" spans="1:11" x14ac:dyDescent="0.25">
      <c r="A5977" t="s">
        <v>428</v>
      </c>
      <c r="B5977" t="s">
        <v>1231</v>
      </c>
      <c r="C5977" s="1">
        <v>42421</v>
      </c>
      <c r="D5977" s="1">
        <v>42425</v>
      </c>
      <c r="E5977">
        <v>22</v>
      </c>
      <c r="F5977" t="s">
        <v>331</v>
      </c>
      <c r="G5977" t="s">
        <v>16</v>
      </c>
      <c r="H5977" t="s">
        <v>4457</v>
      </c>
      <c r="I5977">
        <v>4.0491999999999999</v>
      </c>
      <c r="J5977">
        <v>45057.43</v>
      </c>
      <c r="K5977">
        <v>11127.489380618394</v>
      </c>
    </row>
    <row r="5978" spans="1:11" x14ac:dyDescent="0.25">
      <c r="A5978" t="s">
        <v>428</v>
      </c>
      <c r="B5978" t="s">
        <v>1231</v>
      </c>
      <c r="C5978" s="1">
        <v>42421</v>
      </c>
      <c r="D5978" s="1">
        <v>42425</v>
      </c>
      <c r="E5978">
        <v>22</v>
      </c>
      <c r="F5978" t="s">
        <v>331</v>
      </c>
      <c r="G5978" t="s">
        <v>16</v>
      </c>
      <c r="H5978" t="s">
        <v>7618</v>
      </c>
      <c r="I5978">
        <v>4.0491999999999999</v>
      </c>
      <c r="J5978">
        <v>48072.47</v>
      </c>
      <c r="K5978">
        <v>11872.090783364616</v>
      </c>
    </row>
    <row r="5979" spans="1:11" x14ac:dyDescent="0.25">
      <c r="A5979" t="s">
        <v>428</v>
      </c>
      <c r="B5979" t="s">
        <v>1231</v>
      </c>
      <c r="C5979" s="1">
        <v>42422</v>
      </c>
      <c r="D5979" s="1">
        <v>42426</v>
      </c>
      <c r="E5979">
        <v>22</v>
      </c>
      <c r="F5979" t="s">
        <v>331</v>
      </c>
      <c r="G5979" t="s">
        <v>16</v>
      </c>
      <c r="H5979" t="s">
        <v>7619</v>
      </c>
      <c r="I5979">
        <v>4.0491999999999999</v>
      </c>
      <c r="J5979">
        <v>45833.83</v>
      </c>
      <c r="K5979">
        <v>11319.230959201817</v>
      </c>
    </row>
    <row r="5980" spans="1:11" x14ac:dyDescent="0.25">
      <c r="A5980" t="s">
        <v>218</v>
      </c>
      <c r="B5980" t="s">
        <v>219</v>
      </c>
      <c r="C5980" s="1">
        <v>42423</v>
      </c>
      <c r="D5980" s="1">
        <v>42431</v>
      </c>
      <c r="E5980">
        <v>2</v>
      </c>
      <c r="F5980" t="s">
        <v>301</v>
      </c>
      <c r="G5980" t="s">
        <v>16</v>
      </c>
      <c r="H5980" t="s">
        <v>7620</v>
      </c>
      <c r="I5980">
        <v>3.9618000000000002</v>
      </c>
      <c r="J5980">
        <v>67230</v>
      </c>
      <c r="K5980">
        <v>16969.559291231257</v>
      </c>
    </row>
    <row r="5981" spans="1:11" x14ac:dyDescent="0.25">
      <c r="A5981" t="s">
        <v>377</v>
      </c>
      <c r="B5981" t="s">
        <v>7621</v>
      </c>
      <c r="C5981" s="1">
        <v>42397</v>
      </c>
      <c r="D5981" s="1">
        <v>42417</v>
      </c>
      <c r="E5981">
        <v>2365</v>
      </c>
      <c r="F5981" t="s">
        <v>301</v>
      </c>
      <c r="G5981" t="s">
        <v>16</v>
      </c>
      <c r="H5981" t="s">
        <v>7622</v>
      </c>
      <c r="I5981">
        <v>4.0448000000000004</v>
      </c>
      <c r="J5981">
        <v>165520.94</v>
      </c>
      <c r="K5981">
        <v>40921.909612341769</v>
      </c>
    </row>
    <row r="5982" spans="1:11" x14ac:dyDescent="0.25">
      <c r="A5982" t="s">
        <v>473</v>
      </c>
      <c r="B5982" t="s">
        <v>1248</v>
      </c>
      <c r="C5982" s="1">
        <v>42410</v>
      </c>
      <c r="D5982" s="1">
        <v>42418</v>
      </c>
      <c r="E5982">
        <v>641</v>
      </c>
      <c r="F5982" t="s">
        <v>409</v>
      </c>
      <c r="G5982" t="s">
        <v>16</v>
      </c>
      <c r="H5982" t="s">
        <v>4458</v>
      </c>
      <c r="I5982">
        <v>3.8975</v>
      </c>
      <c r="J5982">
        <v>64222.080000000002</v>
      </c>
      <c r="K5982">
        <v>16477.762668377163</v>
      </c>
    </row>
    <row r="5983" spans="1:11" x14ac:dyDescent="0.25">
      <c r="A5983" t="s">
        <v>473</v>
      </c>
      <c r="B5983" t="s">
        <v>1248</v>
      </c>
      <c r="C5983" s="1">
        <v>42409</v>
      </c>
      <c r="D5983" s="1">
        <v>42418</v>
      </c>
      <c r="E5983">
        <v>641</v>
      </c>
      <c r="F5983" t="s">
        <v>409</v>
      </c>
      <c r="G5983" t="s">
        <v>16</v>
      </c>
      <c r="H5983" t="s">
        <v>7623</v>
      </c>
      <c r="I5983">
        <v>3.8975</v>
      </c>
      <c r="J5983">
        <v>64222.080000000002</v>
      </c>
      <c r="K5983">
        <v>16477.762668377163</v>
      </c>
    </row>
    <row r="5984" spans="1:11" x14ac:dyDescent="0.25">
      <c r="A5984" t="s">
        <v>2238</v>
      </c>
      <c r="B5984" t="s">
        <v>2239</v>
      </c>
      <c r="C5984" s="1">
        <v>42421</v>
      </c>
      <c r="D5984" s="1">
        <v>42422</v>
      </c>
      <c r="E5984">
        <v>724</v>
      </c>
      <c r="F5984" t="s">
        <v>368</v>
      </c>
      <c r="G5984" t="s">
        <v>16</v>
      </c>
      <c r="H5984" t="s">
        <v>4534</v>
      </c>
      <c r="I5984">
        <v>4.0491999999999999</v>
      </c>
      <c r="J5984">
        <v>60061.83</v>
      </c>
      <c r="K5984">
        <v>14833.01145905364</v>
      </c>
    </row>
    <row r="5985" spans="1:11" x14ac:dyDescent="0.25">
      <c r="A5985" t="s">
        <v>4459</v>
      </c>
      <c r="B5985" t="s">
        <v>4460</v>
      </c>
      <c r="C5985" s="1">
        <v>42419</v>
      </c>
      <c r="D5985" s="1">
        <v>42426</v>
      </c>
      <c r="E5985">
        <v>1442</v>
      </c>
      <c r="F5985" t="s">
        <v>278</v>
      </c>
      <c r="G5985" t="s">
        <v>16</v>
      </c>
      <c r="H5985" t="s">
        <v>4461</v>
      </c>
      <c r="I5985">
        <v>4.0091000000000001</v>
      </c>
      <c r="J5985">
        <v>75371.08</v>
      </c>
      <c r="K5985">
        <v>18800</v>
      </c>
    </row>
    <row r="5986" spans="1:11" x14ac:dyDescent="0.25">
      <c r="A5986" t="s">
        <v>179</v>
      </c>
      <c r="B5986" t="s">
        <v>180</v>
      </c>
      <c r="C5986" s="1">
        <v>42404</v>
      </c>
      <c r="D5986" s="1">
        <v>42408</v>
      </c>
      <c r="E5986">
        <v>1</v>
      </c>
      <c r="F5986" t="s">
        <v>368</v>
      </c>
      <c r="G5986" t="s">
        <v>16</v>
      </c>
      <c r="H5986" t="s">
        <v>4462</v>
      </c>
      <c r="I5986">
        <v>3.9558</v>
      </c>
      <c r="J5986">
        <v>72400.679999999993</v>
      </c>
      <c r="K5986">
        <v>18302.411648718338</v>
      </c>
    </row>
    <row r="5987" spans="1:11" x14ac:dyDescent="0.25">
      <c r="A5987" t="s">
        <v>410</v>
      </c>
      <c r="B5987" t="s">
        <v>1250</v>
      </c>
      <c r="C5987" s="1">
        <v>42422</v>
      </c>
      <c r="D5987" s="1">
        <v>42427</v>
      </c>
      <c r="E5987">
        <v>2108</v>
      </c>
      <c r="F5987" t="s">
        <v>409</v>
      </c>
      <c r="G5987" t="s">
        <v>16</v>
      </c>
      <c r="H5987" t="s">
        <v>4463</v>
      </c>
      <c r="I5987">
        <v>4.0491999999999999</v>
      </c>
      <c r="J5987">
        <v>48758.97</v>
      </c>
      <c r="K5987">
        <v>12041.630445520103</v>
      </c>
    </row>
    <row r="5988" spans="1:11" x14ac:dyDescent="0.25">
      <c r="A5988" t="s">
        <v>473</v>
      </c>
      <c r="B5988" t="s">
        <v>1248</v>
      </c>
      <c r="C5988" s="1">
        <v>42408</v>
      </c>
      <c r="D5988" s="1">
        <v>42422</v>
      </c>
      <c r="E5988">
        <v>641</v>
      </c>
      <c r="F5988" t="s">
        <v>409</v>
      </c>
      <c r="G5988" t="s">
        <v>16</v>
      </c>
      <c r="H5988" t="s">
        <v>7624</v>
      </c>
      <c r="I5988">
        <v>3.8975</v>
      </c>
      <c r="J5988">
        <v>64222.080000000002</v>
      </c>
      <c r="K5988">
        <v>16477.762668377163</v>
      </c>
    </row>
    <row r="5989" spans="1:11" x14ac:dyDescent="0.25">
      <c r="A5989" t="s">
        <v>1243</v>
      </c>
      <c r="B5989" t="s">
        <v>1244</v>
      </c>
      <c r="C5989" s="1">
        <v>42434</v>
      </c>
      <c r="D5989" s="1">
        <v>42436</v>
      </c>
      <c r="E5989">
        <v>2461</v>
      </c>
      <c r="F5989" t="s">
        <v>368</v>
      </c>
      <c r="G5989" t="s">
        <v>16</v>
      </c>
      <c r="H5989" t="s">
        <v>2823</v>
      </c>
      <c r="I5989">
        <v>3.7187999999999999</v>
      </c>
      <c r="J5989">
        <v>52402.59</v>
      </c>
      <c r="K5989">
        <v>14091.263310745402</v>
      </c>
    </row>
    <row r="5990" spans="1:11" x14ac:dyDescent="0.25">
      <c r="A5990" t="s">
        <v>1243</v>
      </c>
      <c r="B5990" t="s">
        <v>1244</v>
      </c>
      <c r="C5990" s="1">
        <v>42435</v>
      </c>
      <c r="D5990" s="1">
        <v>42437</v>
      </c>
      <c r="E5990">
        <v>2461</v>
      </c>
      <c r="F5990" t="s">
        <v>368</v>
      </c>
      <c r="G5990" t="s">
        <v>16</v>
      </c>
      <c r="H5990" t="s">
        <v>7625</v>
      </c>
      <c r="I5990">
        <v>3.7187999999999999</v>
      </c>
      <c r="J5990">
        <v>52912.95</v>
      </c>
      <c r="K5990">
        <v>14228.50112939658</v>
      </c>
    </row>
    <row r="5991" spans="1:11" x14ac:dyDescent="0.25">
      <c r="A5991" t="s">
        <v>1253</v>
      </c>
      <c r="B5991" t="s">
        <v>1254</v>
      </c>
      <c r="C5991" s="1">
        <v>42436</v>
      </c>
      <c r="D5991" s="1">
        <v>42440</v>
      </c>
      <c r="E5991">
        <v>2359</v>
      </c>
      <c r="F5991" t="s">
        <v>1255</v>
      </c>
      <c r="G5991" t="s">
        <v>16</v>
      </c>
      <c r="H5991" t="s">
        <v>7626</v>
      </c>
      <c r="I5991">
        <v>3.7187999999999999</v>
      </c>
      <c r="J5991">
        <v>274332.65999999997</v>
      </c>
      <c r="K5991">
        <v>73769.135204904815</v>
      </c>
    </row>
    <row r="5992" spans="1:11" x14ac:dyDescent="0.25">
      <c r="A5992" t="s">
        <v>147</v>
      </c>
      <c r="B5992" t="s">
        <v>148</v>
      </c>
      <c r="C5992" s="1">
        <v>42452</v>
      </c>
      <c r="D5992" s="1">
        <v>42458</v>
      </c>
      <c r="E5992">
        <v>3</v>
      </c>
      <c r="F5992" t="s">
        <v>331</v>
      </c>
      <c r="G5992" t="s">
        <v>16</v>
      </c>
      <c r="H5992" t="s">
        <v>7627</v>
      </c>
      <c r="I5992">
        <v>3.6073</v>
      </c>
      <c r="J5992">
        <v>71955</v>
      </c>
      <c r="K5992">
        <v>19947.051811604248</v>
      </c>
    </row>
    <row r="5993" spans="1:11" x14ac:dyDescent="0.25">
      <c r="A5993" t="s">
        <v>179</v>
      </c>
      <c r="B5993" t="s">
        <v>180</v>
      </c>
      <c r="C5993" s="1">
        <v>42453</v>
      </c>
      <c r="D5993" s="1">
        <v>42458</v>
      </c>
      <c r="E5993">
        <v>1</v>
      </c>
      <c r="F5993" t="s">
        <v>368</v>
      </c>
      <c r="G5993" t="s">
        <v>16</v>
      </c>
      <c r="H5993" t="s">
        <v>7628</v>
      </c>
      <c r="I5993">
        <v>3.6530999999999998</v>
      </c>
      <c r="J5993">
        <v>64227.73</v>
      </c>
      <c r="K5993">
        <v>17581.705948372615</v>
      </c>
    </row>
    <row r="5994" spans="1:11" x14ac:dyDescent="0.25">
      <c r="A5994" t="s">
        <v>224</v>
      </c>
      <c r="B5994" t="s">
        <v>225</v>
      </c>
      <c r="C5994" s="1">
        <v>42452</v>
      </c>
      <c r="D5994" s="1">
        <v>42459</v>
      </c>
      <c r="E5994">
        <v>2</v>
      </c>
      <c r="F5994" t="s">
        <v>331</v>
      </c>
      <c r="G5994" t="s">
        <v>16</v>
      </c>
      <c r="H5994" t="s">
        <v>4464</v>
      </c>
      <c r="I5994">
        <v>3.6073</v>
      </c>
      <c r="J5994">
        <v>78649.350000000006</v>
      </c>
      <c r="K5994">
        <v>21802.830371746182</v>
      </c>
    </row>
    <row r="5995" spans="1:11" x14ac:dyDescent="0.25">
      <c r="A5995" t="s">
        <v>104</v>
      </c>
      <c r="B5995" t="s">
        <v>105</v>
      </c>
      <c r="C5995" s="1">
        <v>42453</v>
      </c>
      <c r="D5995" s="1">
        <v>42458</v>
      </c>
      <c r="E5995">
        <v>3</v>
      </c>
      <c r="F5995" t="s">
        <v>331</v>
      </c>
      <c r="G5995" t="s">
        <v>16</v>
      </c>
      <c r="H5995" t="s">
        <v>4465</v>
      </c>
      <c r="I5995">
        <v>3.6530999999999998</v>
      </c>
      <c r="J5995">
        <v>61487.79</v>
      </c>
      <c r="K5995">
        <v>16831.674468259833</v>
      </c>
    </row>
    <row r="5996" spans="1:11" x14ac:dyDescent="0.25">
      <c r="A5996" t="s">
        <v>179</v>
      </c>
      <c r="B5996" t="s">
        <v>180</v>
      </c>
      <c r="C5996" s="1">
        <v>42453</v>
      </c>
      <c r="D5996" s="1">
        <v>42459</v>
      </c>
      <c r="E5996">
        <v>1</v>
      </c>
      <c r="F5996" t="s">
        <v>368</v>
      </c>
      <c r="G5996" t="s">
        <v>16</v>
      </c>
      <c r="H5996" t="s">
        <v>7629</v>
      </c>
      <c r="I5996">
        <v>3.6530999999999998</v>
      </c>
      <c r="J5996">
        <v>48705.7</v>
      </c>
      <c r="K5996">
        <v>13332.703731077714</v>
      </c>
    </row>
    <row r="5997" spans="1:11" x14ac:dyDescent="0.25">
      <c r="A5997" t="s">
        <v>149</v>
      </c>
      <c r="B5997" t="s">
        <v>150</v>
      </c>
      <c r="C5997" s="1">
        <v>42453</v>
      </c>
      <c r="D5997" s="1">
        <v>42460</v>
      </c>
      <c r="E5997">
        <v>2</v>
      </c>
      <c r="F5997" t="s">
        <v>331</v>
      </c>
      <c r="G5997" t="s">
        <v>16</v>
      </c>
      <c r="H5997" t="s">
        <v>4466</v>
      </c>
      <c r="I5997">
        <v>3.6530999999999998</v>
      </c>
      <c r="J5997">
        <v>97934.46</v>
      </c>
      <c r="K5997">
        <v>26808.589964687526</v>
      </c>
    </row>
    <row r="5998" spans="1:11" x14ac:dyDescent="0.25">
      <c r="A5998" t="s">
        <v>1265</v>
      </c>
      <c r="B5998" t="s">
        <v>1266</v>
      </c>
      <c r="C5998" s="1">
        <v>42467</v>
      </c>
      <c r="D5998" s="1">
        <v>42472</v>
      </c>
      <c r="E5998">
        <v>4070</v>
      </c>
      <c r="F5998" t="s">
        <v>331</v>
      </c>
      <c r="G5998" t="s">
        <v>16</v>
      </c>
      <c r="H5998" t="s">
        <v>4467</v>
      </c>
      <c r="I5998">
        <v>3.6749000000000001</v>
      </c>
      <c r="J5998">
        <v>38983.339999999997</v>
      </c>
      <c r="K5998">
        <v>10608.000217692999</v>
      </c>
    </row>
    <row r="5999" spans="1:11" x14ac:dyDescent="0.25">
      <c r="A5999" t="s">
        <v>1265</v>
      </c>
      <c r="B5999" t="s">
        <v>1266</v>
      </c>
      <c r="C5999" s="1">
        <v>42469</v>
      </c>
      <c r="D5999" s="1">
        <v>42474</v>
      </c>
      <c r="E5999">
        <v>4070</v>
      </c>
      <c r="F5999" t="s">
        <v>331</v>
      </c>
      <c r="G5999" t="s">
        <v>16</v>
      </c>
      <c r="H5999" t="s">
        <v>4468</v>
      </c>
      <c r="I5999">
        <v>3.6385000000000001</v>
      </c>
      <c r="J5999">
        <v>50964.47</v>
      </c>
      <c r="K5999">
        <v>14007.000137419267</v>
      </c>
    </row>
    <row r="6000" spans="1:11" x14ac:dyDescent="0.25">
      <c r="A6000" t="s">
        <v>1265</v>
      </c>
      <c r="B6000" t="s">
        <v>1266</v>
      </c>
      <c r="C6000" s="1">
        <v>42468</v>
      </c>
      <c r="D6000" s="1">
        <v>42474</v>
      </c>
      <c r="E6000">
        <v>4070</v>
      </c>
      <c r="F6000" t="s">
        <v>331</v>
      </c>
      <c r="G6000" t="s">
        <v>16</v>
      </c>
      <c r="H6000" t="s">
        <v>7630</v>
      </c>
      <c r="I6000">
        <v>3.6920999999999999</v>
      </c>
      <c r="J6000">
        <v>45711.89</v>
      </c>
      <c r="K6000">
        <v>12380.999972915142</v>
      </c>
    </row>
    <row r="6001" spans="1:11" x14ac:dyDescent="0.25">
      <c r="A6001" t="s">
        <v>128</v>
      </c>
      <c r="B6001" t="s">
        <v>129</v>
      </c>
      <c r="C6001" s="1">
        <v>42452</v>
      </c>
      <c r="D6001" s="1">
        <v>42464</v>
      </c>
      <c r="E6001">
        <v>2</v>
      </c>
      <c r="F6001" t="s">
        <v>331</v>
      </c>
      <c r="G6001" t="s">
        <v>16</v>
      </c>
      <c r="H6001" t="s">
        <v>7631</v>
      </c>
      <c r="I6001">
        <v>3.6073</v>
      </c>
      <c r="J6001">
        <v>75300.81</v>
      </c>
      <c r="K6001">
        <v>20874.562692318355</v>
      </c>
    </row>
    <row r="6002" spans="1:11" x14ac:dyDescent="0.25">
      <c r="A6002" t="s">
        <v>462</v>
      </c>
      <c r="B6002" t="s">
        <v>461</v>
      </c>
      <c r="C6002" s="1">
        <v>42466</v>
      </c>
      <c r="D6002" s="1">
        <v>42466</v>
      </c>
      <c r="E6002">
        <v>367</v>
      </c>
      <c r="F6002" t="s">
        <v>675</v>
      </c>
      <c r="G6002" t="s">
        <v>16</v>
      </c>
      <c r="H6002" t="s">
        <v>6484</v>
      </c>
      <c r="I6002">
        <v>3.6581000000000001</v>
      </c>
      <c r="J6002">
        <v>104436</v>
      </c>
      <c r="K6002">
        <v>28549.246876793964</v>
      </c>
    </row>
    <row r="6003" spans="1:11" x14ac:dyDescent="0.25">
      <c r="A6003" t="s">
        <v>147</v>
      </c>
      <c r="B6003" t="s">
        <v>148</v>
      </c>
      <c r="C6003" s="1">
        <v>42452</v>
      </c>
      <c r="D6003" s="1">
        <v>42461</v>
      </c>
      <c r="E6003">
        <v>3</v>
      </c>
      <c r="F6003" t="s">
        <v>331</v>
      </c>
      <c r="G6003" t="s">
        <v>16</v>
      </c>
      <c r="H6003" t="s">
        <v>7632</v>
      </c>
      <c r="I6003">
        <v>3.6073</v>
      </c>
      <c r="J6003">
        <v>91143</v>
      </c>
      <c r="K6003">
        <v>25266.265628032044</v>
      </c>
    </row>
    <row r="6004" spans="1:11" x14ac:dyDescent="0.25">
      <c r="A6004" t="s">
        <v>623</v>
      </c>
      <c r="B6004" t="s">
        <v>2193</v>
      </c>
      <c r="C6004" s="1">
        <v>42447</v>
      </c>
      <c r="D6004" s="1">
        <v>42460</v>
      </c>
      <c r="E6004">
        <v>266</v>
      </c>
      <c r="F6004" t="s">
        <v>1255</v>
      </c>
      <c r="G6004" t="s">
        <v>16</v>
      </c>
      <c r="H6004" t="s">
        <v>4469</v>
      </c>
      <c r="I6004">
        <v>3.6444999999999999</v>
      </c>
      <c r="J6004">
        <v>126452.44</v>
      </c>
      <c r="K6004">
        <v>34696.786939223486</v>
      </c>
    </row>
    <row r="6005" spans="1:11" x14ac:dyDescent="0.25">
      <c r="A6005" t="s">
        <v>147</v>
      </c>
      <c r="B6005" t="s">
        <v>148</v>
      </c>
      <c r="C6005" s="1">
        <v>42457</v>
      </c>
      <c r="D6005" s="1">
        <v>42461</v>
      </c>
      <c r="E6005">
        <v>3</v>
      </c>
      <c r="F6005" t="s">
        <v>331</v>
      </c>
      <c r="G6005" t="s">
        <v>16</v>
      </c>
      <c r="H6005" t="s">
        <v>7633</v>
      </c>
      <c r="I6005">
        <v>3.6947999999999999</v>
      </c>
      <c r="J6005">
        <v>88179</v>
      </c>
      <c r="K6005">
        <v>23865.703150373498</v>
      </c>
    </row>
    <row r="6006" spans="1:11" x14ac:dyDescent="0.25">
      <c r="A6006" t="s">
        <v>147</v>
      </c>
      <c r="B6006" t="s">
        <v>148</v>
      </c>
      <c r="C6006" s="1">
        <v>42457</v>
      </c>
      <c r="D6006" s="1">
        <v>42461</v>
      </c>
      <c r="E6006">
        <v>3</v>
      </c>
      <c r="F6006" t="s">
        <v>331</v>
      </c>
      <c r="G6006" t="s">
        <v>16</v>
      </c>
      <c r="H6006" t="s">
        <v>4470</v>
      </c>
      <c r="I6006">
        <v>3.6947999999999999</v>
      </c>
      <c r="J6006">
        <v>89700</v>
      </c>
      <c r="K6006">
        <v>24277.362780123418</v>
      </c>
    </row>
    <row r="6007" spans="1:11" x14ac:dyDescent="0.25">
      <c r="A6007" t="s">
        <v>147</v>
      </c>
      <c r="B6007" t="s">
        <v>148</v>
      </c>
      <c r="C6007" s="1">
        <v>42457</v>
      </c>
      <c r="D6007" s="1">
        <v>42461</v>
      </c>
      <c r="E6007">
        <v>3</v>
      </c>
      <c r="F6007" t="s">
        <v>331</v>
      </c>
      <c r="G6007" t="s">
        <v>16</v>
      </c>
      <c r="H6007" t="s">
        <v>7634</v>
      </c>
      <c r="I6007">
        <v>3.6947999999999999</v>
      </c>
      <c r="J6007">
        <v>89310</v>
      </c>
      <c r="K6007">
        <v>24171.809028905489</v>
      </c>
    </row>
    <row r="6008" spans="1:11" x14ac:dyDescent="0.25">
      <c r="A6008" t="s">
        <v>1243</v>
      </c>
      <c r="B6008" t="s">
        <v>1244</v>
      </c>
      <c r="C6008" s="1">
        <v>42444</v>
      </c>
      <c r="D6008" s="1">
        <v>42446</v>
      </c>
      <c r="E6008">
        <v>2461</v>
      </c>
      <c r="F6008" t="s">
        <v>368</v>
      </c>
      <c r="G6008" t="s">
        <v>16</v>
      </c>
      <c r="H6008" t="s">
        <v>4471</v>
      </c>
      <c r="I6008">
        <v>3.6238999999999999</v>
      </c>
      <c r="J6008">
        <v>39616.28</v>
      </c>
      <c r="K6008">
        <v>10931.946245757334</v>
      </c>
    </row>
    <row r="6009" spans="1:11" x14ac:dyDescent="0.25">
      <c r="A6009" t="s">
        <v>128</v>
      </c>
      <c r="B6009" t="s">
        <v>129</v>
      </c>
      <c r="C6009" s="1">
        <v>42452</v>
      </c>
      <c r="D6009" s="1">
        <v>42460</v>
      </c>
      <c r="E6009">
        <v>2</v>
      </c>
      <c r="F6009" t="s">
        <v>331</v>
      </c>
      <c r="G6009" t="s">
        <v>16</v>
      </c>
      <c r="H6009" t="s">
        <v>7635</v>
      </c>
      <c r="I6009">
        <v>3.6073</v>
      </c>
      <c r="J6009">
        <v>105541.02</v>
      </c>
      <c r="K6009">
        <v>29257.622044188174</v>
      </c>
    </row>
    <row r="6010" spans="1:11" x14ac:dyDescent="0.25">
      <c r="A6010" t="s">
        <v>181</v>
      </c>
      <c r="B6010" t="s">
        <v>182</v>
      </c>
      <c r="C6010" s="1">
        <v>42437</v>
      </c>
      <c r="D6010" s="1">
        <v>42453</v>
      </c>
      <c r="E6010">
        <v>1</v>
      </c>
      <c r="F6010" t="s">
        <v>368</v>
      </c>
      <c r="G6010" t="s">
        <v>16</v>
      </c>
      <c r="H6010" t="s">
        <v>6307</v>
      </c>
      <c r="I6010">
        <v>3.7713999999999999</v>
      </c>
      <c r="J6010">
        <v>53230.25</v>
      </c>
      <c r="K6010">
        <v>14114.188365063372</v>
      </c>
    </row>
    <row r="6011" spans="1:11" x14ac:dyDescent="0.25">
      <c r="A6011" t="s">
        <v>147</v>
      </c>
      <c r="B6011" t="s">
        <v>148</v>
      </c>
      <c r="C6011" s="1">
        <v>42453</v>
      </c>
      <c r="D6011" s="1">
        <v>42460</v>
      </c>
      <c r="E6011">
        <v>3</v>
      </c>
      <c r="F6011" t="s">
        <v>331</v>
      </c>
      <c r="G6011" t="s">
        <v>16</v>
      </c>
      <c r="H6011" t="s">
        <v>4472</v>
      </c>
      <c r="I6011">
        <v>3.6530999999999998</v>
      </c>
      <c r="J6011">
        <v>64857</v>
      </c>
      <c r="K6011">
        <v>17753.962388108728</v>
      </c>
    </row>
    <row r="6012" spans="1:11" x14ac:dyDescent="0.25">
      <c r="A6012" t="s">
        <v>147</v>
      </c>
      <c r="B6012" t="s">
        <v>148</v>
      </c>
      <c r="C6012" s="1">
        <v>42452</v>
      </c>
      <c r="D6012" s="1">
        <v>42460</v>
      </c>
      <c r="E6012">
        <v>3</v>
      </c>
      <c r="F6012" t="s">
        <v>331</v>
      </c>
      <c r="G6012" t="s">
        <v>16</v>
      </c>
      <c r="H6012" t="s">
        <v>7636</v>
      </c>
      <c r="I6012">
        <v>3.6073</v>
      </c>
      <c r="J6012">
        <v>69810</v>
      </c>
      <c r="K6012">
        <v>19352.424250824715</v>
      </c>
    </row>
    <row r="6013" spans="1:11" x14ac:dyDescent="0.25">
      <c r="A6013" t="s">
        <v>147</v>
      </c>
      <c r="B6013" t="s">
        <v>148</v>
      </c>
      <c r="C6013" s="1">
        <v>42452</v>
      </c>
      <c r="D6013" s="1">
        <v>42460</v>
      </c>
      <c r="E6013">
        <v>3</v>
      </c>
      <c r="F6013" t="s">
        <v>331</v>
      </c>
      <c r="G6013" t="s">
        <v>16</v>
      </c>
      <c r="H6013" t="s">
        <v>4473</v>
      </c>
      <c r="I6013">
        <v>3.6073</v>
      </c>
      <c r="J6013">
        <v>91455</v>
      </c>
      <c r="K6013">
        <v>25352.756909599979</v>
      </c>
    </row>
    <row r="6014" spans="1:11" x14ac:dyDescent="0.25">
      <c r="A6014" t="s">
        <v>147</v>
      </c>
      <c r="B6014" t="s">
        <v>148</v>
      </c>
      <c r="C6014" s="1">
        <v>42454</v>
      </c>
      <c r="D6014" s="1">
        <v>42460</v>
      </c>
      <c r="E6014">
        <v>3</v>
      </c>
      <c r="F6014" t="s">
        <v>331</v>
      </c>
      <c r="G6014" t="s">
        <v>16</v>
      </c>
      <c r="H6014" t="s">
        <v>7637</v>
      </c>
      <c r="I6014">
        <v>3.6947999999999999</v>
      </c>
      <c r="J6014">
        <v>68796</v>
      </c>
      <c r="K6014">
        <v>18619.681714842482</v>
      </c>
    </row>
    <row r="6015" spans="1:11" x14ac:dyDescent="0.25">
      <c r="A6015" t="s">
        <v>236</v>
      </c>
      <c r="B6015" t="s">
        <v>237</v>
      </c>
      <c r="C6015" s="1">
        <v>42457</v>
      </c>
      <c r="D6015" s="1">
        <v>42474</v>
      </c>
      <c r="E6015">
        <v>3</v>
      </c>
      <c r="F6015" t="s">
        <v>301</v>
      </c>
      <c r="G6015" t="s">
        <v>16</v>
      </c>
      <c r="H6015" t="s">
        <v>7638</v>
      </c>
      <c r="I6015">
        <v>3.6947999999999999</v>
      </c>
      <c r="J6015">
        <v>141105</v>
      </c>
      <c r="K6015">
        <v>38190.159142578763</v>
      </c>
    </row>
    <row r="6016" spans="1:11" x14ac:dyDescent="0.25">
      <c r="A6016" t="s">
        <v>270</v>
      </c>
      <c r="B6016" t="s">
        <v>271</v>
      </c>
      <c r="C6016" s="1">
        <v>42513</v>
      </c>
      <c r="D6016" s="1">
        <v>42516</v>
      </c>
      <c r="E6016">
        <v>3</v>
      </c>
      <c r="F6016" t="s">
        <v>368</v>
      </c>
      <c r="G6016" t="s">
        <v>16</v>
      </c>
      <c r="H6016" t="s">
        <v>7639</v>
      </c>
      <c r="I6016">
        <v>3.5419</v>
      </c>
      <c r="J6016">
        <v>47001.279999999999</v>
      </c>
      <c r="K6016">
        <v>13270.075383268868</v>
      </c>
    </row>
    <row r="6017" spans="1:11" x14ac:dyDescent="0.25">
      <c r="A6017" t="s">
        <v>270</v>
      </c>
      <c r="B6017" t="s">
        <v>271</v>
      </c>
      <c r="C6017" s="1">
        <v>42513</v>
      </c>
      <c r="D6017" s="1">
        <v>42516</v>
      </c>
      <c r="E6017">
        <v>3</v>
      </c>
      <c r="F6017" t="s">
        <v>368</v>
      </c>
      <c r="G6017" t="s">
        <v>16</v>
      </c>
      <c r="H6017" t="s">
        <v>4474</v>
      </c>
      <c r="I6017">
        <v>3.5419</v>
      </c>
      <c r="J6017">
        <v>46869.89</v>
      </c>
      <c r="K6017">
        <v>13232.979474293459</v>
      </c>
    </row>
    <row r="6018" spans="1:11" x14ac:dyDescent="0.25">
      <c r="A6018" t="s">
        <v>270</v>
      </c>
      <c r="B6018" t="s">
        <v>271</v>
      </c>
      <c r="C6018" s="1">
        <v>42519</v>
      </c>
      <c r="D6018" s="1">
        <v>42521</v>
      </c>
      <c r="E6018">
        <v>3</v>
      </c>
      <c r="F6018" t="s">
        <v>368</v>
      </c>
      <c r="G6018" t="s">
        <v>16</v>
      </c>
      <c r="H6018" t="s">
        <v>7640</v>
      </c>
      <c r="I6018">
        <v>3.6168</v>
      </c>
      <c r="J6018">
        <v>35450.199999999997</v>
      </c>
      <c r="K6018">
        <v>9801.5372705153732</v>
      </c>
    </row>
    <row r="6019" spans="1:11" x14ac:dyDescent="0.25">
      <c r="A6019" t="s">
        <v>7641</v>
      </c>
      <c r="C6019" s="1">
        <v>42502</v>
      </c>
      <c r="D6019" s="1">
        <v>42534</v>
      </c>
      <c r="E6019">
        <v>3569</v>
      </c>
      <c r="F6019" t="s">
        <v>291</v>
      </c>
      <c r="G6019" t="s">
        <v>16</v>
      </c>
      <c r="H6019" t="s">
        <v>335</v>
      </c>
      <c r="I6019">
        <v>3.4645000000000001</v>
      </c>
      <c r="J6019">
        <v>37.49</v>
      </c>
      <c r="K6019">
        <v>10.82118631837206</v>
      </c>
    </row>
    <row r="6020" spans="1:11" x14ac:dyDescent="0.25">
      <c r="A6020" t="s">
        <v>90</v>
      </c>
      <c r="B6020" t="s">
        <v>91</v>
      </c>
      <c r="C6020" s="1">
        <v>42535</v>
      </c>
      <c r="D6020" s="1">
        <v>42557</v>
      </c>
      <c r="E6020">
        <v>11</v>
      </c>
      <c r="F6020" t="s">
        <v>331</v>
      </c>
      <c r="G6020" t="s">
        <v>16</v>
      </c>
      <c r="H6020" t="s">
        <v>7642</v>
      </c>
      <c r="I6020">
        <v>3.4533</v>
      </c>
      <c r="J6020">
        <v>41054.71</v>
      </c>
      <c r="K6020">
        <v>11888.544290968059</v>
      </c>
    </row>
    <row r="6021" spans="1:11" x14ac:dyDescent="0.25">
      <c r="A6021" t="s">
        <v>90</v>
      </c>
      <c r="B6021" t="s">
        <v>91</v>
      </c>
      <c r="C6021" s="1">
        <v>42535</v>
      </c>
      <c r="D6021" s="1">
        <v>42541</v>
      </c>
      <c r="E6021">
        <v>11</v>
      </c>
      <c r="F6021" t="s">
        <v>331</v>
      </c>
      <c r="G6021" t="s">
        <v>16</v>
      </c>
      <c r="H6021" t="s">
        <v>7643</v>
      </c>
      <c r="I6021">
        <v>3.4533</v>
      </c>
      <c r="J6021">
        <v>38537.15</v>
      </c>
      <c r="K6021">
        <v>11159.514087973823</v>
      </c>
    </row>
    <row r="6022" spans="1:11" x14ac:dyDescent="0.25">
      <c r="A6022" t="s">
        <v>90</v>
      </c>
      <c r="B6022" t="s">
        <v>91</v>
      </c>
      <c r="C6022" s="1">
        <v>42536</v>
      </c>
      <c r="D6022" s="1">
        <v>42544</v>
      </c>
      <c r="E6022">
        <v>11</v>
      </c>
      <c r="F6022" t="s">
        <v>331</v>
      </c>
      <c r="G6022" t="s">
        <v>16</v>
      </c>
      <c r="H6022" t="s">
        <v>4475</v>
      </c>
      <c r="I6022">
        <v>3.4839000000000002</v>
      </c>
      <c r="J6022">
        <v>43793.33</v>
      </c>
      <c r="K6022">
        <v>12570.202933494073</v>
      </c>
    </row>
    <row r="6023" spans="1:11" x14ac:dyDescent="0.25">
      <c r="A6023" t="s">
        <v>90</v>
      </c>
      <c r="B6023" t="s">
        <v>91</v>
      </c>
      <c r="C6023" s="1">
        <v>42537</v>
      </c>
      <c r="D6023" s="1">
        <v>42545</v>
      </c>
      <c r="E6023">
        <v>11</v>
      </c>
      <c r="F6023" t="s">
        <v>331</v>
      </c>
      <c r="G6023" t="s">
        <v>16</v>
      </c>
      <c r="H6023" t="s">
        <v>4476</v>
      </c>
      <c r="I6023">
        <v>3.4767999999999999</v>
      </c>
      <c r="J6023">
        <v>45733.7</v>
      </c>
      <c r="K6023">
        <v>13153.963414634147</v>
      </c>
    </row>
    <row r="6024" spans="1:11" x14ac:dyDescent="0.25">
      <c r="A6024" t="s">
        <v>90</v>
      </c>
      <c r="B6024" t="s">
        <v>91</v>
      </c>
      <c r="C6024" s="1">
        <v>42538</v>
      </c>
      <c r="D6024" s="1">
        <v>42545</v>
      </c>
      <c r="E6024">
        <v>11</v>
      </c>
      <c r="F6024" t="s">
        <v>331</v>
      </c>
      <c r="G6024" t="s">
        <v>16</v>
      </c>
      <c r="H6024" t="s">
        <v>4477</v>
      </c>
      <c r="I6024">
        <v>3.4904000000000002</v>
      </c>
      <c r="J6024">
        <v>45451.24</v>
      </c>
      <c r="K6024">
        <v>13021.785468714188</v>
      </c>
    </row>
    <row r="6025" spans="1:11" x14ac:dyDescent="0.25">
      <c r="A6025" t="s">
        <v>7644</v>
      </c>
      <c r="C6025" s="1">
        <v>42551</v>
      </c>
      <c r="D6025" s="1">
        <v>42552</v>
      </c>
      <c r="E6025">
        <v>5739</v>
      </c>
      <c r="F6025" t="s">
        <v>396</v>
      </c>
      <c r="G6025" t="s">
        <v>16</v>
      </c>
      <c r="H6025" t="s">
        <v>395</v>
      </c>
      <c r="I6025">
        <v>3.2435</v>
      </c>
      <c r="J6025">
        <v>6986.9</v>
      </c>
      <c r="K6025">
        <v>2154.123631879143</v>
      </c>
    </row>
    <row r="6026" spans="1:11" x14ac:dyDescent="0.25">
      <c r="A6026" t="s">
        <v>212</v>
      </c>
      <c r="B6026" t="s">
        <v>213</v>
      </c>
      <c r="C6026" s="1">
        <v>42555</v>
      </c>
      <c r="D6026" s="1">
        <v>42557</v>
      </c>
      <c r="E6026">
        <v>1</v>
      </c>
      <c r="F6026" t="s">
        <v>368</v>
      </c>
      <c r="G6026" t="s">
        <v>16</v>
      </c>
      <c r="H6026" t="s">
        <v>4478</v>
      </c>
      <c r="I6026">
        <v>3.2298</v>
      </c>
      <c r="J6026">
        <v>42927.71</v>
      </c>
      <c r="K6026">
        <v>13291.135674035544</v>
      </c>
    </row>
    <row r="6027" spans="1:11" x14ac:dyDescent="0.25">
      <c r="A6027" t="s">
        <v>35</v>
      </c>
      <c r="B6027" t="s">
        <v>38</v>
      </c>
      <c r="C6027" s="1">
        <v>42537</v>
      </c>
      <c r="D6027" s="1">
        <v>42542</v>
      </c>
      <c r="E6027">
        <v>8</v>
      </c>
      <c r="F6027" t="s">
        <v>331</v>
      </c>
      <c r="G6027" t="s">
        <v>16</v>
      </c>
      <c r="H6027" t="s">
        <v>4479</v>
      </c>
      <c r="I6027">
        <v>3.4767999999999999</v>
      </c>
      <c r="J6027">
        <v>45230.19</v>
      </c>
      <c r="K6027">
        <v>13009.143465255407</v>
      </c>
    </row>
    <row r="6028" spans="1:11" x14ac:dyDescent="0.25">
      <c r="A6028" t="s">
        <v>179</v>
      </c>
      <c r="B6028" t="s">
        <v>180</v>
      </c>
      <c r="C6028" s="1">
        <v>42595</v>
      </c>
      <c r="D6028" s="1">
        <v>42597</v>
      </c>
      <c r="E6028">
        <v>1</v>
      </c>
      <c r="F6028" t="s">
        <v>368</v>
      </c>
      <c r="G6028" t="s">
        <v>16</v>
      </c>
      <c r="H6028" t="s">
        <v>7645</v>
      </c>
      <c r="I6028">
        <v>3.1602000000000001</v>
      </c>
      <c r="J6028">
        <v>42212</v>
      </c>
      <c r="K6028">
        <v>13357.382444149105</v>
      </c>
    </row>
    <row r="6029" spans="1:11" x14ac:dyDescent="0.25">
      <c r="A6029" t="s">
        <v>181</v>
      </c>
      <c r="B6029" t="s">
        <v>182</v>
      </c>
      <c r="C6029" s="1">
        <v>42584</v>
      </c>
      <c r="D6029" s="1">
        <v>42592</v>
      </c>
      <c r="E6029">
        <v>1</v>
      </c>
      <c r="F6029" t="s">
        <v>368</v>
      </c>
      <c r="G6029" t="s">
        <v>16</v>
      </c>
      <c r="H6029" t="s">
        <v>7646</v>
      </c>
      <c r="I6029">
        <v>3.2662</v>
      </c>
      <c r="J6029">
        <v>55874.81</v>
      </c>
      <c r="K6029">
        <v>17106.977527401872</v>
      </c>
    </row>
    <row r="6030" spans="1:11" x14ac:dyDescent="0.25">
      <c r="A6030" t="s">
        <v>100</v>
      </c>
      <c r="B6030" t="s">
        <v>101</v>
      </c>
      <c r="C6030" s="1">
        <v>42577</v>
      </c>
      <c r="D6030" s="1">
        <v>42598</v>
      </c>
      <c r="E6030">
        <v>4</v>
      </c>
      <c r="F6030" t="s">
        <v>301</v>
      </c>
      <c r="G6030" t="s">
        <v>16</v>
      </c>
      <c r="H6030" t="s">
        <v>4480</v>
      </c>
      <c r="I6030">
        <v>3.2818999999999998</v>
      </c>
      <c r="J6030">
        <v>3291.19</v>
      </c>
      <c r="K6030">
        <v>1002.8306773515342</v>
      </c>
    </row>
    <row r="6031" spans="1:11" x14ac:dyDescent="0.25">
      <c r="A6031" t="s">
        <v>256</v>
      </c>
      <c r="B6031" t="s">
        <v>257</v>
      </c>
      <c r="C6031" s="1">
        <v>42577</v>
      </c>
      <c r="D6031" s="1">
        <v>42598</v>
      </c>
      <c r="E6031">
        <v>4</v>
      </c>
      <c r="F6031" t="s">
        <v>301</v>
      </c>
      <c r="G6031" t="s">
        <v>16</v>
      </c>
      <c r="H6031" t="s">
        <v>7647</v>
      </c>
      <c r="I6031">
        <v>3.2818999999999998</v>
      </c>
      <c r="J6031">
        <v>16421.61</v>
      </c>
      <c r="K6031">
        <v>5003.6899357079737</v>
      </c>
    </row>
    <row r="6032" spans="1:11" x14ac:dyDescent="0.25">
      <c r="A6032" t="s">
        <v>214</v>
      </c>
      <c r="B6032" t="s">
        <v>215</v>
      </c>
      <c r="C6032" s="1">
        <v>42576</v>
      </c>
      <c r="D6032" s="1">
        <v>42593</v>
      </c>
      <c r="E6032">
        <v>3</v>
      </c>
      <c r="F6032" t="s">
        <v>301</v>
      </c>
      <c r="G6032" t="s">
        <v>16</v>
      </c>
      <c r="H6032" t="s">
        <v>7648</v>
      </c>
      <c r="I6032">
        <v>3.2854000000000001</v>
      </c>
      <c r="J6032">
        <v>3843</v>
      </c>
      <c r="K6032">
        <v>1169.7205819687101</v>
      </c>
    </row>
    <row r="6033" spans="1:11" x14ac:dyDescent="0.25">
      <c r="A6033" t="s">
        <v>238</v>
      </c>
      <c r="B6033" t="s">
        <v>239</v>
      </c>
      <c r="C6033" s="1">
        <v>42576</v>
      </c>
      <c r="D6033" s="1">
        <v>42598</v>
      </c>
      <c r="E6033">
        <v>2</v>
      </c>
      <c r="F6033" t="s">
        <v>301</v>
      </c>
      <c r="G6033" t="s">
        <v>16</v>
      </c>
      <c r="H6033" t="s">
        <v>4481</v>
      </c>
      <c r="I6033">
        <v>3.2854000000000001</v>
      </c>
      <c r="J6033">
        <v>4060</v>
      </c>
      <c r="K6033">
        <v>1235.7703780361601</v>
      </c>
    </row>
    <row r="6034" spans="1:11" x14ac:dyDescent="0.25">
      <c r="A6034" t="s">
        <v>212</v>
      </c>
      <c r="B6034" t="s">
        <v>213</v>
      </c>
      <c r="C6034" s="1">
        <v>42586</v>
      </c>
      <c r="D6034" s="1">
        <v>42590</v>
      </c>
      <c r="E6034">
        <v>1</v>
      </c>
      <c r="F6034" t="s">
        <v>368</v>
      </c>
      <c r="G6034" t="s">
        <v>16</v>
      </c>
      <c r="H6034" t="s">
        <v>4482</v>
      </c>
      <c r="I6034">
        <v>3.2732999999999999</v>
      </c>
      <c r="J6034">
        <v>39967.550000000003</v>
      </c>
      <c r="K6034">
        <v>12210.170164665627</v>
      </c>
    </row>
    <row r="6035" spans="1:11" x14ac:dyDescent="0.25">
      <c r="A6035" t="s">
        <v>175</v>
      </c>
      <c r="B6035" t="s">
        <v>176</v>
      </c>
      <c r="C6035" s="1">
        <v>42576</v>
      </c>
      <c r="D6035" s="1">
        <v>42598</v>
      </c>
      <c r="E6035">
        <v>1</v>
      </c>
      <c r="F6035" t="s">
        <v>301</v>
      </c>
      <c r="G6035" t="s">
        <v>16</v>
      </c>
      <c r="H6035" t="s">
        <v>7649</v>
      </c>
      <c r="I6035">
        <v>3.2854000000000001</v>
      </c>
      <c r="J6035">
        <v>57645</v>
      </c>
      <c r="K6035">
        <v>17545.80872953065</v>
      </c>
    </row>
    <row r="6036" spans="1:11" x14ac:dyDescent="0.25">
      <c r="A6036" t="s">
        <v>238</v>
      </c>
      <c r="B6036" t="s">
        <v>239</v>
      </c>
      <c r="C6036" s="1">
        <v>42577</v>
      </c>
      <c r="D6036" s="1">
        <v>42598</v>
      </c>
      <c r="E6036">
        <v>2</v>
      </c>
      <c r="F6036" t="s">
        <v>301</v>
      </c>
      <c r="G6036" t="s">
        <v>16</v>
      </c>
      <c r="H6036" t="s">
        <v>4483</v>
      </c>
      <c r="I6036">
        <v>3.2818999999999998</v>
      </c>
      <c r="J6036">
        <v>20723.98</v>
      </c>
      <c r="K6036">
        <v>6314.6287211676163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C5A471-91FC-493A-99D8-C992EB2237D0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ProjecaoAreas</vt:lpstr>
      <vt:lpstr>ResumoCusto</vt:lpstr>
      <vt:lpstr>Resultado</vt:lpstr>
      <vt:lpstr>ComposicaoCusto</vt:lpstr>
      <vt:lpstr>Folha Pgto</vt:lpstr>
      <vt:lpstr>Pedidos</vt:lpstr>
      <vt:lpstr>Frete</vt:lpstr>
      <vt:lpstr>Gerencial</vt:lpstr>
      <vt:lpstr>NotasEntrada</vt:lpstr>
      <vt:lpstr>ProjecaoAreas!Area_de_impressao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Masutti</dc:creator>
  <cp:lastModifiedBy>MARCIO:.</cp:lastModifiedBy>
  <cp:lastPrinted>2016-08-18T20:32:38Z</cp:lastPrinted>
  <dcterms:created xsi:type="dcterms:W3CDTF">2016-08-18T00:47:42Z</dcterms:created>
  <dcterms:modified xsi:type="dcterms:W3CDTF">2016-08-19T11:53:28Z</dcterms:modified>
</cp:coreProperties>
</file>